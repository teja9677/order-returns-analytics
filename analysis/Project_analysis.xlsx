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rple_merit _Assessment\"/>
    </mc:Choice>
  </mc:AlternateContent>
  <xr:revisionPtr revIDLastSave="0" documentId="13_ncr:2001_{B534F193-B31D-4BF1-9AF7-150B96043349}" xr6:coauthVersionLast="47" xr6:coauthVersionMax="47" xr10:uidLastSave="{00000000-0000-0000-0000-000000000000}"/>
  <bookViews>
    <workbookView xWindow="-108" yWindow="-108" windowWidth="23256" windowHeight="12456" tabRatio="892" activeTab="8" xr2:uid="{14605807-EEA3-45FE-A1DC-20031891AF3C}"/>
  </bookViews>
  <sheets>
    <sheet name="Raw_data" sheetId="1" r:id="rId1"/>
    <sheet name="working_data" sheetId="6" r:id="rId2"/>
    <sheet name="cleaning_log" sheetId="2" r:id="rId3"/>
    <sheet name="validation_summary" sheetId="3" r:id="rId4"/>
    <sheet name="Analysis_1" sheetId="4" r:id="rId5"/>
    <sheet name="Analysis_2" sheetId="9" r:id="rId6"/>
    <sheet name="KPIs" sheetId="5" r:id="rId7"/>
    <sheet name="Working Time" sheetId="7" r:id="rId8"/>
    <sheet name="CHARTS" sheetId="10" r:id="rId9"/>
  </sheets>
  <calcPr calcId="191029"/>
  <pivotCaches>
    <pivotCache cacheId="47" r:id="rId10"/>
    <pivotCache cacheId="64" r:id="rId11"/>
    <pivotCache cacheId="90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9" l="1"/>
  <c r="AQ9" i="10"/>
  <c r="AP9" i="10"/>
  <c r="AO9" i="10"/>
  <c r="AP8" i="10"/>
  <c r="AO8" i="10"/>
  <c r="AQ8" i="10" s="1"/>
  <c r="AP7" i="10"/>
  <c r="AO7" i="10"/>
  <c r="AQ7" i="10" s="1"/>
  <c r="AP6" i="10"/>
  <c r="AQ6" i="10" s="1"/>
  <c r="AO6" i="10"/>
  <c r="AQ5" i="10"/>
  <c r="AP5" i="10"/>
  <c r="AO5" i="10"/>
  <c r="AP4" i="10"/>
  <c r="AO4" i="10"/>
  <c r="AQ4" i="10" s="1"/>
  <c r="D9" i="5"/>
  <c r="D11" i="5"/>
  <c r="D10" i="5"/>
  <c r="D8" i="5"/>
  <c r="D7" i="5"/>
  <c r="D6" i="5"/>
  <c r="D5" i="5"/>
  <c r="D4" i="5"/>
  <c r="D3" i="5"/>
  <c r="D2" i="5"/>
  <c r="C15" i="9"/>
  <c r="C16" i="9"/>
  <c r="C14" i="9"/>
  <c r="C17" i="9"/>
  <c r="C13" i="9"/>
  <c r="P12" i="9"/>
  <c r="P11" i="9"/>
  <c r="O12" i="9"/>
  <c r="O11" i="9"/>
  <c r="AJ2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L13" i="9"/>
  <c r="L12" i="9"/>
  <c r="L11" i="9"/>
  <c r="O6" i="9"/>
  <c r="O5" i="9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5" i="4"/>
  <c r="AI2" i="6"/>
  <c r="AI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H2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B9" i="4"/>
  <c r="B7" i="4"/>
  <c r="B6" i="4"/>
  <c r="B5" i="4"/>
  <c r="AG2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343" i="6"/>
  <c r="AG344" i="6"/>
  <c r="AG345" i="6"/>
  <c r="AG346" i="6"/>
  <c r="AG347" i="6"/>
  <c r="AF2" i="6"/>
  <c r="AF10" i="6"/>
  <c r="AF74" i="6"/>
  <c r="AF178" i="6"/>
  <c r="AF306" i="6"/>
  <c r="AE2" i="6"/>
  <c r="AE3" i="6"/>
  <c r="AF3" i="6" s="1"/>
  <c r="AE4" i="6"/>
  <c r="AF4" i="6" s="1"/>
  <c r="AE5" i="6"/>
  <c r="AF5" i="6" s="1"/>
  <c r="AE6" i="6"/>
  <c r="AF6" i="6" s="1"/>
  <c r="AE7" i="6"/>
  <c r="AF7" i="6" s="1"/>
  <c r="AE8" i="6"/>
  <c r="AF8" i="6" s="1"/>
  <c r="AE9" i="6"/>
  <c r="AF9" i="6" s="1"/>
  <c r="AE10" i="6"/>
  <c r="AE11" i="6"/>
  <c r="AF11" i="6" s="1"/>
  <c r="AE12" i="6"/>
  <c r="AF12" i="6" s="1"/>
  <c r="AE13" i="6"/>
  <c r="AF13" i="6" s="1"/>
  <c r="AE14" i="6"/>
  <c r="AF14" i="6" s="1"/>
  <c r="AE15" i="6"/>
  <c r="AF15" i="6" s="1"/>
  <c r="AE16" i="6"/>
  <c r="AF16" i="6" s="1"/>
  <c r="AE17" i="6"/>
  <c r="AF17" i="6" s="1"/>
  <c r="AE18" i="6"/>
  <c r="AF18" i="6" s="1"/>
  <c r="AE19" i="6"/>
  <c r="AF19" i="6" s="1"/>
  <c r="AE20" i="6"/>
  <c r="AF20" i="6" s="1"/>
  <c r="AE21" i="6"/>
  <c r="AF21" i="6" s="1"/>
  <c r="AE22" i="6"/>
  <c r="AF22" i="6" s="1"/>
  <c r="AE23" i="6"/>
  <c r="AF23" i="6" s="1"/>
  <c r="AE24" i="6"/>
  <c r="AF24" i="6" s="1"/>
  <c r="AE25" i="6"/>
  <c r="AF25" i="6" s="1"/>
  <c r="AE26" i="6"/>
  <c r="AF26" i="6" s="1"/>
  <c r="AE27" i="6"/>
  <c r="AF27" i="6" s="1"/>
  <c r="AE28" i="6"/>
  <c r="AF28" i="6" s="1"/>
  <c r="AE29" i="6"/>
  <c r="AF29" i="6" s="1"/>
  <c r="AE30" i="6"/>
  <c r="AF30" i="6" s="1"/>
  <c r="AE31" i="6"/>
  <c r="AF31" i="6" s="1"/>
  <c r="AE32" i="6"/>
  <c r="AF32" i="6" s="1"/>
  <c r="AE33" i="6"/>
  <c r="AF33" i="6" s="1"/>
  <c r="AE34" i="6"/>
  <c r="AF34" i="6" s="1"/>
  <c r="AE35" i="6"/>
  <c r="AF35" i="6" s="1"/>
  <c r="AE36" i="6"/>
  <c r="AF36" i="6" s="1"/>
  <c r="AE37" i="6"/>
  <c r="AF37" i="6" s="1"/>
  <c r="AE38" i="6"/>
  <c r="AF38" i="6" s="1"/>
  <c r="AE39" i="6"/>
  <c r="AF39" i="6" s="1"/>
  <c r="AE40" i="6"/>
  <c r="AF40" i="6" s="1"/>
  <c r="AE41" i="6"/>
  <c r="AF41" i="6" s="1"/>
  <c r="AE42" i="6"/>
  <c r="AF42" i="6" s="1"/>
  <c r="AE43" i="6"/>
  <c r="AF43" i="6" s="1"/>
  <c r="AE44" i="6"/>
  <c r="AF44" i="6" s="1"/>
  <c r="AE45" i="6"/>
  <c r="AF45" i="6" s="1"/>
  <c r="AE46" i="6"/>
  <c r="AF46" i="6" s="1"/>
  <c r="AE47" i="6"/>
  <c r="AF47" i="6" s="1"/>
  <c r="AE48" i="6"/>
  <c r="AF48" i="6" s="1"/>
  <c r="AE49" i="6"/>
  <c r="AF49" i="6" s="1"/>
  <c r="AE50" i="6"/>
  <c r="AF50" i="6" s="1"/>
  <c r="AE51" i="6"/>
  <c r="AF51" i="6" s="1"/>
  <c r="AE52" i="6"/>
  <c r="AF52" i="6" s="1"/>
  <c r="AE53" i="6"/>
  <c r="AF53" i="6" s="1"/>
  <c r="AE54" i="6"/>
  <c r="AF54" i="6" s="1"/>
  <c r="AE55" i="6"/>
  <c r="AF55" i="6" s="1"/>
  <c r="AE56" i="6"/>
  <c r="AF56" i="6" s="1"/>
  <c r="AE57" i="6"/>
  <c r="AF57" i="6" s="1"/>
  <c r="AE58" i="6"/>
  <c r="AF58" i="6" s="1"/>
  <c r="AE59" i="6"/>
  <c r="AF59" i="6" s="1"/>
  <c r="AE60" i="6"/>
  <c r="AF60" i="6" s="1"/>
  <c r="AE61" i="6"/>
  <c r="AF61" i="6" s="1"/>
  <c r="AE62" i="6"/>
  <c r="AF62" i="6" s="1"/>
  <c r="AE63" i="6"/>
  <c r="AF63" i="6" s="1"/>
  <c r="AE64" i="6"/>
  <c r="AF64" i="6" s="1"/>
  <c r="AE65" i="6"/>
  <c r="AF65" i="6" s="1"/>
  <c r="AE66" i="6"/>
  <c r="AF66" i="6" s="1"/>
  <c r="AE67" i="6"/>
  <c r="AF67" i="6" s="1"/>
  <c r="AE68" i="6"/>
  <c r="AF68" i="6" s="1"/>
  <c r="AE69" i="6"/>
  <c r="AF69" i="6" s="1"/>
  <c r="AE70" i="6"/>
  <c r="AF70" i="6" s="1"/>
  <c r="AE71" i="6"/>
  <c r="AF71" i="6" s="1"/>
  <c r="AE72" i="6"/>
  <c r="AF72" i="6" s="1"/>
  <c r="AE73" i="6"/>
  <c r="AF73" i="6" s="1"/>
  <c r="AE74" i="6"/>
  <c r="AE75" i="6"/>
  <c r="AF75" i="6" s="1"/>
  <c r="AE76" i="6"/>
  <c r="AF76" i="6" s="1"/>
  <c r="AE77" i="6"/>
  <c r="AF77" i="6" s="1"/>
  <c r="AE78" i="6"/>
  <c r="AF78" i="6" s="1"/>
  <c r="AE79" i="6"/>
  <c r="AF79" i="6" s="1"/>
  <c r="AE80" i="6"/>
  <c r="AF80" i="6" s="1"/>
  <c r="AE81" i="6"/>
  <c r="AF81" i="6" s="1"/>
  <c r="AE82" i="6"/>
  <c r="AF82" i="6" s="1"/>
  <c r="AE83" i="6"/>
  <c r="AF83" i="6" s="1"/>
  <c r="AE84" i="6"/>
  <c r="AF84" i="6" s="1"/>
  <c r="AE85" i="6"/>
  <c r="AF85" i="6" s="1"/>
  <c r="AE86" i="6"/>
  <c r="AF86" i="6" s="1"/>
  <c r="AE87" i="6"/>
  <c r="AF87" i="6" s="1"/>
  <c r="AE88" i="6"/>
  <c r="AF88" i="6" s="1"/>
  <c r="AE89" i="6"/>
  <c r="AF89" i="6" s="1"/>
  <c r="AE90" i="6"/>
  <c r="AF90" i="6" s="1"/>
  <c r="AE91" i="6"/>
  <c r="AF91" i="6" s="1"/>
  <c r="AE92" i="6"/>
  <c r="AF92" i="6" s="1"/>
  <c r="AE93" i="6"/>
  <c r="AF93" i="6" s="1"/>
  <c r="AE94" i="6"/>
  <c r="AF94" i="6" s="1"/>
  <c r="AE95" i="6"/>
  <c r="AF95" i="6" s="1"/>
  <c r="AE96" i="6"/>
  <c r="AF96" i="6" s="1"/>
  <c r="AE97" i="6"/>
  <c r="AF97" i="6" s="1"/>
  <c r="AE98" i="6"/>
  <c r="AF98" i="6" s="1"/>
  <c r="AE99" i="6"/>
  <c r="AF99" i="6" s="1"/>
  <c r="AE100" i="6"/>
  <c r="AF100" i="6" s="1"/>
  <c r="AE101" i="6"/>
  <c r="AF101" i="6" s="1"/>
  <c r="AE102" i="6"/>
  <c r="AF102" i="6" s="1"/>
  <c r="AE103" i="6"/>
  <c r="AF103" i="6" s="1"/>
  <c r="AE104" i="6"/>
  <c r="AF104" i="6" s="1"/>
  <c r="AE105" i="6"/>
  <c r="AF105" i="6" s="1"/>
  <c r="AE106" i="6"/>
  <c r="AF106" i="6" s="1"/>
  <c r="AE107" i="6"/>
  <c r="AF107" i="6" s="1"/>
  <c r="AE108" i="6"/>
  <c r="AF108" i="6" s="1"/>
  <c r="AE109" i="6"/>
  <c r="AF109" i="6" s="1"/>
  <c r="AE110" i="6"/>
  <c r="AF110" i="6" s="1"/>
  <c r="AE111" i="6"/>
  <c r="AF111" i="6" s="1"/>
  <c r="AE112" i="6"/>
  <c r="AF112" i="6" s="1"/>
  <c r="AE113" i="6"/>
  <c r="AF113" i="6" s="1"/>
  <c r="AE114" i="6"/>
  <c r="AF114" i="6" s="1"/>
  <c r="AE115" i="6"/>
  <c r="AF115" i="6" s="1"/>
  <c r="AE116" i="6"/>
  <c r="AF116" i="6" s="1"/>
  <c r="AE117" i="6"/>
  <c r="AF117" i="6" s="1"/>
  <c r="AE118" i="6"/>
  <c r="AF118" i="6" s="1"/>
  <c r="AE119" i="6"/>
  <c r="AF119" i="6" s="1"/>
  <c r="AE120" i="6"/>
  <c r="AF120" i="6" s="1"/>
  <c r="AE121" i="6"/>
  <c r="AF121" i="6" s="1"/>
  <c r="AE122" i="6"/>
  <c r="AF122" i="6" s="1"/>
  <c r="AE123" i="6"/>
  <c r="AF123" i="6" s="1"/>
  <c r="AE124" i="6"/>
  <c r="AF124" i="6" s="1"/>
  <c r="AE125" i="6"/>
  <c r="AF125" i="6" s="1"/>
  <c r="AE126" i="6"/>
  <c r="AF126" i="6" s="1"/>
  <c r="AE127" i="6"/>
  <c r="AF127" i="6" s="1"/>
  <c r="AE128" i="6"/>
  <c r="AF128" i="6" s="1"/>
  <c r="AE129" i="6"/>
  <c r="AF129" i="6" s="1"/>
  <c r="AE130" i="6"/>
  <c r="AF130" i="6" s="1"/>
  <c r="AE131" i="6"/>
  <c r="AF131" i="6" s="1"/>
  <c r="AE132" i="6"/>
  <c r="AF132" i="6" s="1"/>
  <c r="AE133" i="6"/>
  <c r="AF133" i="6" s="1"/>
  <c r="AE134" i="6"/>
  <c r="AF134" i="6" s="1"/>
  <c r="AE135" i="6"/>
  <c r="AF135" i="6" s="1"/>
  <c r="AE136" i="6"/>
  <c r="AF136" i="6" s="1"/>
  <c r="AE137" i="6"/>
  <c r="AF137" i="6" s="1"/>
  <c r="AE138" i="6"/>
  <c r="AF138" i="6" s="1"/>
  <c r="AE139" i="6"/>
  <c r="AF139" i="6" s="1"/>
  <c r="AE140" i="6"/>
  <c r="AF140" i="6" s="1"/>
  <c r="AE141" i="6"/>
  <c r="AF141" i="6" s="1"/>
  <c r="AE142" i="6"/>
  <c r="AF142" i="6" s="1"/>
  <c r="AE143" i="6"/>
  <c r="AF143" i="6" s="1"/>
  <c r="AE144" i="6"/>
  <c r="AF144" i="6" s="1"/>
  <c r="AE145" i="6"/>
  <c r="AF145" i="6" s="1"/>
  <c r="AE146" i="6"/>
  <c r="AF146" i="6" s="1"/>
  <c r="AE147" i="6"/>
  <c r="AF147" i="6" s="1"/>
  <c r="AE148" i="6"/>
  <c r="AF148" i="6" s="1"/>
  <c r="AE149" i="6"/>
  <c r="AF149" i="6" s="1"/>
  <c r="AE150" i="6"/>
  <c r="AF150" i="6" s="1"/>
  <c r="AE151" i="6"/>
  <c r="AF151" i="6" s="1"/>
  <c r="AE152" i="6"/>
  <c r="AF152" i="6" s="1"/>
  <c r="AE153" i="6"/>
  <c r="AF153" i="6" s="1"/>
  <c r="AE154" i="6"/>
  <c r="AF154" i="6" s="1"/>
  <c r="AE155" i="6"/>
  <c r="AF155" i="6" s="1"/>
  <c r="AE156" i="6"/>
  <c r="AF156" i="6" s="1"/>
  <c r="AE157" i="6"/>
  <c r="AF157" i="6" s="1"/>
  <c r="AE158" i="6"/>
  <c r="AF158" i="6" s="1"/>
  <c r="AE159" i="6"/>
  <c r="AF159" i="6" s="1"/>
  <c r="AE160" i="6"/>
  <c r="AF160" i="6" s="1"/>
  <c r="AE161" i="6"/>
  <c r="AF161" i="6" s="1"/>
  <c r="AE162" i="6"/>
  <c r="AF162" i="6" s="1"/>
  <c r="AE163" i="6"/>
  <c r="AF163" i="6" s="1"/>
  <c r="AE164" i="6"/>
  <c r="AF164" i="6" s="1"/>
  <c r="AE165" i="6"/>
  <c r="AF165" i="6" s="1"/>
  <c r="AE166" i="6"/>
  <c r="AF166" i="6" s="1"/>
  <c r="AE167" i="6"/>
  <c r="AF167" i="6" s="1"/>
  <c r="AE168" i="6"/>
  <c r="AF168" i="6" s="1"/>
  <c r="AE169" i="6"/>
  <c r="AF169" i="6" s="1"/>
  <c r="AE170" i="6"/>
  <c r="AF170" i="6" s="1"/>
  <c r="AE171" i="6"/>
  <c r="AF171" i="6" s="1"/>
  <c r="AE172" i="6"/>
  <c r="AF172" i="6" s="1"/>
  <c r="AE173" i="6"/>
  <c r="AF173" i="6" s="1"/>
  <c r="AE174" i="6"/>
  <c r="AF174" i="6" s="1"/>
  <c r="AE175" i="6"/>
  <c r="AF175" i="6" s="1"/>
  <c r="AE176" i="6"/>
  <c r="AF176" i="6" s="1"/>
  <c r="AE177" i="6"/>
  <c r="AF177" i="6" s="1"/>
  <c r="AE178" i="6"/>
  <c r="AE179" i="6"/>
  <c r="AF179" i="6" s="1"/>
  <c r="AE180" i="6"/>
  <c r="AF180" i="6" s="1"/>
  <c r="AE181" i="6"/>
  <c r="AF181" i="6" s="1"/>
  <c r="AE182" i="6"/>
  <c r="AF182" i="6" s="1"/>
  <c r="AE183" i="6"/>
  <c r="AF183" i="6" s="1"/>
  <c r="AE184" i="6"/>
  <c r="AF184" i="6" s="1"/>
  <c r="AE185" i="6"/>
  <c r="AF185" i="6" s="1"/>
  <c r="AE186" i="6"/>
  <c r="AF186" i="6" s="1"/>
  <c r="AE187" i="6"/>
  <c r="AF187" i="6" s="1"/>
  <c r="AE188" i="6"/>
  <c r="AF188" i="6" s="1"/>
  <c r="AE189" i="6"/>
  <c r="AF189" i="6" s="1"/>
  <c r="AE190" i="6"/>
  <c r="AF190" i="6" s="1"/>
  <c r="AE191" i="6"/>
  <c r="AF191" i="6" s="1"/>
  <c r="AE192" i="6"/>
  <c r="AF192" i="6" s="1"/>
  <c r="AE193" i="6"/>
  <c r="AF193" i="6" s="1"/>
  <c r="AE194" i="6"/>
  <c r="AF194" i="6" s="1"/>
  <c r="AE195" i="6"/>
  <c r="AF195" i="6" s="1"/>
  <c r="AE196" i="6"/>
  <c r="AF196" i="6" s="1"/>
  <c r="AE197" i="6"/>
  <c r="AF197" i="6" s="1"/>
  <c r="AE198" i="6"/>
  <c r="AF198" i="6" s="1"/>
  <c r="AE199" i="6"/>
  <c r="AF199" i="6" s="1"/>
  <c r="AE200" i="6"/>
  <c r="AF200" i="6" s="1"/>
  <c r="AE201" i="6"/>
  <c r="AF201" i="6" s="1"/>
  <c r="AE202" i="6"/>
  <c r="AF202" i="6" s="1"/>
  <c r="AE203" i="6"/>
  <c r="AF203" i="6" s="1"/>
  <c r="AE204" i="6"/>
  <c r="AF204" i="6" s="1"/>
  <c r="AE205" i="6"/>
  <c r="AF205" i="6" s="1"/>
  <c r="AE206" i="6"/>
  <c r="AF206" i="6" s="1"/>
  <c r="AE207" i="6"/>
  <c r="AF207" i="6" s="1"/>
  <c r="AE208" i="6"/>
  <c r="AF208" i="6" s="1"/>
  <c r="AE209" i="6"/>
  <c r="AF209" i="6" s="1"/>
  <c r="AE210" i="6"/>
  <c r="AF210" i="6" s="1"/>
  <c r="AE211" i="6"/>
  <c r="AF211" i="6" s="1"/>
  <c r="AE212" i="6"/>
  <c r="AF212" i="6" s="1"/>
  <c r="AE213" i="6"/>
  <c r="AF213" i="6" s="1"/>
  <c r="AE214" i="6"/>
  <c r="AF214" i="6" s="1"/>
  <c r="AE215" i="6"/>
  <c r="AF215" i="6" s="1"/>
  <c r="AE216" i="6"/>
  <c r="AF216" i="6" s="1"/>
  <c r="AE217" i="6"/>
  <c r="AF217" i="6" s="1"/>
  <c r="AE218" i="6"/>
  <c r="AF218" i="6" s="1"/>
  <c r="AE219" i="6"/>
  <c r="AF219" i="6" s="1"/>
  <c r="AE220" i="6"/>
  <c r="AF220" i="6" s="1"/>
  <c r="AE221" i="6"/>
  <c r="AF221" i="6" s="1"/>
  <c r="AE222" i="6"/>
  <c r="AF222" i="6" s="1"/>
  <c r="AE223" i="6"/>
  <c r="AF223" i="6" s="1"/>
  <c r="AE224" i="6"/>
  <c r="AF224" i="6" s="1"/>
  <c r="AE225" i="6"/>
  <c r="AF225" i="6" s="1"/>
  <c r="AE226" i="6"/>
  <c r="AF226" i="6" s="1"/>
  <c r="AE227" i="6"/>
  <c r="AF227" i="6" s="1"/>
  <c r="AE228" i="6"/>
  <c r="AF228" i="6" s="1"/>
  <c r="AE229" i="6"/>
  <c r="AF229" i="6" s="1"/>
  <c r="AE230" i="6"/>
  <c r="AF230" i="6" s="1"/>
  <c r="AE231" i="6"/>
  <c r="AF231" i="6" s="1"/>
  <c r="AE232" i="6"/>
  <c r="AF232" i="6" s="1"/>
  <c r="AE233" i="6"/>
  <c r="AF233" i="6" s="1"/>
  <c r="AE234" i="6"/>
  <c r="AF234" i="6" s="1"/>
  <c r="AE235" i="6"/>
  <c r="AF235" i="6" s="1"/>
  <c r="AE236" i="6"/>
  <c r="AF236" i="6" s="1"/>
  <c r="AE237" i="6"/>
  <c r="AF237" i="6" s="1"/>
  <c r="AE238" i="6"/>
  <c r="AF238" i="6" s="1"/>
  <c r="AE239" i="6"/>
  <c r="AF239" i="6" s="1"/>
  <c r="AE240" i="6"/>
  <c r="AF240" i="6" s="1"/>
  <c r="AE241" i="6"/>
  <c r="AF241" i="6" s="1"/>
  <c r="AE242" i="6"/>
  <c r="AF242" i="6" s="1"/>
  <c r="AE243" i="6"/>
  <c r="AF243" i="6" s="1"/>
  <c r="AE244" i="6"/>
  <c r="AF244" i="6" s="1"/>
  <c r="AE245" i="6"/>
  <c r="AF245" i="6" s="1"/>
  <c r="AE246" i="6"/>
  <c r="AF246" i="6" s="1"/>
  <c r="AE247" i="6"/>
  <c r="AF247" i="6" s="1"/>
  <c r="AE248" i="6"/>
  <c r="AF248" i="6" s="1"/>
  <c r="AE249" i="6"/>
  <c r="AF249" i="6" s="1"/>
  <c r="AE250" i="6"/>
  <c r="AF250" i="6" s="1"/>
  <c r="AE251" i="6"/>
  <c r="AF251" i="6" s="1"/>
  <c r="AE252" i="6"/>
  <c r="AF252" i="6" s="1"/>
  <c r="AE253" i="6"/>
  <c r="AF253" i="6" s="1"/>
  <c r="AE254" i="6"/>
  <c r="AF254" i="6" s="1"/>
  <c r="AE255" i="6"/>
  <c r="AF255" i="6" s="1"/>
  <c r="AE256" i="6"/>
  <c r="AF256" i="6" s="1"/>
  <c r="AE257" i="6"/>
  <c r="AF257" i="6" s="1"/>
  <c r="AE258" i="6"/>
  <c r="AF258" i="6" s="1"/>
  <c r="AE259" i="6"/>
  <c r="AF259" i="6" s="1"/>
  <c r="AE260" i="6"/>
  <c r="AF260" i="6" s="1"/>
  <c r="AE261" i="6"/>
  <c r="AF261" i="6" s="1"/>
  <c r="AE262" i="6"/>
  <c r="AF262" i="6" s="1"/>
  <c r="AE263" i="6"/>
  <c r="AF263" i="6" s="1"/>
  <c r="AE264" i="6"/>
  <c r="AF264" i="6" s="1"/>
  <c r="AE265" i="6"/>
  <c r="AF265" i="6" s="1"/>
  <c r="AE266" i="6"/>
  <c r="AF266" i="6" s="1"/>
  <c r="AE267" i="6"/>
  <c r="AF267" i="6" s="1"/>
  <c r="AE268" i="6"/>
  <c r="AF268" i="6" s="1"/>
  <c r="AE269" i="6"/>
  <c r="AF269" i="6" s="1"/>
  <c r="AE270" i="6"/>
  <c r="AF270" i="6" s="1"/>
  <c r="AE271" i="6"/>
  <c r="AF271" i="6" s="1"/>
  <c r="AE272" i="6"/>
  <c r="AF272" i="6" s="1"/>
  <c r="AE273" i="6"/>
  <c r="AF273" i="6" s="1"/>
  <c r="AE274" i="6"/>
  <c r="AF274" i="6" s="1"/>
  <c r="AE275" i="6"/>
  <c r="AF275" i="6" s="1"/>
  <c r="AE276" i="6"/>
  <c r="AF276" i="6" s="1"/>
  <c r="AE277" i="6"/>
  <c r="AF277" i="6" s="1"/>
  <c r="AE278" i="6"/>
  <c r="AF278" i="6" s="1"/>
  <c r="AE279" i="6"/>
  <c r="AF279" i="6" s="1"/>
  <c r="AE280" i="6"/>
  <c r="AF280" i="6" s="1"/>
  <c r="AE281" i="6"/>
  <c r="AF281" i="6" s="1"/>
  <c r="AE282" i="6"/>
  <c r="AF282" i="6" s="1"/>
  <c r="AE283" i="6"/>
  <c r="AF283" i="6" s="1"/>
  <c r="AE284" i="6"/>
  <c r="AF284" i="6" s="1"/>
  <c r="AE285" i="6"/>
  <c r="AF285" i="6" s="1"/>
  <c r="AE286" i="6"/>
  <c r="AF286" i="6" s="1"/>
  <c r="AE287" i="6"/>
  <c r="AF287" i="6" s="1"/>
  <c r="AE288" i="6"/>
  <c r="AF288" i="6" s="1"/>
  <c r="AE289" i="6"/>
  <c r="AF289" i="6" s="1"/>
  <c r="AE290" i="6"/>
  <c r="AF290" i="6" s="1"/>
  <c r="AE291" i="6"/>
  <c r="AF291" i="6" s="1"/>
  <c r="AE292" i="6"/>
  <c r="AF292" i="6" s="1"/>
  <c r="AE293" i="6"/>
  <c r="AF293" i="6" s="1"/>
  <c r="AE294" i="6"/>
  <c r="AF294" i="6" s="1"/>
  <c r="AE295" i="6"/>
  <c r="AF295" i="6" s="1"/>
  <c r="AE296" i="6"/>
  <c r="AF296" i="6" s="1"/>
  <c r="AE297" i="6"/>
  <c r="AF297" i="6" s="1"/>
  <c r="AE298" i="6"/>
  <c r="AF298" i="6" s="1"/>
  <c r="AE299" i="6"/>
  <c r="AF299" i="6" s="1"/>
  <c r="AE300" i="6"/>
  <c r="AF300" i="6" s="1"/>
  <c r="AE301" i="6"/>
  <c r="AF301" i="6" s="1"/>
  <c r="AE302" i="6"/>
  <c r="AF302" i="6" s="1"/>
  <c r="AE303" i="6"/>
  <c r="AF303" i="6" s="1"/>
  <c r="AE304" i="6"/>
  <c r="AF304" i="6" s="1"/>
  <c r="AE305" i="6"/>
  <c r="AF305" i="6" s="1"/>
  <c r="AE306" i="6"/>
  <c r="AE307" i="6"/>
  <c r="AF307" i="6" s="1"/>
  <c r="AE308" i="6"/>
  <c r="AF308" i="6" s="1"/>
  <c r="AE309" i="6"/>
  <c r="AF309" i="6" s="1"/>
  <c r="AE310" i="6"/>
  <c r="AF310" i="6" s="1"/>
  <c r="AE311" i="6"/>
  <c r="AF311" i="6" s="1"/>
  <c r="AE312" i="6"/>
  <c r="AF312" i="6" s="1"/>
  <c r="AE313" i="6"/>
  <c r="AF313" i="6" s="1"/>
  <c r="AE314" i="6"/>
  <c r="AF314" i="6" s="1"/>
  <c r="AE315" i="6"/>
  <c r="AF315" i="6" s="1"/>
  <c r="AE316" i="6"/>
  <c r="AF316" i="6" s="1"/>
  <c r="AE317" i="6"/>
  <c r="AF317" i="6" s="1"/>
  <c r="AE318" i="6"/>
  <c r="AF318" i="6" s="1"/>
  <c r="AE319" i="6"/>
  <c r="AF319" i="6" s="1"/>
  <c r="AE320" i="6"/>
  <c r="AF320" i="6" s="1"/>
  <c r="AE321" i="6"/>
  <c r="AF321" i="6" s="1"/>
  <c r="AE322" i="6"/>
  <c r="AF322" i="6" s="1"/>
  <c r="AE323" i="6"/>
  <c r="AF323" i="6" s="1"/>
  <c r="AE324" i="6"/>
  <c r="AF324" i="6" s="1"/>
  <c r="AE325" i="6"/>
  <c r="AF325" i="6" s="1"/>
  <c r="AE326" i="6"/>
  <c r="AF326" i="6" s="1"/>
  <c r="AE327" i="6"/>
  <c r="AF327" i="6" s="1"/>
  <c r="AE328" i="6"/>
  <c r="AF328" i="6" s="1"/>
  <c r="AE329" i="6"/>
  <c r="AF329" i="6" s="1"/>
  <c r="AE330" i="6"/>
  <c r="AF330" i="6" s="1"/>
  <c r="AE331" i="6"/>
  <c r="AF331" i="6" s="1"/>
  <c r="AE332" i="6"/>
  <c r="AF332" i="6" s="1"/>
  <c r="AE333" i="6"/>
  <c r="AF333" i="6" s="1"/>
  <c r="AE334" i="6"/>
  <c r="AF334" i="6" s="1"/>
  <c r="AE335" i="6"/>
  <c r="AF335" i="6" s="1"/>
  <c r="AE336" i="6"/>
  <c r="AF336" i="6" s="1"/>
  <c r="AE337" i="6"/>
  <c r="AF337" i="6" s="1"/>
  <c r="AE338" i="6"/>
  <c r="AF338" i="6" s="1"/>
  <c r="AE339" i="6"/>
  <c r="AF339" i="6" s="1"/>
  <c r="AE340" i="6"/>
  <c r="AF340" i="6" s="1"/>
  <c r="AE341" i="6"/>
  <c r="AF341" i="6" s="1"/>
  <c r="AE342" i="6"/>
  <c r="AF342" i="6" s="1"/>
  <c r="AE343" i="6"/>
  <c r="AF343" i="6" s="1"/>
  <c r="AE344" i="6"/>
  <c r="AF344" i="6" s="1"/>
  <c r="AE345" i="6"/>
  <c r="AF345" i="6" s="1"/>
  <c r="AE346" i="6"/>
  <c r="AF346" i="6" s="1"/>
  <c r="AE347" i="6"/>
  <c r="AF347" i="6" s="1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AC4" i="6"/>
  <c r="AD4" i="6" s="1"/>
  <c r="AC5" i="6"/>
  <c r="AD5" i="6" s="1"/>
  <c r="AC6" i="6"/>
  <c r="AD6" i="6" s="1"/>
  <c r="AC7" i="6"/>
  <c r="AD7" i="6" s="1"/>
  <c r="AC8" i="6"/>
  <c r="AD8" i="6" s="1"/>
  <c r="AC9" i="6"/>
  <c r="AD9" i="6" s="1"/>
  <c r="AC10" i="6"/>
  <c r="AD10" i="6" s="1"/>
  <c r="AC11" i="6"/>
  <c r="AD11" i="6" s="1"/>
  <c r="AC12" i="6"/>
  <c r="AD12" i="6" s="1"/>
  <c r="AC13" i="6"/>
  <c r="AD13" i="6" s="1"/>
  <c r="AC14" i="6"/>
  <c r="AD14" i="6" s="1"/>
  <c r="AC15" i="6"/>
  <c r="AD15" i="6" s="1"/>
  <c r="AC16" i="6"/>
  <c r="AD16" i="6" s="1"/>
  <c r="AC17" i="6"/>
  <c r="AD17" i="6" s="1"/>
  <c r="AC18" i="6"/>
  <c r="AD18" i="6" s="1"/>
  <c r="AC19" i="6"/>
  <c r="AD19" i="6" s="1"/>
  <c r="AC20" i="6"/>
  <c r="AD20" i="6" s="1"/>
  <c r="AC21" i="6"/>
  <c r="AD21" i="6" s="1"/>
  <c r="AC22" i="6"/>
  <c r="AD22" i="6" s="1"/>
  <c r="AC23" i="6"/>
  <c r="AD23" i="6" s="1"/>
  <c r="AC24" i="6"/>
  <c r="AD24" i="6" s="1"/>
  <c r="AC25" i="6"/>
  <c r="AD25" i="6" s="1"/>
  <c r="AC26" i="6"/>
  <c r="AD26" i="6" s="1"/>
  <c r="AC27" i="6"/>
  <c r="AD27" i="6" s="1"/>
  <c r="AC28" i="6"/>
  <c r="AD28" i="6" s="1"/>
  <c r="AC29" i="6"/>
  <c r="AD29" i="6" s="1"/>
  <c r="AC30" i="6"/>
  <c r="AD30" i="6" s="1"/>
  <c r="AC31" i="6"/>
  <c r="AD31" i="6" s="1"/>
  <c r="AC32" i="6"/>
  <c r="AD32" i="6" s="1"/>
  <c r="AC33" i="6"/>
  <c r="AD33" i="6" s="1"/>
  <c r="AC34" i="6"/>
  <c r="AD34" i="6" s="1"/>
  <c r="AC35" i="6"/>
  <c r="AD35" i="6" s="1"/>
  <c r="AC36" i="6"/>
  <c r="AD36" i="6" s="1"/>
  <c r="AC37" i="6"/>
  <c r="AD37" i="6" s="1"/>
  <c r="AC38" i="6"/>
  <c r="AD38" i="6" s="1"/>
  <c r="AC39" i="6"/>
  <c r="AD39" i="6" s="1"/>
  <c r="AC40" i="6"/>
  <c r="AD40" i="6" s="1"/>
  <c r="AC41" i="6"/>
  <c r="AD41" i="6" s="1"/>
  <c r="AC42" i="6"/>
  <c r="AD42" i="6" s="1"/>
  <c r="AC43" i="6"/>
  <c r="AD43" i="6" s="1"/>
  <c r="AC44" i="6"/>
  <c r="AD44" i="6" s="1"/>
  <c r="AC45" i="6"/>
  <c r="AD45" i="6" s="1"/>
  <c r="AC46" i="6"/>
  <c r="AD46" i="6" s="1"/>
  <c r="AC47" i="6"/>
  <c r="AD47" i="6" s="1"/>
  <c r="AC48" i="6"/>
  <c r="AD48" i="6" s="1"/>
  <c r="AC49" i="6"/>
  <c r="AD49" i="6" s="1"/>
  <c r="AC50" i="6"/>
  <c r="AD50" i="6" s="1"/>
  <c r="AC51" i="6"/>
  <c r="AD51" i="6" s="1"/>
  <c r="AC52" i="6"/>
  <c r="AD52" i="6" s="1"/>
  <c r="AC53" i="6"/>
  <c r="AD53" i="6" s="1"/>
  <c r="AC54" i="6"/>
  <c r="AD54" i="6" s="1"/>
  <c r="AC55" i="6"/>
  <c r="AD55" i="6" s="1"/>
  <c r="AC56" i="6"/>
  <c r="AD56" i="6" s="1"/>
  <c r="AC57" i="6"/>
  <c r="AD57" i="6" s="1"/>
  <c r="AC58" i="6"/>
  <c r="AD58" i="6" s="1"/>
  <c r="AC59" i="6"/>
  <c r="AD59" i="6" s="1"/>
  <c r="AC60" i="6"/>
  <c r="AD60" i="6" s="1"/>
  <c r="AC61" i="6"/>
  <c r="AD61" i="6" s="1"/>
  <c r="AC62" i="6"/>
  <c r="AD62" i="6" s="1"/>
  <c r="AC63" i="6"/>
  <c r="AD63" i="6" s="1"/>
  <c r="AC64" i="6"/>
  <c r="AD64" i="6" s="1"/>
  <c r="AC65" i="6"/>
  <c r="AD65" i="6" s="1"/>
  <c r="AC66" i="6"/>
  <c r="AD66" i="6" s="1"/>
  <c r="AC67" i="6"/>
  <c r="AD67" i="6" s="1"/>
  <c r="AC68" i="6"/>
  <c r="AD68" i="6" s="1"/>
  <c r="AC69" i="6"/>
  <c r="AD69" i="6" s="1"/>
  <c r="AC70" i="6"/>
  <c r="AD70" i="6" s="1"/>
  <c r="AC71" i="6"/>
  <c r="AD71" i="6" s="1"/>
  <c r="AC72" i="6"/>
  <c r="AD72" i="6" s="1"/>
  <c r="AC73" i="6"/>
  <c r="AD73" i="6" s="1"/>
  <c r="AC74" i="6"/>
  <c r="AD74" i="6" s="1"/>
  <c r="AC75" i="6"/>
  <c r="AD75" i="6" s="1"/>
  <c r="AC76" i="6"/>
  <c r="AD76" i="6" s="1"/>
  <c r="AC77" i="6"/>
  <c r="AD77" i="6" s="1"/>
  <c r="AC78" i="6"/>
  <c r="AD78" i="6" s="1"/>
  <c r="AC79" i="6"/>
  <c r="AD79" i="6" s="1"/>
  <c r="AC80" i="6"/>
  <c r="AD80" i="6" s="1"/>
  <c r="AC81" i="6"/>
  <c r="AD81" i="6" s="1"/>
  <c r="AC82" i="6"/>
  <c r="AD82" i="6" s="1"/>
  <c r="AC83" i="6"/>
  <c r="AD83" i="6" s="1"/>
  <c r="AC84" i="6"/>
  <c r="AD84" i="6" s="1"/>
  <c r="AC85" i="6"/>
  <c r="AD85" i="6" s="1"/>
  <c r="AC86" i="6"/>
  <c r="AD86" i="6" s="1"/>
  <c r="AC87" i="6"/>
  <c r="AD87" i="6" s="1"/>
  <c r="AC88" i="6"/>
  <c r="AD88" i="6" s="1"/>
  <c r="AC89" i="6"/>
  <c r="AD89" i="6" s="1"/>
  <c r="AC90" i="6"/>
  <c r="AD90" i="6" s="1"/>
  <c r="AC91" i="6"/>
  <c r="AD91" i="6" s="1"/>
  <c r="AC92" i="6"/>
  <c r="AD92" i="6" s="1"/>
  <c r="AC93" i="6"/>
  <c r="AD93" i="6" s="1"/>
  <c r="AC94" i="6"/>
  <c r="AD94" i="6" s="1"/>
  <c r="AC95" i="6"/>
  <c r="AD95" i="6" s="1"/>
  <c r="AC96" i="6"/>
  <c r="AD96" i="6" s="1"/>
  <c r="AC97" i="6"/>
  <c r="AD97" i="6" s="1"/>
  <c r="AC98" i="6"/>
  <c r="AD98" i="6" s="1"/>
  <c r="AC99" i="6"/>
  <c r="AD99" i="6" s="1"/>
  <c r="AC100" i="6"/>
  <c r="AD100" i="6" s="1"/>
  <c r="AC101" i="6"/>
  <c r="AD101" i="6" s="1"/>
  <c r="AC102" i="6"/>
  <c r="AD102" i="6" s="1"/>
  <c r="AC103" i="6"/>
  <c r="AD103" i="6" s="1"/>
  <c r="AC104" i="6"/>
  <c r="AD104" i="6" s="1"/>
  <c r="AC105" i="6"/>
  <c r="AD105" i="6" s="1"/>
  <c r="AC106" i="6"/>
  <c r="AD106" i="6" s="1"/>
  <c r="AC107" i="6"/>
  <c r="AD107" i="6" s="1"/>
  <c r="AC108" i="6"/>
  <c r="AD108" i="6" s="1"/>
  <c r="AC109" i="6"/>
  <c r="AD109" i="6" s="1"/>
  <c r="AC110" i="6"/>
  <c r="AD110" i="6" s="1"/>
  <c r="AC111" i="6"/>
  <c r="AD111" i="6" s="1"/>
  <c r="AC112" i="6"/>
  <c r="AD112" i="6" s="1"/>
  <c r="AC113" i="6"/>
  <c r="AD113" i="6" s="1"/>
  <c r="AC114" i="6"/>
  <c r="AD114" i="6" s="1"/>
  <c r="AC115" i="6"/>
  <c r="AD115" i="6" s="1"/>
  <c r="AC116" i="6"/>
  <c r="AD116" i="6" s="1"/>
  <c r="AC117" i="6"/>
  <c r="AD117" i="6" s="1"/>
  <c r="AC118" i="6"/>
  <c r="AD118" i="6" s="1"/>
  <c r="AC119" i="6"/>
  <c r="AD119" i="6" s="1"/>
  <c r="AC120" i="6"/>
  <c r="AD120" i="6" s="1"/>
  <c r="AC121" i="6"/>
  <c r="AD121" i="6" s="1"/>
  <c r="AC122" i="6"/>
  <c r="AD122" i="6" s="1"/>
  <c r="AC123" i="6"/>
  <c r="AD123" i="6" s="1"/>
  <c r="AC124" i="6"/>
  <c r="AD124" i="6" s="1"/>
  <c r="AC125" i="6"/>
  <c r="AD125" i="6" s="1"/>
  <c r="AC126" i="6"/>
  <c r="AD126" i="6" s="1"/>
  <c r="AC127" i="6"/>
  <c r="AD127" i="6" s="1"/>
  <c r="AC128" i="6"/>
  <c r="AD128" i="6" s="1"/>
  <c r="AC129" i="6"/>
  <c r="AD129" i="6" s="1"/>
  <c r="AC130" i="6"/>
  <c r="AD130" i="6" s="1"/>
  <c r="AC131" i="6"/>
  <c r="AD131" i="6" s="1"/>
  <c r="AC132" i="6"/>
  <c r="AD132" i="6" s="1"/>
  <c r="AC133" i="6"/>
  <c r="AD133" i="6" s="1"/>
  <c r="AC134" i="6"/>
  <c r="AD134" i="6" s="1"/>
  <c r="AC135" i="6"/>
  <c r="AD135" i="6" s="1"/>
  <c r="AC136" i="6"/>
  <c r="AD136" i="6" s="1"/>
  <c r="AC137" i="6"/>
  <c r="AD137" i="6" s="1"/>
  <c r="AC138" i="6"/>
  <c r="AD138" i="6" s="1"/>
  <c r="AC139" i="6"/>
  <c r="AD139" i="6" s="1"/>
  <c r="AC140" i="6"/>
  <c r="AD140" i="6" s="1"/>
  <c r="AC141" i="6"/>
  <c r="AD141" i="6" s="1"/>
  <c r="AC142" i="6"/>
  <c r="AD142" i="6" s="1"/>
  <c r="AC143" i="6"/>
  <c r="AD143" i="6" s="1"/>
  <c r="AC144" i="6"/>
  <c r="AD144" i="6" s="1"/>
  <c r="AC145" i="6"/>
  <c r="AD145" i="6" s="1"/>
  <c r="AC146" i="6"/>
  <c r="AD146" i="6" s="1"/>
  <c r="AC147" i="6"/>
  <c r="AD147" i="6" s="1"/>
  <c r="AC148" i="6"/>
  <c r="AD148" i="6" s="1"/>
  <c r="AC149" i="6"/>
  <c r="AD149" i="6" s="1"/>
  <c r="AC150" i="6"/>
  <c r="AD150" i="6" s="1"/>
  <c r="AC151" i="6"/>
  <c r="AD151" i="6" s="1"/>
  <c r="AC152" i="6"/>
  <c r="AD152" i="6" s="1"/>
  <c r="AC153" i="6"/>
  <c r="AD153" i="6" s="1"/>
  <c r="AC154" i="6"/>
  <c r="AD154" i="6" s="1"/>
  <c r="AC155" i="6"/>
  <c r="AD155" i="6" s="1"/>
  <c r="AC156" i="6"/>
  <c r="AD156" i="6" s="1"/>
  <c r="AC157" i="6"/>
  <c r="AD157" i="6" s="1"/>
  <c r="AC158" i="6"/>
  <c r="AD158" i="6" s="1"/>
  <c r="AC159" i="6"/>
  <c r="AD159" i="6" s="1"/>
  <c r="AC160" i="6"/>
  <c r="AD160" i="6" s="1"/>
  <c r="AC161" i="6"/>
  <c r="AD161" i="6" s="1"/>
  <c r="AC162" i="6"/>
  <c r="AD162" i="6" s="1"/>
  <c r="AC163" i="6"/>
  <c r="AD163" i="6" s="1"/>
  <c r="AC164" i="6"/>
  <c r="AD164" i="6" s="1"/>
  <c r="AC165" i="6"/>
  <c r="AD165" i="6" s="1"/>
  <c r="AC166" i="6"/>
  <c r="AD166" i="6" s="1"/>
  <c r="AC167" i="6"/>
  <c r="AD167" i="6" s="1"/>
  <c r="AC168" i="6"/>
  <c r="AD168" i="6" s="1"/>
  <c r="AC169" i="6"/>
  <c r="AD169" i="6" s="1"/>
  <c r="AC170" i="6"/>
  <c r="AD170" i="6" s="1"/>
  <c r="AC171" i="6"/>
  <c r="AD171" i="6" s="1"/>
  <c r="AC172" i="6"/>
  <c r="AD172" i="6" s="1"/>
  <c r="AC173" i="6"/>
  <c r="AD173" i="6" s="1"/>
  <c r="AC174" i="6"/>
  <c r="AD174" i="6" s="1"/>
  <c r="AC175" i="6"/>
  <c r="AD175" i="6" s="1"/>
  <c r="AC176" i="6"/>
  <c r="AD176" i="6" s="1"/>
  <c r="AC177" i="6"/>
  <c r="AD177" i="6" s="1"/>
  <c r="AC178" i="6"/>
  <c r="AD178" i="6" s="1"/>
  <c r="AC179" i="6"/>
  <c r="AD179" i="6" s="1"/>
  <c r="AC180" i="6"/>
  <c r="AD180" i="6" s="1"/>
  <c r="AC181" i="6"/>
  <c r="AD181" i="6" s="1"/>
  <c r="AC182" i="6"/>
  <c r="AD182" i="6" s="1"/>
  <c r="AC183" i="6"/>
  <c r="AD183" i="6" s="1"/>
  <c r="AC184" i="6"/>
  <c r="AD184" i="6" s="1"/>
  <c r="AC185" i="6"/>
  <c r="AD185" i="6" s="1"/>
  <c r="AC186" i="6"/>
  <c r="AD186" i="6" s="1"/>
  <c r="AC187" i="6"/>
  <c r="AD187" i="6" s="1"/>
  <c r="AC188" i="6"/>
  <c r="AD188" i="6" s="1"/>
  <c r="AC189" i="6"/>
  <c r="AD189" i="6" s="1"/>
  <c r="AC190" i="6"/>
  <c r="AD190" i="6" s="1"/>
  <c r="AC191" i="6"/>
  <c r="AD191" i="6" s="1"/>
  <c r="AC192" i="6"/>
  <c r="AD192" i="6" s="1"/>
  <c r="AC193" i="6"/>
  <c r="AD193" i="6" s="1"/>
  <c r="AC194" i="6"/>
  <c r="AD194" i="6" s="1"/>
  <c r="AC195" i="6"/>
  <c r="AD195" i="6" s="1"/>
  <c r="AC196" i="6"/>
  <c r="AD196" i="6" s="1"/>
  <c r="AC197" i="6"/>
  <c r="AD197" i="6" s="1"/>
  <c r="AC198" i="6"/>
  <c r="AD198" i="6" s="1"/>
  <c r="AC199" i="6"/>
  <c r="AD199" i="6" s="1"/>
  <c r="AC200" i="6"/>
  <c r="AD200" i="6" s="1"/>
  <c r="AC201" i="6"/>
  <c r="AD201" i="6" s="1"/>
  <c r="AC202" i="6"/>
  <c r="AD202" i="6" s="1"/>
  <c r="AC203" i="6"/>
  <c r="AD203" i="6" s="1"/>
  <c r="AC204" i="6"/>
  <c r="AD204" i="6" s="1"/>
  <c r="AC205" i="6"/>
  <c r="AD205" i="6" s="1"/>
  <c r="AC206" i="6"/>
  <c r="AD206" i="6" s="1"/>
  <c r="AC207" i="6"/>
  <c r="AD207" i="6" s="1"/>
  <c r="AC208" i="6"/>
  <c r="AD208" i="6" s="1"/>
  <c r="AC209" i="6"/>
  <c r="AD209" i="6" s="1"/>
  <c r="AC210" i="6"/>
  <c r="AD210" i="6" s="1"/>
  <c r="AC211" i="6"/>
  <c r="AD211" i="6" s="1"/>
  <c r="AC212" i="6"/>
  <c r="AD212" i="6" s="1"/>
  <c r="AC213" i="6"/>
  <c r="AD213" i="6" s="1"/>
  <c r="AC214" i="6"/>
  <c r="AD214" i="6" s="1"/>
  <c r="AC215" i="6"/>
  <c r="AD215" i="6" s="1"/>
  <c r="AC216" i="6"/>
  <c r="AD216" i="6" s="1"/>
  <c r="AC217" i="6"/>
  <c r="AD217" i="6" s="1"/>
  <c r="AC218" i="6"/>
  <c r="AD218" i="6" s="1"/>
  <c r="AC219" i="6"/>
  <c r="AD219" i="6" s="1"/>
  <c r="AC220" i="6"/>
  <c r="AD220" i="6" s="1"/>
  <c r="AC221" i="6"/>
  <c r="AD221" i="6" s="1"/>
  <c r="AC222" i="6"/>
  <c r="AD222" i="6" s="1"/>
  <c r="AC223" i="6"/>
  <c r="AD223" i="6" s="1"/>
  <c r="AC224" i="6"/>
  <c r="AD224" i="6" s="1"/>
  <c r="AC225" i="6"/>
  <c r="AD225" i="6" s="1"/>
  <c r="AC226" i="6"/>
  <c r="AD226" i="6" s="1"/>
  <c r="AC227" i="6"/>
  <c r="AD227" i="6" s="1"/>
  <c r="AC228" i="6"/>
  <c r="AD228" i="6" s="1"/>
  <c r="AC229" i="6"/>
  <c r="AD229" i="6" s="1"/>
  <c r="AC230" i="6"/>
  <c r="AD230" i="6" s="1"/>
  <c r="AC231" i="6"/>
  <c r="AD231" i="6" s="1"/>
  <c r="AC232" i="6"/>
  <c r="AD232" i="6" s="1"/>
  <c r="AC233" i="6"/>
  <c r="AD233" i="6" s="1"/>
  <c r="AC234" i="6"/>
  <c r="AD234" i="6" s="1"/>
  <c r="AC235" i="6"/>
  <c r="AD235" i="6" s="1"/>
  <c r="AC236" i="6"/>
  <c r="AD236" i="6" s="1"/>
  <c r="AC237" i="6"/>
  <c r="AD237" i="6" s="1"/>
  <c r="AC238" i="6"/>
  <c r="AD238" i="6" s="1"/>
  <c r="AC239" i="6"/>
  <c r="AD239" i="6" s="1"/>
  <c r="AC240" i="6"/>
  <c r="AD240" i="6" s="1"/>
  <c r="AC241" i="6"/>
  <c r="AD241" i="6" s="1"/>
  <c r="AC242" i="6"/>
  <c r="AD242" i="6" s="1"/>
  <c r="AC243" i="6"/>
  <c r="AD243" i="6" s="1"/>
  <c r="AC244" i="6"/>
  <c r="AD244" i="6" s="1"/>
  <c r="AC245" i="6"/>
  <c r="AD245" i="6" s="1"/>
  <c r="AC246" i="6"/>
  <c r="AD246" i="6" s="1"/>
  <c r="AC247" i="6"/>
  <c r="AD247" i="6" s="1"/>
  <c r="AC248" i="6"/>
  <c r="AD248" i="6" s="1"/>
  <c r="AC249" i="6"/>
  <c r="AD249" i="6" s="1"/>
  <c r="AC250" i="6"/>
  <c r="AD250" i="6" s="1"/>
  <c r="AC251" i="6"/>
  <c r="AD251" i="6" s="1"/>
  <c r="AC252" i="6"/>
  <c r="AD252" i="6" s="1"/>
  <c r="AC253" i="6"/>
  <c r="AD253" i="6" s="1"/>
  <c r="AC254" i="6"/>
  <c r="AD254" i="6" s="1"/>
  <c r="AC255" i="6"/>
  <c r="AD255" i="6" s="1"/>
  <c r="AC256" i="6"/>
  <c r="AD256" i="6" s="1"/>
  <c r="AC257" i="6"/>
  <c r="AD257" i="6" s="1"/>
  <c r="AC258" i="6"/>
  <c r="AD258" i="6" s="1"/>
  <c r="AC259" i="6"/>
  <c r="AD259" i="6" s="1"/>
  <c r="AC260" i="6"/>
  <c r="AD260" i="6" s="1"/>
  <c r="AC261" i="6"/>
  <c r="AD261" i="6" s="1"/>
  <c r="AC262" i="6"/>
  <c r="AD262" i="6" s="1"/>
  <c r="AC263" i="6"/>
  <c r="AD263" i="6" s="1"/>
  <c r="AC264" i="6"/>
  <c r="AD264" i="6" s="1"/>
  <c r="AC265" i="6"/>
  <c r="AD265" i="6" s="1"/>
  <c r="AC266" i="6"/>
  <c r="AD266" i="6" s="1"/>
  <c r="AC267" i="6"/>
  <c r="AD267" i="6" s="1"/>
  <c r="AC268" i="6"/>
  <c r="AD268" i="6" s="1"/>
  <c r="AC269" i="6"/>
  <c r="AD269" i="6" s="1"/>
  <c r="AC270" i="6"/>
  <c r="AD270" i="6" s="1"/>
  <c r="AC271" i="6"/>
  <c r="AD271" i="6" s="1"/>
  <c r="AC272" i="6"/>
  <c r="AD272" i="6" s="1"/>
  <c r="AC273" i="6"/>
  <c r="AD273" i="6" s="1"/>
  <c r="AC274" i="6"/>
  <c r="AD274" i="6" s="1"/>
  <c r="AC275" i="6"/>
  <c r="AD275" i="6" s="1"/>
  <c r="AC276" i="6"/>
  <c r="AD276" i="6" s="1"/>
  <c r="AC277" i="6"/>
  <c r="AD277" i="6" s="1"/>
  <c r="AC278" i="6"/>
  <c r="AD278" i="6" s="1"/>
  <c r="AC279" i="6"/>
  <c r="AD279" i="6" s="1"/>
  <c r="AC280" i="6"/>
  <c r="AD280" i="6" s="1"/>
  <c r="AC281" i="6"/>
  <c r="AD281" i="6" s="1"/>
  <c r="AC282" i="6"/>
  <c r="AD282" i="6" s="1"/>
  <c r="AC283" i="6"/>
  <c r="AD283" i="6" s="1"/>
  <c r="AC284" i="6"/>
  <c r="AD284" i="6" s="1"/>
  <c r="AC285" i="6"/>
  <c r="AD285" i="6" s="1"/>
  <c r="AC286" i="6"/>
  <c r="AD286" i="6" s="1"/>
  <c r="AC287" i="6"/>
  <c r="AD287" i="6" s="1"/>
  <c r="AC288" i="6"/>
  <c r="AD288" i="6" s="1"/>
  <c r="AC289" i="6"/>
  <c r="AD289" i="6" s="1"/>
  <c r="AC290" i="6"/>
  <c r="AD290" i="6" s="1"/>
  <c r="AC291" i="6"/>
  <c r="AD291" i="6" s="1"/>
  <c r="AC292" i="6"/>
  <c r="AD292" i="6" s="1"/>
  <c r="AC293" i="6"/>
  <c r="AD293" i="6" s="1"/>
  <c r="AC294" i="6"/>
  <c r="AD294" i="6" s="1"/>
  <c r="AC295" i="6"/>
  <c r="AD295" i="6" s="1"/>
  <c r="AC296" i="6"/>
  <c r="AD296" i="6" s="1"/>
  <c r="AC297" i="6"/>
  <c r="AD297" i="6" s="1"/>
  <c r="AC298" i="6"/>
  <c r="AD298" i="6" s="1"/>
  <c r="AC299" i="6"/>
  <c r="AD299" i="6" s="1"/>
  <c r="AC300" i="6"/>
  <c r="AD300" i="6" s="1"/>
  <c r="AC301" i="6"/>
  <c r="AD301" i="6" s="1"/>
  <c r="AC302" i="6"/>
  <c r="AD302" i="6" s="1"/>
  <c r="AC303" i="6"/>
  <c r="AD303" i="6" s="1"/>
  <c r="AC304" i="6"/>
  <c r="AD304" i="6" s="1"/>
  <c r="AC305" i="6"/>
  <c r="AD305" i="6" s="1"/>
  <c r="AC306" i="6"/>
  <c r="AD306" i="6" s="1"/>
  <c r="AC307" i="6"/>
  <c r="AD307" i="6" s="1"/>
  <c r="AC308" i="6"/>
  <c r="AD308" i="6" s="1"/>
  <c r="AC309" i="6"/>
  <c r="AD309" i="6" s="1"/>
  <c r="AC310" i="6"/>
  <c r="AD310" i="6" s="1"/>
  <c r="AC311" i="6"/>
  <c r="AD311" i="6" s="1"/>
  <c r="AC312" i="6"/>
  <c r="AD312" i="6" s="1"/>
  <c r="AC313" i="6"/>
  <c r="AD313" i="6" s="1"/>
  <c r="AC314" i="6"/>
  <c r="AD314" i="6" s="1"/>
  <c r="AC315" i="6"/>
  <c r="AD315" i="6" s="1"/>
  <c r="AC316" i="6"/>
  <c r="AD316" i="6" s="1"/>
  <c r="AC317" i="6"/>
  <c r="AD317" i="6" s="1"/>
  <c r="AC318" i="6"/>
  <c r="AD318" i="6" s="1"/>
  <c r="AC319" i="6"/>
  <c r="AD319" i="6" s="1"/>
  <c r="AC320" i="6"/>
  <c r="AD320" i="6" s="1"/>
  <c r="AC321" i="6"/>
  <c r="AD321" i="6" s="1"/>
  <c r="AC322" i="6"/>
  <c r="AD322" i="6" s="1"/>
  <c r="AC323" i="6"/>
  <c r="AD323" i="6" s="1"/>
  <c r="AC324" i="6"/>
  <c r="AD324" i="6" s="1"/>
  <c r="AC325" i="6"/>
  <c r="AD325" i="6" s="1"/>
  <c r="AC326" i="6"/>
  <c r="AD326" i="6" s="1"/>
  <c r="AC327" i="6"/>
  <c r="AD327" i="6" s="1"/>
  <c r="AC328" i="6"/>
  <c r="AD328" i="6" s="1"/>
  <c r="AC329" i="6"/>
  <c r="AD329" i="6" s="1"/>
  <c r="AC330" i="6"/>
  <c r="AD330" i="6" s="1"/>
  <c r="AC331" i="6"/>
  <c r="AD331" i="6" s="1"/>
  <c r="AC332" i="6"/>
  <c r="AD332" i="6" s="1"/>
  <c r="AC333" i="6"/>
  <c r="AD333" i="6" s="1"/>
  <c r="AC334" i="6"/>
  <c r="AD334" i="6" s="1"/>
  <c r="AC335" i="6"/>
  <c r="AD335" i="6" s="1"/>
  <c r="AC336" i="6"/>
  <c r="AD336" i="6" s="1"/>
  <c r="AC337" i="6"/>
  <c r="AD337" i="6" s="1"/>
  <c r="AC338" i="6"/>
  <c r="AD338" i="6" s="1"/>
  <c r="AC339" i="6"/>
  <c r="AD339" i="6" s="1"/>
  <c r="AC340" i="6"/>
  <c r="AD340" i="6" s="1"/>
  <c r="AC341" i="6"/>
  <c r="AD341" i="6" s="1"/>
  <c r="AC342" i="6"/>
  <c r="AD342" i="6" s="1"/>
  <c r="AC343" i="6"/>
  <c r="AD343" i="6" s="1"/>
  <c r="AC344" i="6"/>
  <c r="AD344" i="6" s="1"/>
  <c r="AC345" i="6"/>
  <c r="AD345" i="6" s="1"/>
  <c r="AC346" i="6"/>
  <c r="AD346" i="6" s="1"/>
  <c r="AC347" i="6"/>
  <c r="AD347" i="6" s="1"/>
  <c r="AC3" i="6"/>
  <c r="AD3" i="6" s="1"/>
  <c r="AC2" i="6"/>
  <c r="AD2" i="6" s="1"/>
  <c r="AA2" i="6"/>
  <c r="AB2" i="6" s="1"/>
  <c r="AA3" i="6"/>
  <c r="AB3" i="6" s="1"/>
  <c r="AA4" i="6"/>
  <c r="AB4" i="6" s="1"/>
  <c r="AA5" i="6"/>
  <c r="AB5" i="6" s="1"/>
  <c r="AA6" i="6"/>
  <c r="AB6" i="6" s="1"/>
  <c r="AA7" i="6"/>
  <c r="AB7" i="6" s="1"/>
  <c r="AA8" i="6"/>
  <c r="AB8" i="6" s="1"/>
  <c r="AA9" i="6"/>
  <c r="AB9" i="6" s="1"/>
  <c r="AA10" i="6"/>
  <c r="AB10" i="6" s="1"/>
  <c r="AA11" i="6"/>
  <c r="AB11" i="6" s="1"/>
  <c r="AA12" i="6"/>
  <c r="AB12" i="6" s="1"/>
  <c r="AA13" i="6"/>
  <c r="AB13" i="6" s="1"/>
  <c r="AA14" i="6"/>
  <c r="AB14" i="6" s="1"/>
  <c r="AA15" i="6"/>
  <c r="AB15" i="6" s="1"/>
  <c r="AA16" i="6"/>
  <c r="AB16" i="6" s="1"/>
  <c r="AA17" i="6"/>
  <c r="AB17" i="6" s="1"/>
  <c r="AA18" i="6"/>
  <c r="AB18" i="6" s="1"/>
  <c r="AA19" i="6"/>
  <c r="AB19" i="6" s="1"/>
  <c r="AA20" i="6"/>
  <c r="AB20" i="6" s="1"/>
  <c r="AA21" i="6"/>
  <c r="AB21" i="6" s="1"/>
  <c r="AA22" i="6"/>
  <c r="AB22" i="6" s="1"/>
  <c r="AA23" i="6"/>
  <c r="AB23" i="6" s="1"/>
  <c r="AA24" i="6"/>
  <c r="AB24" i="6" s="1"/>
  <c r="AA25" i="6"/>
  <c r="AB25" i="6" s="1"/>
  <c r="AA26" i="6"/>
  <c r="AB26" i="6" s="1"/>
  <c r="AA27" i="6"/>
  <c r="AB27" i="6" s="1"/>
  <c r="AA28" i="6"/>
  <c r="AB28" i="6" s="1"/>
  <c r="AA29" i="6"/>
  <c r="AB29" i="6" s="1"/>
  <c r="AA30" i="6"/>
  <c r="AB30" i="6" s="1"/>
  <c r="AA31" i="6"/>
  <c r="AB31" i="6" s="1"/>
  <c r="AA32" i="6"/>
  <c r="AB32" i="6" s="1"/>
  <c r="AA33" i="6"/>
  <c r="AB33" i="6" s="1"/>
  <c r="AA34" i="6"/>
  <c r="AB34" i="6" s="1"/>
  <c r="AA35" i="6"/>
  <c r="AB35" i="6" s="1"/>
  <c r="AA36" i="6"/>
  <c r="AB36" i="6" s="1"/>
  <c r="AA37" i="6"/>
  <c r="AB37" i="6" s="1"/>
  <c r="AA38" i="6"/>
  <c r="AB38" i="6" s="1"/>
  <c r="AA39" i="6"/>
  <c r="AB39" i="6" s="1"/>
  <c r="AA40" i="6"/>
  <c r="AB40" i="6" s="1"/>
  <c r="AA41" i="6"/>
  <c r="AB41" i="6" s="1"/>
  <c r="AA42" i="6"/>
  <c r="AB42" i="6" s="1"/>
  <c r="AA43" i="6"/>
  <c r="AB43" i="6" s="1"/>
  <c r="AA44" i="6"/>
  <c r="AB44" i="6" s="1"/>
  <c r="AA45" i="6"/>
  <c r="AB45" i="6" s="1"/>
  <c r="AA46" i="6"/>
  <c r="AB46" i="6" s="1"/>
  <c r="AA47" i="6"/>
  <c r="AB47" i="6" s="1"/>
  <c r="AA48" i="6"/>
  <c r="AB48" i="6" s="1"/>
  <c r="AA49" i="6"/>
  <c r="AB49" i="6" s="1"/>
  <c r="AA50" i="6"/>
  <c r="AB50" i="6" s="1"/>
  <c r="AA51" i="6"/>
  <c r="AB51" i="6" s="1"/>
  <c r="AA52" i="6"/>
  <c r="AB52" i="6" s="1"/>
  <c r="AA53" i="6"/>
  <c r="AB53" i="6" s="1"/>
  <c r="AA54" i="6"/>
  <c r="AB54" i="6" s="1"/>
  <c r="AA55" i="6"/>
  <c r="AB55" i="6" s="1"/>
  <c r="AA56" i="6"/>
  <c r="AB56" i="6" s="1"/>
  <c r="AA57" i="6"/>
  <c r="AB57" i="6" s="1"/>
  <c r="AA58" i="6"/>
  <c r="AB58" i="6" s="1"/>
  <c r="AA59" i="6"/>
  <c r="AB59" i="6" s="1"/>
  <c r="AA60" i="6"/>
  <c r="AB60" i="6" s="1"/>
  <c r="AA61" i="6"/>
  <c r="AB61" i="6" s="1"/>
  <c r="AA62" i="6"/>
  <c r="AB62" i="6" s="1"/>
  <c r="AA63" i="6"/>
  <c r="AB63" i="6" s="1"/>
  <c r="AA64" i="6"/>
  <c r="AB64" i="6" s="1"/>
  <c r="AA65" i="6"/>
  <c r="AB65" i="6" s="1"/>
  <c r="AA66" i="6"/>
  <c r="AB66" i="6" s="1"/>
  <c r="AA67" i="6"/>
  <c r="AB67" i="6" s="1"/>
  <c r="AA68" i="6"/>
  <c r="AB68" i="6" s="1"/>
  <c r="AA69" i="6"/>
  <c r="AB69" i="6" s="1"/>
  <c r="AA70" i="6"/>
  <c r="AB70" i="6" s="1"/>
  <c r="AA71" i="6"/>
  <c r="AB71" i="6" s="1"/>
  <c r="AA72" i="6"/>
  <c r="AB72" i="6" s="1"/>
  <c r="AA73" i="6"/>
  <c r="AB73" i="6" s="1"/>
  <c r="AA74" i="6"/>
  <c r="AB74" i="6" s="1"/>
  <c r="AA75" i="6"/>
  <c r="AB75" i="6" s="1"/>
  <c r="AA76" i="6"/>
  <c r="AB76" i="6" s="1"/>
  <c r="AA77" i="6"/>
  <c r="AB77" i="6" s="1"/>
  <c r="AA78" i="6"/>
  <c r="AB78" i="6" s="1"/>
  <c r="AA79" i="6"/>
  <c r="AB79" i="6" s="1"/>
  <c r="AA80" i="6"/>
  <c r="AB80" i="6" s="1"/>
  <c r="AA81" i="6"/>
  <c r="AB81" i="6" s="1"/>
  <c r="AA82" i="6"/>
  <c r="AB82" i="6" s="1"/>
  <c r="AA83" i="6"/>
  <c r="AB83" i="6" s="1"/>
  <c r="AA84" i="6"/>
  <c r="AB84" i="6" s="1"/>
  <c r="AA85" i="6"/>
  <c r="AB85" i="6" s="1"/>
  <c r="AA86" i="6"/>
  <c r="AB86" i="6" s="1"/>
  <c r="AA87" i="6"/>
  <c r="AB87" i="6" s="1"/>
  <c r="AA88" i="6"/>
  <c r="AB88" i="6" s="1"/>
  <c r="AA89" i="6"/>
  <c r="AB89" i="6" s="1"/>
  <c r="AA90" i="6"/>
  <c r="AB90" i="6" s="1"/>
  <c r="AA91" i="6"/>
  <c r="AB91" i="6" s="1"/>
  <c r="AA92" i="6"/>
  <c r="AB92" i="6" s="1"/>
  <c r="AA93" i="6"/>
  <c r="AB93" i="6" s="1"/>
  <c r="AA94" i="6"/>
  <c r="AB94" i="6" s="1"/>
  <c r="AA95" i="6"/>
  <c r="AB95" i="6" s="1"/>
  <c r="AA96" i="6"/>
  <c r="AB96" i="6" s="1"/>
  <c r="AA97" i="6"/>
  <c r="AB97" i="6" s="1"/>
  <c r="AA98" i="6"/>
  <c r="AB98" i="6" s="1"/>
  <c r="AA99" i="6"/>
  <c r="AB99" i="6" s="1"/>
  <c r="AA100" i="6"/>
  <c r="AB100" i="6" s="1"/>
  <c r="AA101" i="6"/>
  <c r="AB101" i="6" s="1"/>
  <c r="AA102" i="6"/>
  <c r="AB102" i="6" s="1"/>
  <c r="AA103" i="6"/>
  <c r="AB103" i="6" s="1"/>
  <c r="AA104" i="6"/>
  <c r="AB104" i="6" s="1"/>
  <c r="AA105" i="6"/>
  <c r="AB105" i="6" s="1"/>
  <c r="AA106" i="6"/>
  <c r="AB106" i="6" s="1"/>
  <c r="AA107" i="6"/>
  <c r="AB107" i="6" s="1"/>
  <c r="AA108" i="6"/>
  <c r="AB108" i="6" s="1"/>
  <c r="AA109" i="6"/>
  <c r="AB109" i="6" s="1"/>
  <c r="AA110" i="6"/>
  <c r="AB110" i="6" s="1"/>
  <c r="AA111" i="6"/>
  <c r="AB111" i="6" s="1"/>
  <c r="AA112" i="6"/>
  <c r="AB112" i="6" s="1"/>
  <c r="AA113" i="6"/>
  <c r="AB113" i="6" s="1"/>
  <c r="AA114" i="6"/>
  <c r="AB114" i="6" s="1"/>
  <c r="AA115" i="6"/>
  <c r="AB115" i="6" s="1"/>
  <c r="AA116" i="6"/>
  <c r="AB116" i="6" s="1"/>
  <c r="AA117" i="6"/>
  <c r="AB117" i="6" s="1"/>
  <c r="AA118" i="6"/>
  <c r="AB118" i="6" s="1"/>
  <c r="AA119" i="6"/>
  <c r="AB119" i="6" s="1"/>
  <c r="AA120" i="6"/>
  <c r="AB120" i="6" s="1"/>
  <c r="AA121" i="6"/>
  <c r="AB121" i="6" s="1"/>
  <c r="AA122" i="6"/>
  <c r="AB122" i="6" s="1"/>
  <c r="AA123" i="6"/>
  <c r="AB123" i="6" s="1"/>
  <c r="AA124" i="6"/>
  <c r="AB124" i="6" s="1"/>
  <c r="AA125" i="6"/>
  <c r="AB125" i="6" s="1"/>
  <c r="AA126" i="6"/>
  <c r="AB126" i="6" s="1"/>
  <c r="AA127" i="6"/>
  <c r="AB127" i="6" s="1"/>
  <c r="AA128" i="6"/>
  <c r="AB128" i="6" s="1"/>
  <c r="AA129" i="6"/>
  <c r="AB129" i="6" s="1"/>
  <c r="AA130" i="6"/>
  <c r="AB130" i="6" s="1"/>
  <c r="AA131" i="6"/>
  <c r="AB131" i="6" s="1"/>
  <c r="AA132" i="6"/>
  <c r="AB132" i="6" s="1"/>
  <c r="AA133" i="6"/>
  <c r="AB133" i="6" s="1"/>
  <c r="AA134" i="6"/>
  <c r="AB134" i="6" s="1"/>
  <c r="AA135" i="6"/>
  <c r="AB135" i="6" s="1"/>
  <c r="AA136" i="6"/>
  <c r="AB136" i="6" s="1"/>
  <c r="AA137" i="6"/>
  <c r="AB137" i="6" s="1"/>
  <c r="AA138" i="6"/>
  <c r="AB138" i="6" s="1"/>
  <c r="AA139" i="6"/>
  <c r="AB139" i="6" s="1"/>
  <c r="AA140" i="6"/>
  <c r="AB140" i="6" s="1"/>
  <c r="AA141" i="6"/>
  <c r="AB141" i="6" s="1"/>
  <c r="AA142" i="6"/>
  <c r="AB142" i="6" s="1"/>
  <c r="AA143" i="6"/>
  <c r="AB143" i="6" s="1"/>
  <c r="AA144" i="6"/>
  <c r="AB144" i="6" s="1"/>
  <c r="AA145" i="6"/>
  <c r="AB145" i="6" s="1"/>
  <c r="AA146" i="6"/>
  <c r="AB146" i="6" s="1"/>
  <c r="AA147" i="6"/>
  <c r="AB147" i="6" s="1"/>
  <c r="AA148" i="6"/>
  <c r="AB148" i="6" s="1"/>
  <c r="AA149" i="6"/>
  <c r="AB149" i="6" s="1"/>
  <c r="AA150" i="6"/>
  <c r="AB150" i="6" s="1"/>
  <c r="AA151" i="6"/>
  <c r="AB151" i="6" s="1"/>
  <c r="AA152" i="6"/>
  <c r="AB152" i="6" s="1"/>
  <c r="AA153" i="6"/>
  <c r="AB153" i="6" s="1"/>
  <c r="AA154" i="6"/>
  <c r="AB154" i="6" s="1"/>
  <c r="AA155" i="6"/>
  <c r="AB155" i="6" s="1"/>
  <c r="AA156" i="6"/>
  <c r="AB156" i="6" s="1"/>
  <c r="AA157" i="6"/>
  <c r="AB157" i="6" s="1"/>
  <c r="AA158" i="6"/>
  <c r="AB158" i="6" s="1"/>
  <c r="AA159" i="6"/>
  <c r="AB159" i="6" s="1"/>
  <c r="AA160" i="6"/>
  <c r="AB160" i="6" s="1"/>
  <c r="AA161" i="6"/>
  <c r="AB161" i="6" s="1"/>
  <c r="AA162" i="6"/>
  <c r="AB162" i="6" s="1"/>
  <c r="AA163" i="6"/>
  <c r="AB163" i="6" s="1"/>
  <c r="AA164" i="6"/>
  <c r="AB164" i="6" s="1"/>
  <c r="AA165" i="6"/>
  <c r="AB165" i="6" s="1"/>
  <c r="AA166" i="6"/>
  <c r="AB166" i="6" s="1"/>
  <c r="AA167" i="6"/>
  <c r="AB167" i="6" s="1"/>
  <c r="AA168" i="6"/>
  <c r="AB168" i="6" s="1"/>
  <c r="AA169" i="6"/>
  <c r="AB169" i="6" s="1"/>
  <c r="AA170" i="6"/>
  <c r="AB170" i="6" s="1"/>
  <c r="AA171" i="6"/>
  <c r="AB171" i="6" s="1"/>
  <c r="AA172" i="6"/>
  <c r="AB172" i="6" s="1"/>
  <c r="AA173" i="6"/>
  <c r="AB173" i="6" s="1"/>
  <c r="AA174" i="6"/>
  <c r="AB174" i="6" s="1"/>
  <c r="AA175" i="6"/>
  <c r="AB175" i="6" s="1"/>
  <c r="AA176" i="6"/>
  <c r="AB176" i="6" s="1"/>
  <c r="AA177" i="6"/>
  <c r="AB177" i="6" s="1"/>
  <c r="AA178" i="6"/>
  <c r="AB178" i="6" s="1"/>
  <c r="AA179" i="6"/>
  <c r="AB179" i="6" s="1"/>
  <c r="AA180" i="6"/>
  <c r="AB180" i="6" s="1"/>
  <c r="AA181" i="6"/>
  <c r="AB181" i="6" s="1"/>
  <c r="AA182" i="6"/>
  <c r="AB182" i="6" s="1"/>
  <c r="AA183" i="6"/>
  <c r="AB183" i="6" s="1"/>
  <c r="AA184" i="6"/>
  <c r="AB184" i="6" s="1"/>
  <c r="AA185" i="6"/>
  <c r="AB185" i="6" s="1"/>
  <c r="AA186" i="6"/>
  <c r="AB186" i="6" s="1"/>
  <c r="AA187" i="6"/>
  <c r="AB187" i="6" s="1"/>
  <c r="AA188" i="6"/>
  <c r="AB188" i="6" s="1"/>
  <c r="AA189" i="6"/>
  <c r="AB189" i="6" s="1"/>
  <c r="AA190" i="6"/>
  <c r="AB190" i="6" s="1"/>
  <c r="AA191" i="6"/>
  <c r="AB191" i="6" s="1"/>
  <c r="AA192" i="6"/>
  <c r="AB192" i="6" s="1"/>
  <c r="AA193" i="6"/>
  <c r="AB193" i="6" s="1"/>
  <c r="AA194" i="6"/>
  <c r="AB194" i="6" s="1"/>
  <c r="AA195" i="6"/>
  <c r="AB195" i="6" s="1"/>
  <c r="AA196" i="6"/>
  <c r="AB196" i="6" s="1"/>
  <c r="AA197" i="6"/>
  <c r="AB197" i="6" s="1"/>
  <c r="AA198" i="6"/>
  <c r="AB198" i="6" s="1"/>
  <c r="AA199" i="6"/>
  <c r="AB199" i="6" s="1"/>
  <c r="AA200" i="6"/>
  <c r="AB200" i="6" s="1"/>
  <c r="AA201" i="6"/>
  <c r="AB201" i="6" s="1"/>
  <c r="AA202" i="6"/>
  <c r="AB202" i="6" s="1"/>
  <c r="AA203" i="6"/>
  <c r="AB203" i="6" s="1"/>
  <c r="AA204" i="6"/>
  <c r="AB204" i="6" s="1"/>
  <c r="AA205" i="6"/>
  <c r="AB205" i="6" s="1"/>
  <c r="AA206" i="6"/>
  <c r="AB206" i="6" s="1"/>
  <c r="AA207" i="6"/>
  <c r="AB207" i="6" s="1"/>
  <c r="AA208" i="6"/>
  <c r="AB208" i="6" s="1"/>
  <c r="AA209" i="6"/>
  <c r="AB209" i="6" s="1"/>
  <c r="AA210" i="6"/>
  <c r="AB210" i="6" s="1"/>
  <c r="AA211" i="6"/>
  <c r="AB211" i="6" s="1"/>
  <c r="AA212" i="6"/>
  <c r="AB212" i="6" s="1"/>
  <c r="AA213" i="6"/>
  <c r="AB213" i="6" s="1"/>
  <c r="AA214" i="6"/>
  <c r="AB214" i="6" s="1"/>
  <c r="AA215" i="6"/>
  <c r="AB215" i="6" s="1"/>
  <c r="AA216" i="6"/>
  <c r="AB216" i="6" s="1"/>
  <c r="AA217" i="6"/>
  <c r="AB217" i="6" s="1"/>
  <c r="AA218" i="6"/>
  <c r="AB218" i="6" s="1"/>
  <c r="AA219" i="6"/>
  <c r="AB219" i="6" s="1"/>
  <c r="AA220" i="6"/>
  <c r="AB220" i="6" s="1"/>
  <c r="AA221" i="6"/>
  <c r="AB221" i="6" s="1"/>
  <c r="AA222" i="6"/>
  <c r="AB222" i="6" s="1"/>
  <c r="AA223" i="6"/>
  <c r="AB223" i="6" s="1"/>
  <c r="AA224" i="6"/>
  <c r="AB224" i="6" s="1"/>
  <c r="AA225" i="6"/>
  <c r="AB225" i="6" s="1"/>
  <c r="AA226" i="6"/>
  <c r="AB226" i="6" s="1"/>
  <c r="AA227" i="6"/>
  <c r="AB227" i="6" s="1"/>
  <c r="AA228" i="6"/>
  <c r="AB228" i="6" s="1"/>
  <c r="AA229" i="6"/>
  <c r="AB229" i="6" s="1"/>
  <c r="AA230" i="6"/>
  <c r="AB230" i="6" s="1"/>
  <c r="AA231" i="6"/>
  <c r="AB231" i="6" s="1"/>
  <c r="AA232" i="6"/>
  <c r="AB232" i="6" s="1"/>
  <c r="AA233" i="6"/>
  <c r="AB233" i="6" s="1"/>
  <c r="AA234" i="6"/>
  <c r="AB234" i="6" s="1"/>
  <c r="AA235" i="6"/>
  <c r="AB235" i="6" s="1"/>
  <c r="AA236" i="6"/>
  <c r="AB236" i="6" s="1"/>
  <c r="AA237" i="6"/>
  <c r="AB237" i="6" s="1"/>
  <c r="AA238" i="6"/>
  <c r="AB238" i="6" s="1"/>
  <c r="AA239" i="6"/>
  <c r="AB239" i="6" s="1"/>
  <c r="AA240" i="6"/>
  <c r="AB240" i="6" s="1"/>
  <c r="AA241" i="6"/>
  <c r="AB241" i="6" s="1"/>
  <c r="AA242" i="6"/>
  <c r="AB242" i="6" s="1"/>
  <c r="AA243" i="6"/>
  <c r="AB243" i="6" s="1"/>
  <c r="AA244" i="6"/>
  <c r="AB244" i="6" s="1"/>
  <c r="AA245" i="6"/>
  <c r="AB245" i="6" s="1"/>
  <c r="AA246" i="6"/>
  <c r="AB246" i="6" s="1"/>
  <c r="AA247" i="6"/>
  <c r="AB247" i="6" s="1"/>
  <c r="AA248" i="6"/>
  <c r="AB248" i="6" s="1"/>
  <c r="AA249" i="6"/>
  <c r="AB249" i="6" s="1"/>
  <c r="AA250" i="6"/>
  <c r="AB250" i="6" s="1"/>
  <c r="AA251" i="6"/>
  <c r="AB251" i="6" s="1"/>
  <c r="AA252" i="6"/>
  <c r="AB252" i="6" s="1"/>
  <c r="AA253" i="6"/>
  <c r="AB253" i="6" s="1"/>
  <c r="AA254" i="6"/>
  <c r="AB254" i="6" s="1"/>
  <c r="AA255" i="6"/>
  <c r="AB255" i="6" s="1"/>
  <c r="AA256" i="6"/>
  <c r="AB256" i="6" s="1"/>
  <c r="AA257" i="6"/>
  <c r="AB257" i="6" s="1"/>
  <c r="AA258" i="6"/>
  <c r="AB258" i="6" s="1"/>
  <c r="AA259" i="6"/>
  <c r="AB259" i="6" s="1"/>
  <c r="AA260" i="6"/>
  <c r="AB260" i="6" s="1"/>
  <c r="AA261" i="6"/>
  <c r="AB261" i="6" s="1"/>
  <c r="AA262" i="6"/>
  <c r="AB262" i="6" s="1"/>
  <c r="AA263" i="6"/>
  <c r="AB263" i="6" s="1"/>
  <c r="AA264" i="6"/>
  <c r="AB264" i="6" s="1"/>
  <c r="AA265" i="6"/>
  <c r="AB265" i="6" s="1"/>
  <c r="AA266" i="6"/>
  <c r="AB266" i="6" s="1"/>
  <c r="AA267" i="6"/>
  <c r="AB267" i="6" s="1"/>
  <c r="AA268" i="6"/>
  <c r="AB268" i="6" s="1"/>
  <c r="AA269" i="6"/>
  <c r="AB269" i="6" s="1"/>
  <c r="AA270" i="6"/>
  <c r="AB270" i="6" s="1"/>
  <c r="AA271" i="6"/>
  <c r="AB271" i="6" s="1"/>
  <c r="AA272" i="6"/>
  <c r="AB272" i="6" s="1"/>
  <c r="AA273" i="6"/>
  <c r="AB273" i="6" s="1"/>
  <c r="AA274" i="6"/>
  <c r="AB274" i="6" s="1"/>
  <c r="AA275" i="6"/>
  <c r="AB275" i="6" s="1"/>
  <c r="AA276" i="6"/>
  <c r="AB276" i="6" s="1"/>
  <c r="AA277" i="6"/>
  <c r="AB277" i="6" s="1"/>
  <c r="AA278" i="6"/>
  <c r="AB278" i="6" s="1"/>
  <c r="AA279" i="6"/>
  <c r="AB279" i="6" s="1"/>
  <c r="AA280" i="6"/>
  <c r="AB280" i="6" s="1"/>
  <c r="AA281" i="6"/>
  <c r="AB281" i="6" s="1"/>
  <c r="AA282" i="6"/>
  <c r="AB282" i="6" s="1"/>
  <c r="AA283" i="6"/>
  <c r="AB283" i="6" s="1"/>
  <c r="AA284" i="6"/>
  <c r="AB284" i="6" s="1"/>
  <c r="AA285" i="6"/>
  <c r="AB285" i="6" s="1"/>
  <c r="AA286" i="6"/>
  <c r="AB286" i="6" s="1"/>
  <c r="AA287" i="6"/>
  <c r="AB287" i="6" s="1"/>
  <c r="AA288" i="6"/>
  <c r="AB288" i="6" s="1"/>
  <c r="AA289" i="6"/>
  <c r="AB289" i="6" s="1"/>
  <c r="AA290" i="6"/>
  <c r="AB290" i="6" s="1"/>
  <c r="AA291" i="6"/>
  <c r="AB291" i="6" s="1"/>
  <c r="AA292" i="6"/>
  <c r="AB292" i="6" s="1"/>
  <c r="AA293" i="6"/>
  <c r="AB293" i="6" s="1"/>
  <c r="AA294" i="6"/>
  <c r="AB294" i="6" s="1"/>
  <c r="AA295" i="6"/>
  <c r="AB295" i="6" s="1"/>
  <c r="AA296" i="6"/>
  <c r="AB296" i="6" s="1"/>
  <c r="AA297" i="6"/>
  <c r="AB297" i="6" s="1"/>
  <c r="AA298" i="6"/>
  <c r="AB298" i="6" s="1"/>
  <c r="AA299" i="6"/>
  <c r="AB299" i="6" s="1"/>
  <c r="AA300" i="6"/>
  <c r="AB300" i="6" s="1"/>
  <c r="AA301" i="6"/>
  <c r="AB301" i="6" s="1"/>
  <c r="AA302" i="6"/>
  <c r="AB302" i="6" s="1"/>
  <c r="AA303" i="6"/>
  <c r="AB303" i="6" s="1"/>
  <c r="AA304" i="6"/>
  <c r="AB304" i="6" s="1"/>
  <c r="AA305" i="6"/>
  <c r="AB305" i="6" s="1"/>
  <c r="AA306" i="6"/>
  <c r="AB306" i="6" s="1"/>
  <c r="AA307" i="6"/>
  <c r="AB307" i="6" s="1"/>
  <c r="AA308" i="6"/>
  <c r="AB308" i="6" s="1"/>
  <c r="AA309" i="6"/>
  <c r="AB309" i="6" s="1"/>
  <c r="AA310" i="6"/>
  <c r="AB310" i="6" s="1"/>
  <c r="AA311" i="6"/>
  <c r="AB311" i="6" s="1"/>
  <c r="AA312" i="6"/>
  <c r="AB312" i="6" s="1"/>
  <c r="AA313" i="6"/>
  <c r="AB313" i="6" s="1"/>
  <c r="AA314" i="6"/>
  <c r="AB314" i="6" s="1"/>
  <c r="AA315" i="6"/>
  <c r="AB315" i="6" s="1"/>
  <c r="AA316" i="6"/>
  <c r="AB316" i="6" s="1"/>
  <c r="AA317" i="6"/>
  <c r="AB317" i="6" s="1"/>
  <c r="AA318" i="6"/>
  <c r="AB318" i="6" s="1"/>
  <c r="AA319" i="6"/>
  <c r="AB319" i="6" s="1"/>
  <c r="AA320" i="6"/>
  <c r="AB320" i="6" s="1"/>
  <c r="AA321" i="6"/>
  <c r="AB321" i="6" s="1"/>
  <c r="AA322" i="6"/>
  <c r="AB322" i="6" s="1"/>
  <c r="AA323" i="6"/>
  <c r="AB323" i="6" s="1"/>
  <c r="AA324" i="6"/>
  <c r="AB324" i="6" s="1"/>
  <c r="AA325" i="6"/>
  <c r="AB325" i="6" s="1"/>
  <c r="AA326" i="6"/>
  <c r="AB326" i="6" s="1"/>
  <c r="AA327" i="6"/>
  <c r="AB327" i="6" s="1"/>
  <c r="AA328" i="6"/>
  <c r="AB328" i="6" s="1"/>
  <c r="AA329" i="6"/>
  <c r="AB329" i="6" s="1"/>
  <c r="AA330" i="6"/>
  <c r="AB330" i="6" s="1"/>
  <c r="AA331" i="6"/>
  <c r="AB331" i="6" s="1"/>
  <c r="AA332" i="6"/>
  <c r="AB332" i="6" s="1"/>
  <c r="AA333" i="6"/>
  <c r="AB333" i="6" s="1"/>
  <c r="AA334" i="6"/>
  <c r="AB334" i="6" s="1"/>
  <c r="AA335" i="6"/>
  <c r="AB335" i="6" s="1"/>
  <c r="AA336" i="6"/>
  <c r="AB336" i="6" s="1"/>
  <c r="AA337" i="6"/>
  <c r="AB337" i="6" s="1"/>
  <c r="AA338" i="6"/>
  <c r="AB338" i="6" s="1"/>
  <c r="AA339" i="6"/>
  <c r="AB339" i="6" s="1"/>
  <c r="AA340" i="6"/>
  <c r="AB340" i="6" s="1"/>
  <c r="AA341" i="6"/>
  <c r="AB341" i="6" s="1"/>
  <c r="AA342" i="6"/>
  <c r="AB342" i="6" s="1"/>
  <c r="AA343" i="6"/>
  <c r="AB343" i="6" s="1"/>
  <c r="AA344" i="6"/>
  <c r="AB344" i="6" s="1"/>
  <c r="AA345" i="6"/>
  <c r="AB345" i="6" s="1"/>
  <c r="AA346" i="6"/>
  <c r="AB346" i="6" s="1"/>
  <c r="AA347" i="6"/>
  <c r="AB347" i="6" s="1"/>
  <c r="Z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K13" i="9"/>
  <c r="K12" i="9"/>
  <c r="K7" i="9"/>
  <c r="K6" i="9"/>
  <c r="K5" i="9"/>
  <c r="B8" i="4" l="1"/>
</calcChain>
</file>

<file path=xl/sharedStrings.xml><?xml version="1.0" encoding="utf-8"?>
<sst xmlns="http://schemas.openxmlformats.org/spreadsheetml/2006/main" count="26988" uniqueCount="18086">
  <si>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</si>
  <si>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</si>
  <si>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</si>
  <si>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</si>
  <si>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</si>
  <si>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</si>
  <si>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</si>
  <si>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</si>
  <si>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</si>
  <si>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</si>
  <si>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</si>
  <si>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</si>
  <si>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</si>
  <si>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</si>
  <si>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</si>
  <si>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</si>
  <si>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</si>
  <si>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</si>
  <si>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</si>
  <si>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Return?</t>
  </si>
  <si>
    <t>Reason</t>
  </si>
  <si>
    <t>Ret Rec</t>
  </si>
  <si>
    <t>Refund</t>
  </si>
  <si>
    <t>UT-100001</t>
  </si>
  <si>
    <t>CUST_10001</t>
  </si>
  <si>
    <t>New</t>
  </si>
  <si>
    <t>TOP-CAS-M</t>
  </si>
  <si>
    <t>Tops</t>
  </si>
  <si>
    <t>Classic Cotton Tee</t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</si>
  <si>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</si>
  <si>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</si>
  <si>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</si>
  <si>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</si>
  <si>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</si>
  <si>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</si>
  <si>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</si>
  <si>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</si>
  <si>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</si>
  <si>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</si>
  <si>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</si>
  <si>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</si>
  <si>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</si>
  <si>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</si>
  <si>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</si>
  <si>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</si>
  <si>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</si>
  <si>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</si>
  <si>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</si>
  <si>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Processed</t>
  </si>
  <si>
    <t>UT-100003</t>
  </si>
  <si>
    <t>CUST_10003</t>
  </si>
  <si>
    <t>new</t>
  </si>
  <si>
    <t>BOT-JNS-L</t>
  </si>
  <si>
    <t>Bottoms</t>
  </si>
  <si>
    <t>Slim Fit Jeans</t>
  </si>
  <si>
    <t>COD</t>
  </si>
  <si>
    <t>Bangalore</t>
  </si>
  <si>
    <t>Karnataka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</si>
  <si>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</si>
  <si>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</si>
  <si>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</si>
  <si>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</si>
  <si>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</si>
  <si>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</si>
  <si>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</si>
  <si>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</si>
  <si>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</si>
  <si>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</si>
  <si>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</si>
  <si>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UT-100005</t>
  </si>
  <si>
    <t>ACC-SCF-OS</t>
  </si>
  <si>
    <t>Accessories</t>
  </si>
  <si>
    <t>Silk Scarf</t>
  </si>
  <si>
    <t>UT-100006</t>
  </si>
  <si>
    <t>CUST_10005</t>
  </si>
  <si>
    <t>TOP-FRM-S</t>
  </si>
  <si>
    <t>Printed Blouse</t>
  </si>
  <si>
    <t>Hyderabad</t>
  </si>
  <si>
    <t>Telangana</t>
  </si>
  <si>
    <t>Changed Mind</t>
  </si>
  <si>
    <t>UT-100007</t>
  </si>
  <si>
    <t>CUST_10006</t>
  </si>
  <si>
    <t>DRS-CAS-M</t>
  </si>
  <si>
    <t>A-Line Dress</t>
  </si>
  <si>
    <t>Pune</t>
  </si>
  <si>
    <t>Cancelled</t>
  </si>
  <si>
    <t>UT-100008</t>
  </si>
  <si>
    <t>CUST_10007</t>
  </si>
  <si>
    <t>BOT-TRS-L</t>
  </si>
  <si>
    <t>Formal Trousers</t>
  </si>
  <si>
    <t>Kolkata</t>
  </si>
  <si>
    <t>West Bengal</t>
  </si>
  <si>
    <t>UT-100009</t>
  </si>
  <si>
    <t>CUST_10008</t>
  </si>
  <si>
    <t>TOP-CAS-XL</t>
  </si>
  <si>
    <t>Oversized Tee</t>
  </si>
  <si>
    <t>Ahmedabad</t>
  </si>
  <si>
    <t>Gujarat</t>
  </si>
  <si>
    <t>UT-100010</t>
  </si>
  <si>
    <t>CUST_10009</t>
  </si>
  <si>
    <t>OUT-BLZ-M</t>
  </si>
  <si>
    <t>Casual Blazer</t>
  </si>
  <si>
    <t>Jaipur</t>
  </si>
  <si>
    <t>Rajasthan</t>
  </si>
  <si>
    <t>Wrong Item</t>
  </si>
  <si>
    <t>Pending</t>
  </si>
  <si>
    <t>UT-100011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</si>
  <si>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</si>
  <si>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</si>
  <si>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</si>
  <si>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</si>
  <si>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</si>
  <si>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</si>
  <si>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</si>
  <si>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</si>
  <si>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</si>
  <si>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</si>
  <si>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</si>
  <si>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</si>
  <si>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</si>
  <si>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</si>
  <si>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</si>
  <si>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</si>
  <si>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</si>
  <si>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</si>
  <si>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</si>
  <si>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</si>
  <si>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</si>
  <si>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</si>
  <si>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UT-100015</t>
  </si>
  <si>
    <t>CUST_10014</t>
  </si>
  <si>
    <t>OUT-CRD-L</t>
  </si>
  <si>
    <t>Knit Cardigan</t>
  </si>
  <si>
    <t>UT-100016</t>
  </si>
  <si>
    <t>CUST_10015</t>
  </si>
  <si>
    <t>ACC-JWL-OS</t>
  </si>
  <si>
    <t>Statement Earrings</t>
  </si>
  <si>
    <t>Noida</t>
  </si>
  <si>
    <t>Damaged in Transit</t>
  </si>
  <si>
    <t>UT-100017</t>
  </si>
  <si>
    <t>CUST_10016</t>
  </si>
  <si>
    <t>TOP-CRP-XS</t>
  </si>
  <si>
    <t>Crop Top</t>
  </si>
  <si>
    <t>Gurgaon</t>
  </si>
  <si>
    <t>Haryana</t>
  </si>
  <si>
    <t>Delievered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</si>
  <si>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</si>
  <si>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</si>
  <si>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</si>
  <si>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</si>
  <si>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</si>
  <si>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</si>
  <si>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</si>
  <si>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</si>
  <si>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</si>
  <si>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</si>
  <si>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</si>
  <si>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</si>
  <si>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</si>
  <si>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</si>
  <si>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</si>
  <si>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</si>
  <si>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</si>
  <si>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</si>
  <si>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</si>
  <si>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</si>
  <si>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</si>
  <si>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</si>
  <si>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</si>
  <si>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</si>
  <si>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</si>
  <si>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</si>
  <si>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</si>
  <si>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UT-100023</t>
  </si>
  <si>
    <t>CUST_10022</t>
  </si>
  <si>
    <t>ACC-BLT-M</t>
  </si>
  <si>
    <t>Leather Belt</t>
  </si>
  <si>
    <t>Coimbatore</t>
  </si>
  <si>
    <t>UT-100024</t>
  </si>
  <si>
    <t>CUST_10023</t>
  </si>
  <si>
    <t>BOT-SHT-M</t>
  </si>
  <si>
    <t>Cotton Shorts</t>
  </si>
  <si>
    <t>Kochi</t>
  </si>
  <si>
    <t>Kerala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</si>
  <si>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</si>
  <si>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</si>
  <si>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</si>
  <si>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</si>
  <si>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</si>
  <si>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</si>
  <si>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</si>
  <si>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</si>
  <si>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</si>
  <si>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</si>
  <si>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</si>
  <si>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</si>
  <si>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</si>
  <si>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</si>
  <si>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</si>
  <si>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</si>
  <si>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</si>
  <si>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</si>
  <si>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</si>
  <si>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</si>
  <si>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</si>
  <si>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</si>
  <si>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</si>
  <si>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</si>
  <si>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</si>
  <si>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</si>
  <si>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</si>
  <si>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</si>
  <si>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</si>
  <si>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</si>
  <si>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</si>
  <si>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</si>
  <si>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</si>
  <si>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</si>
  <si>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</si>
  <si>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</si>
  <si>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</si>
  <si>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</si>
  <si>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</si>
  <si>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</si>
  <si>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</si>
  <si>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</si>
  <si>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</si>
  <si>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</si>
  <si>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</si>
  <si>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</si>
  <si>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</si>
  <si>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</si>
  <si>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</si>
  <si>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</si>
  <si>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</si>
  <si>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</si>
  <si>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</si>
  <si>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</si>
  <si>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</si>
  <si>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</si>
  <si>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</si>
  <si>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</si>
  <si>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</si>
  <si>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</si>
  <si>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</si>
  <si>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</si>
  <si>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</si>
  <si>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</si>
  <si>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</si>
  <si>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</si>
  <si>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</si>
  <si>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</si>
  <si>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</si>
  <si>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</si>
  <si>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</si>
  <si>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</si>
  <si>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</si>
  <si>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</si>
  <si>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</si>
  <si>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</si>
  <si>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</si>
  <si>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</si>
  <si>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</si>
  <si>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</si>
  <si>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</si>
  <si>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</si>
  <si>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</si>
  <si>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</si>
  <si>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</si>
  <si>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</si>
  <si>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</si>
  <si>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</si>
  <si>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</si>
  <si>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</si>
  <si>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</si>
  <si>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</si>
  <si>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</si>
  <si>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</si>
  <si>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</si>
  <si>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</si>
  <si>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</si>
  <si>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</si>
  <si>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</si>
  <si>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</si>
  <si>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</si>
  <si>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</si>
  <si>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</si>
  <si>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</si>
  <si>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</si>
  <si>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</si>
  <si>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</si>
  <si>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</si>
  <si>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</si>
  <si>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</si>
  <si>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</si>
  <si>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</si>
  <si>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</si>
  <si>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</si>
  <si>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</si>
  <si>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</si>
  <si>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</si>
  <si>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</si>
  <si>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</si>
  <si>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</si>
  <si>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</si>
  <si>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</si>
  <si>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</si>
  <si>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</si>
  <si>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</si>
  <si>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</si>
  <si>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</si>
  <si>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</si>
  <si>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</si>
  <si>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</si>
  <si>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</si>
  <si>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UT-100056</t>
  </si>
  <si>
    <t>CUST_10055</t>
  </si>
  <si>
    <t>DRS-TIR-S</t>
  </si>
  <si>
    <t>Tiered Dress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</si>
  <si>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</si>
  <si>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</si>
  <si>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</si>
  <si>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</si>
  <si>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</si>
  <si>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</si>
  <si>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</si>
  <si>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</si>
  <si>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</si>
  <si>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</si>
  <si>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</si>
  <si>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</si>
  <si>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</si>
  <si>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</si>
  <si>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</si>
  <si>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</si>
  <si>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</si>
  <si>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</si>
  <si>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</si>
  <si>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</si>
  <si>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</si>
  <si>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</si>
  <si>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</si>
  <si>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</si>
  <si>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</si>
  <si>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</si>
  <si>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</si>
  <si>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</si>
  <si>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</si>
  <si>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</si>
  <si>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</si>
  <si>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</si>
  <si>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</si>
  <si>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</si>
  <si>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</si>
  <si>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</si>
  <si>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</si>
  <si>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</si>
  <si>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</si>
  <si>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</si>
  <si>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</si>
  <si>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</si>
  <si>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</si>
  <si>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</si>
  <si>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</si>
  <si>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</si>
  <si>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</si>
  <si>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</si>
  <si>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</si>
  <si>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</si>
  <si>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</si>
  <si>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</si>
  <si>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</si>
  <si>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</si>
  <si>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</si>
  <si>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</si>
  <si>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</si>
  <si>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</si>
  <si>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</si>
  <si>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</si>
  <si>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</si>
  <si>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</si>
  <si>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</si>
  <si>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</si>
  <si>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</si>
  <si>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</si>
  <si>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</si>
  <si>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</si>
  <si>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</si>
  <si>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</si>
  <si>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</si>
  <si>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</si>
  <si>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</si>
  <si>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</si>
  <si>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</si>
  <si>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</si>
  <si>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UT-100076</t>
  </si>
  <si>
    <t>CUST_10075</t>
  </si>
  <si>
    <t>DRS-SMK-S</t>
  </si>
  <si>
    <t>Smocked Dress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</si>
  <si>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</si>
  <si>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</si>
  <si>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</si>
  <si>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</si>
  <si>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</si>
  <si>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</si>
  <si>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</si>
  <si>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</si>
  <si>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</si>
  <si>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</si>
  <si>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</si>
  <si>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</si>
  <si>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</si>
  <si>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</si>
  <si>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</si>
  <si>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</si>
  <si>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</si>
  <si>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</si>
  <si>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</si>
  <si>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</si>
  <si>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</si>
  <si>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</si>
  <si>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</si>
  <si>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</si>
  <si>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</si>
  <si>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</si>
  <si>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</si>
  <si>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</si>
  <si>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</si>
  <si>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</si>
  <si>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</si>
  <si>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</si>
  <si>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</si>
  <si>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</si>
  <si>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</si>
  <si>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</si>
  <si>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</si>
  <si>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</si>
  <si>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</si>
  <si>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</si>
  <si>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</si>
  <si>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</si>
  <si>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</si>
  <si>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</si>
  <si>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</si>
  <si>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</si>
  <si>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</si>
  <si>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</si>
  <si>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</si>
  <si>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</si>
  <si>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</si>
  <si>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</si>
  <si>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</si>
  <si>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</si>
  <si>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</si>
  <si>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</si>
  <si>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</si>
  <si>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</si>
  <si>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</si>
  <si>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</si>
  <si>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</si>
  <si>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</si>
  <si>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</si>
  <si>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</si>
  <si>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</si>
  <si>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</si>
  <si>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</si>
  <si>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</si>
  <si>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</si>
  <si>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</si>
  <si>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</si>
  <si>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</si>
  <si>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</si>
  <si>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</si>
  <si>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</si>
  <si>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</si>
  <si>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</si>
  <si>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</si>
  <si>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</si>
  <si>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</si>
  <si>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</si>
  <si>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</si>
  <si>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</si>
  <si>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</si>
  <si>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</si>
  <si>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</si>
  <si>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</si>
  <si>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</si>
  <si>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</si>
  <si>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</si>
  <si>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</si>
  <si>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</si>
  <si>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</si>
  <si>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</si>
  <si>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</si>
  <si>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</si>
  <si>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</si>
  <si>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</si>
  <si>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</si>
  <si>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</si>
  <si>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</si>
  <si>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</si>
  <si>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</si>
  <si>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</si>
  <si>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</si>
  <si>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</si>
  <si>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</si>
  <si>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</si>
  <si>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</si>
  <si>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</si>
  <si>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</si>
  <si>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</si>
  <si>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</si>
  <si>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</si>
  <si>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</si>
  <si>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</si>
  <si>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</si>
  <si>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</si>
  <si>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</si>
  <si>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</si>
  <si>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</si>
  <si>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</si>
  <si>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</si>
  <si>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</si>
  <si>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</si>
  <si>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</si>
  <si>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</si>
  <si>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</si>
  <si>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</si>
  <si>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</si>
  <si>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</si>
  <si>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</si>
  <si>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</si>
  <si>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</si>
  <si>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</si>
  <si>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</si>
  <si>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</si>
  <si>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</si>
  <si>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</si>
  <si>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</si>
  <si>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</si>
  <si>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</si>
  <si>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</si>
  <si>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</si>
  <si>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</si>
  <si>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</si>
  <si>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</si>
  <si>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</si>
  <si>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</si>
  <si>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</si>
  <si>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</si>
  <si>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</si>
  <si>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</si>
  <si>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</si>
  <si>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</si>
  <si>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</si>
  <si>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</si>
  <si>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</si>
  <si>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</si>
  <si>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</si>
  <si>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</si>
  <si>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</si>
  <si>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</si>
  <si>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</si>
  <si>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</si>
  <si>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</si>
  <si>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</si>
  <si>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</si>
  <si>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</si>
  <si>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</si>
  <si>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</si>
  <si>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</si>
  <si>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</si>
  <si>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</si>
  <si>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</si>
  <si>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</si>
  <si>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</si>
  <si>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</si>
  <si>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</si>
  <si>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</si>
  <si>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</si>
  <si>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</si>
  <si>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</si>
  <si>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</si>
  <si>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</si>
  <si>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</si>
  <si>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</si>
  <si>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</si>
  <si>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</si>
  <si>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</si>
  <si>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</si>
  <si>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</si>
  <si>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</si>
  <si>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</si>
  <si>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</si>
  <si>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</si>
  <si>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</si>
  <si>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</si>
  <si>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</si>
  <si>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</si>
  <si>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</si>
  <si>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</si>
  <si>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</si>
  <si>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</si>
  <si>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</si>
  <si>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</si>
  <si>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</si>
  <si>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</si>
  <si>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</si>
  <si>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</si>
  <si>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</si>
  <si>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</si>
  <si>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</si>
  <si>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</si>
  <si>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</si>
  <si>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</si>
  <si>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</si>
  <si>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</si>
  <si>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</si>
  <si>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</si>
  <si>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</si>
  <si>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</si>
  <si>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</si>
  <si>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</si>
  <si>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</si>
  <si>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</si>
  <si>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</si>
  <si>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</si>
  <si>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</si>
  <si>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</si>
  <si>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</si>
  <si>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</si>
  <si>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</si>
  <si>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</si>
  <si>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</si>
  <si>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</si>
  <si>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</si>
  <si>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</si>
  <si>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</si>
  <si>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</si>
  <si>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</si>
  <si>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</si>
  <si>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</si>
  <si>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</si>
  <si>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</si>
  <si>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</si>
  <si>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</si>
  <si>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</si>
  <si>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</si>
  <si>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</si>
  <si>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</si>
  <si>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</si>
  <si>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</si>
  <si>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</si>
  <si>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</si>
  <si>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</si>
  <si>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</si>
  <si>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UT-100142</t>
  </si>
  <si>
    <t>CUST_10141</t>
  </si>
  <si>
    <t>Sharara Set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</si>
  <si>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</si>
  <si>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</si>
  <si>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</si>
  <si>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</si>
  <si>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</si>
  <si>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</si>
  <si>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</si>
  <si>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</si>
  <si>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</si>
  <si>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</si>
  <si>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</si>
  <si>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</si>
  <si>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</si>
  <si>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</si>
  <si>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</si>
  <si>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</si>
  <si>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</si>
  <si>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</si>
  <si>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</si>
  <si>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</si>
  <si>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</si>
  <si>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</si>
  <si>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</si>
  <si>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</si>
  <si>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</si>
  <si>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</si>
  <si>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</si>
  <si>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</si>
  <si>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</si>
  <si>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</si>
  <si>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</si>
  <si>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</si>
  <si>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</si>
  <si>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</si>
  <si>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</si>
  <si>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</si>
  <si>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</si>
  <si>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</si>
  <si>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</si>
  <si>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</si>
  <si>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</si>
  <si>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</si>
  <si>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</si>
  <si>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</si>
  <si>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UT-100154</t>
  </si>
  <si>
    <t>CUST_10153</t>
  </si>
  <si>
    <t>OUT-JQD-L</t>
  </si>
  <si>
    <t>Jacquard Jacket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</si>
  <si>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</si>
  <si>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</si>
  <si>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</si>
  <si>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</si>
  <si>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</si>
  <si>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</si>
  <si>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</si>
  <si>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</si>
  <si>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</si>
  <si>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</si>
  <si>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</si>
  <si>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</si>
  <si>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</si>
  <si>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</si>
  <si>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</si>
  <si>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</si>
  <si>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</si>
  <si>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</si>
  <si>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</si>
  <si>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</si>
  <si>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</si>
  <si>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</si>
  <si>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</si>
  <si>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</si>
  <si>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</si>
  <si>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</si>
  <si>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</si>
  <si>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</si>
  <si>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</si>
  <si>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</si>
  <si>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</si>
  <si>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</si>
  <si>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</si>
  <si>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</si>
  <si>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</si>
  <si>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</si>
  <si>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</si>
  <si>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</si>
  <si>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</si>
  <si>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</si>
  <si>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</si>
  <si>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</si>
  <si>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</si>
  <si>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</si>
  <si>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</si>
  <si>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</si>
  <si>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</si>
  <si>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UT-100167</t>
  </si>
  <si>
    <t>CUST_10166</t>
  </si>
  <si>
    <t>DRS-ASY-M</t>
  </si>
  <si>
    <t>Asymmetric Dress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</si>
  <si>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</si>
  <si>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</si>
  <si>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</si>
  <si>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</si>
  <si>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</si>
  <si>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</si>
  <si>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</si>
  <si>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</si>
  <si>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</si>
  <si>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</si>
  <si>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</si>
  <si>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</si>
  <si>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</si>
  <si>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</si>
  <si>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</si>
  <si>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</si>
  <si>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</si>
  <si>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</si>
  <si>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</si>
  <si>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</si>
  <si>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</si>
  <si>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</si>
  <si>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</si>
  <si>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</si>
  <si>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</si>
  <si>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</si>
  <si>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</si>
  <si>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</si>
  <si>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</si>
  <si>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</si>
  <si>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</si>
  <si>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</si>
  <si>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</si>
  <si>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</si>
  <si>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</si>
  <si>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</si>
  <si>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</si>
  <si>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</si>
  <si>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</si>
  <si>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</si>
  <si>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</si>
  <si>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</si>
  <si>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</si>
  <si>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</si>
  <si>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</si>
  <si>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</si>
  <si>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</si>
  <si>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</si>
  <si>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UT-100180</t>
  </si>
  <si>
    <t>CUST_10179</t>
  </si>
  <si>
    <t>ACC-MTL-OS</t>
  </si>
  <si>
    <t>Metal Belt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</si>
  <si>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</si>
  <si>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</si>
  <si>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</si>
  <si>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</si>
  <si>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</si>
  <si>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</si>
  <si>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</si>
  <si>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</si>
  <si>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</si>
  <si>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</si>
  <si>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</si>
  <si>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</si>
  <si>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</si>
  <si>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</si>
  <si>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</si>
  <si>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</si>
  <si>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</si>
  <si>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</si>
  <si>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</si>
  <si>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</si>
  <si>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</si>
  <si>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</si>
  <si>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</si>
  <si>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</si>
  <si>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</si>
  <si>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</si>
  <si>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</si>
  <si>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</si>
  <si>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</si>
  <si>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</si>
  <si>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</si>
  <si>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</si>
  <si>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</si>
  <si>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</si>
  <si>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</si>
  <si>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</si>
  <si>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</si>
  <si>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</si>
  <si>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</si>
  <si>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</si>
  <si>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</si>
  <si>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</si>
  <si>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</si>
  <si>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</si>
  <si>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</si>
  <si>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</si>
  <si>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</si>
  <si>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</si>
  <si>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</si>
  <si>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</si>
  <si>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</si>
  <si>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</si>
  <si>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</si>
  <si>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</si>
  <si>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</si>
  <si>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</si>
  <si>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</si>
  <si>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</si>
  <si>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</si>
  <si>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</si>
  <si>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</si>
  <si>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</si>
  <si>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</si>
  <si>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</si>
  <si>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</si>
  <si>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</si>
  <si>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</si>
  <si>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</si>
  <si>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</si>
  <si>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</si>
  <si>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</si>
  <si>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</si>
  <si>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</si>
  <si>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</si>
  <si>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</si>
  <si>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</si>
  <si>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</si>
  <si>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</si>
  <si>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</si>
  <si>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</si>
  <si>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</si>
  <si>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</si>
  <si>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</si>
  <si>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</si>
  <si>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</si>
  <si>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</si>
  <si>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</si>
  <si>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</si>
  <si>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</si>
  <si>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</si>
  <si>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</si>
  <si>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</si>
  <si>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</si>
  <si>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</si>
  <si>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</si>
  <si>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</si>
  <si>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</si>
  <si>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</si>
  <si>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</si>
  <si>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</si>
  <si>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</si>
  <si>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</si>
  <si>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</si>
  <si>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</si>
  <si>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UT-100207</t>
  </si>
  <si>
    <t>CUST_10206</t>
  </si>
  <si>
    <t>DRS-SPL-L</t>
  </si>
  <si>
    <t>Sparkle Gown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</si>
  <si>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</si>
  <si>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</si>
  <si>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</si>
  <si>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</si>
  <si>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</si>
  <si>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</si>
  <si>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</si>
  <si>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</si>
  <si>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</si>
  <si>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</si>
  <si>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</si>
  <si>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</si>
  <si>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</si>
  <si>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</si>
  <si>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</si>
  <si>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</si>
  <si>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</si>
  <si>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</si>
  <si>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</si>
  <si>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</si>
  <si>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</si>
  <si>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</si>
  <si>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</si>
  <si>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</si>
  <si>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UT-100214</t>
  </si>
  <si>
    <t>CUST_10213</t>
  </si>
  <si>
    <t>OUT-PRT-M</t>
  </si>
  <si>
    <t>Party Jacket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</si>
  <si>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</si>
  <si>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</si>
  <si>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</si>
  <si>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</si>
  <si>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</si>
  <si>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</si>
  <si>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</si>
  <si>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</si>
  <si>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</si>
  <si>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</si>
  <si>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</si>
  <si>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</si>
  <si>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</si>
  <si>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</si>
  <si>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</si>
  <si>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</si>
  <si>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UT-100219</t>
  </si>
  <si>
    <t>CUST_10218</t>
  </si>
  <si>
    <t>OUT-FRM-L</t>
  </si>
  <si>
    <t>Formal Coat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</si>
  <si>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</si>
  <si>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</si>
  <si>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</si>
  <si>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</si>
  <si>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</si>
  <si>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</si>
  <si>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</si>
  <si>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</si>
  <si>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</si>
  <si>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</si>
  <si>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</si>
  <si>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</si>
  <si>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</si>
  <si>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</si>
  <si>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</si>
  <si>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</si>
  <si>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</si>
  <si>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</si>
  <si>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</si>
  <si>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</si>
  <si>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</si>
  <si>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</si>
  <si>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</si>
  <si>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</si>
  <si>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</si>
  <si>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</si>
  <si>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</si>
  <si>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</si>
  <si>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</si>
  <si>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</si>
  <si>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</si>
  <si>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</si>
  <si>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</si>
  <si>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</si>
  <si>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</si>
  <si>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</si>
  <si>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</si>
  <si>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</si>
  <si>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</si>
  <si>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</si>
  <si>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</si>
  <si>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</si>
  <si>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</si>
  <si>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</si>
  <si>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</si>
  <si>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</si>
  <si>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</si>
  <si>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</si>
  <si>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</si>
  <si>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</si>
  <si>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</si>
  <si>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</si>
  <si>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</si>
  <si>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</si>
  <si>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</si>
  <si>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</si>
  <si>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</si>
  <si>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</si>
  <si>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</si>
  <si>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</si>
  <si>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</si>
  <si>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</si>
  <si>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</si>
  <si>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</si>
  <si>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</si>
  <si>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</si>
  <si>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</si>
  <si>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</si>
  <si>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</si>
  <si>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</si>
  <si>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</si>
  <si>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</si>
  <si>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</si>
  <si>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</si>
  <si>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</si>
  <si>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</si>
  <si>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</si>
  <si>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</si>
  <si>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</si>
  <si>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</si>
  <si>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</si>
  <si>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</si>
  <si>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</si>
  <si>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</si>
  <si>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</si>
  <si>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</si>
  <si>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</si>
  <si>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</si>
  <si>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</si>
  <si>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</si>
  <si>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</si>
  <si>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</si>
  <si>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</si>
  <si>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</si>
  <si>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</si>
  <si>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</si>
  <si>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</si>
  <si>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</si>
  <si>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</si>
  <si>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</si>
  <si>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</si>
  <si>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</si>
  <si>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</si>
  <si>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</si>
  <si>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</si>
  <si>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</si>
  <si>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</si>
  <si>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</si>
  <si>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</si>
  <si>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</si>
  <si>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</si>
  <si>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</si>
  <si>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</si>
  <si>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</si>
  <si>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</si>
  <si>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</si>
  <si>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</si>
  <si>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</si>
  <si>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</si>
  <si>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</si>
  <si>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</si>
  <si>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</si>
  <si>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</si>
  <si>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</si>
  <si>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</si>
  <si>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</si>
  <si>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</si>
  <si>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</si>
  <si>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</si>
  <si>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</si>
  <si>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</si>
  <si>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</si>
  <si>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</si>
  <si>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</si>
  <si>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</si>
  <si>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</si>
  <si>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</si>
  <si>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</si>
  <si>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</si>
  <si>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</si>
  <si>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</si>
  <si>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</si>
  <si>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</si>
  <si>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</si>
  <si>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</si>
  <si>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</si>
  <si>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</si>
  <si>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</si>
  <si>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</si>
  <si>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</si>
  <si>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</si>
  <si>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</si>
  <si>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</si>
  <si>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</si>
  <si>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</si>
  <si>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</si>
  <si>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</si>
  <si>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</si>
  <si>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</si>
  <si>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</si>
  <si>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</si>
  <si>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</si>
  <si>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</si>
  <si>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</si>
  <si>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</si>
  <si>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</si>
  <si>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</si>
  <si>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</si>
  <si>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</si>
  <si>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</si>
  <si>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UT-100261</t>
  </si>
  <si>
    <t>CUST_10260</t>
  </si>
  <si>
    <t>DRS-PRY-M</t>
  </si>
  <si>
    <t>Party Maxi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</si>
  <si>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</si>
  <si>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</si>
  <si>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</si>
  <si>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</si>
  <si>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</si>
  <si>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</si>
  <si>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</si>
  <si>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</si>
  <si>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</si>
  <si>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</si>
  <si>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</si>
  <si>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</si>
  <si>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</si>
  <si>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</si>
  <si>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</si>
  <si>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</si>
  <si>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</si>
  <si>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</si>
  <si>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</si>
  <si>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</si>
  <si>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</si>
  <si>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</si>
  <si>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</si>
  <si>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</si>
  <si>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UT-100268</t>
  </si>
  <si>
    <t>CUST_10267</t>
  </si>
  <si>
    <t>OUT-RSE-M</t>
  </si>
  <si>
    <t>Rose Gold Jacket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</si>
  <si>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</si>
  <si>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</si>
  <si>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</si>
  <si>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</si>
  <si>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</si>
  <si>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</si>
  <si>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</si>
  <si>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</si>
  <si>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</si>
  <si>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</si>
  <si>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</si>
  <si>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</si>
  <si>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</si>
  <si>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</si>
  <si>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</si>
  <si>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</si>
  <si>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</si>
  <si>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</si>
  <si>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</si>
  <si>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</si>
  <si>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</si>
  <si>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</si>
  <si>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</si>
  <si>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</si>
  <si>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</si>
  <si>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</si>
  <si>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</si>
  <si>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</si>
  <si>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UT-100276</t>
  </si>
  <si>
    <t>CUST_10275</t>
  </si>
  <si>
    <t>DRS-FNL-L</t>
  </si>
  <si>
    <t>Finale Gown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</si>
  <si>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</si>
  <si>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</si>
  <si>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</si>
  <si>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</si>
  <si>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</si>
  <si>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</si>
  <si>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</si>
  <si>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</si>
  <si>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</si>
  <si>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</si>
  <si>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</si>
  <si>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</si>
  <si>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</si>
  <si>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</si>
  <si>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</si>
  <si>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</si>
  <si>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</si>
  <si>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</si>
  <si>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</si>
  <si>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</si>
  <si>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</si>
  <si>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</si>
  <si>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</si>
  <si>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</si>
  <si>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</si>
  <si>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</si>
  <si>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</si>
  <si>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</si>
  <si>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</si>
  <si>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</si>
  <si>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</si>
  <si>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</si>
  <si>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</si>
  <si>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</si>
  <si>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</si>
  <si>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</si>
  <si>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</si>
  <si>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</si>
  <si>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</si>
  <si>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</si>
  <si>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</si>
  <si>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</si>
  <si>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</si>
  <si>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</si>
  <si>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</si>
  <si>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</si>
  <si>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</si>
  <si>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</si>
  <si>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</si>
  <si>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</si>
  <si>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</si>
  <si>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</si>
  <si>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</si>
  <si>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</si>
  <si>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</si>
  <si>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</si>
  <si>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</si>
  <si>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</si>
  <si>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</si>
  <si>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</si>
  <si>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</si>
  <si>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</si>
  <si>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</si>
  <si>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</si>
  <si>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</si>
  <si>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</si>
  <si>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</si>
  <si>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</si>
  <si>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</si>
  <si>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</si>
  <si>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</si>
  <si>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</si>
  <si>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</si>
  <si>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</si>
  <si>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</si>
  <si>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</si>
  <si>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</si>
  <si>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</si>
  <si>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</si>
  <si>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</si>
  <si>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</si>
  <si>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</si>
  <si>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</si>
  <si>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UT-100298</t>
  </si>
  <si>
    <t>CUST_10297</t>
  </si>
  <si>
    <t>OUT-END-L</t>
  </si>
  <si>
    <t>End of Year Coat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</si>
  <si>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</si>
  <si>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</si>
  <si>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</si>
  <si>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</si>
  <si>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</si>
  <si>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</si>
  <si>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</si>
  <si>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</si>
  <si>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</si>
  <si>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</si>
  <si>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</si>
  <si>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</si>
  <si>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</si>
  <si>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</si>
  <si>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</si>
  <si>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</si>
  <si>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</si>
  <si>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</si>
  <si>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</si>
  <si>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</si>
  <si>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</si>
  <si>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</si>
  <si>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</si>
  <si>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</si>
  <si>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</si>
  <si>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</si>
  <si>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</si>
  <si>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</si>
  <si>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</si>
  <si>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</si>
  <si>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</si>
  <si>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</si>
  <si>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</si>
  <si>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</si>
  <si>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</si>
  <si>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</si>
  <si>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</si>
  <si>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</si>
  <si>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</si>
  <si>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</si>
  <si>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</si>
  <si>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</si>
  <si>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</si>
  <si>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</si>
  <si>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</si>
  <si>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</si>
  <si>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</si>
  <si>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</si>
  <si>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</si>
  <si>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</si>
  <si>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</si>
  <si>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</si>
  <si>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</si>
  <si>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</si>
  <si>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</si>
  <si>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</si>
  <si>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</si>
  <si>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</si>
  <si>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</si>
  <si>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</si>
  <si>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</si>
  <si>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</si>
  <si>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</si>
  <si>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</si>
  <si>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</si>
  <si>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</si>
  <si>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</si>
  <si>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</si>
  <si>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</si>
  <si>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</si>
  <si>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</si>
  <si>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</si>
  <si>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</si>
  <si>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</si>
  <si>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</si>
  <si>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</si>
  <si>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</si>
  <si>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</si>
  <si>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</si>
  <si>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</si>
  <si>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</si>
  <si>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</si>
  <si>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</si>
  <si>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</si>
  <si>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</si>
  <si>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</si>
  <si>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</si>
  <si>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</si>
  <si>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</si>
  <si>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</si>
  <si>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</si>
  <si>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</si>
  <si>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</si>
  <si>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</si>
  <si>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</si>
  <si>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</si>
  <si>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</si>
  <si>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</si>
  <si>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</si>
  <si>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</si>
  <si>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</si>
  <si>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</si>
  <si>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</si>
  <si>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</si>
  <si>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</si>
  <si>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</si>
  <si>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</si>
  <si>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</si>
  <si>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</si>
  <si>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</si>
  <si>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</si>
  <si>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</si>
  <si>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</si>
  <si>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</si>
  <si>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</si>
  <si>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</si>
  <si>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</si>
  <si>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</si>
  <si>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</si>
  <si>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</si>
  <si>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</si>
  <si>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</si>
  <si>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</si>
  <si>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</si>
  <si>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</si>
  <si>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</si>
  <si>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</si>
  <si>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</si>
  <si>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</si>
  <si>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</si>
  <si>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</si>
  <si>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</si>
  <si>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</si>
  <si>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</si>
  <si>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</si>
  <si>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</si>
  <si>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</si>
  <si>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</si>
  <si>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</si>
  <si>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</si>
  <si>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</si>
  <si>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</si>
  <si>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</si>
  <si>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</si>
  <si>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</si>
  <si>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</si>
  <si>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</si>
  <si>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</si>
  <si>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</si>
  <si>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</si>
  <si>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</si>
  <si>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</si>
  <si>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</si>
  <si>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</si>
  <si>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</si>
  <si>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</si>
  <si>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</si>
  <si>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</si>
  <si>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</si>
  <si>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</si>
  <si>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</si>
  <si>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</si>
  <si>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</si>
  <si>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</si>
  <si>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</si>
  <si>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</si>
  <si>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</si>
  <si>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</si>
  <si>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</si>
  <si>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</si>
  <si>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</si>
  <si>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</si>
  <si>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</si>
  <si>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</si>
  <si>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</si>
  <si>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</si>
  <si>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</si>
  <si>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</si>
  <si>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</si>
  <si>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</si>
  <si>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</si>
  <si>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</si>
  <si>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</si>
  <si>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</si>
  <si>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</si>
  <si>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</si>
  <si>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</si>
  <si>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</si>
  <si>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</si>
  <si>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</si>
  <si>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Issue found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</si>
  <si>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</si>
  <si>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</si>
  <si>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</si>
  <si>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</si>
  <si>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</si>
  <si>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</si>
  <si>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</si>
  <si>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</si>
  <si>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</si>
  <si>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</si>
  <si>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</si>
  <si>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</si>
  <si>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</si>
  <si>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</si>
  <si>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Columns</t>
  </si>
  <si>
    <t>How you detected it</t>
  </si>
  <si>
    <t>Decision Taken</t>
  </si>
  <si>
    <t>Inconsistency</t>
  </si>
  <si>
    <t>order_date</t>
  </si>
  <si>
    <t xml:space="preserve">Order Date was likely a month/day swap
 (1/10 vs 10/1).
</t>
  </si>
  <si>
    <t>Order Date (Jan 10) was outside Q4 and
Delivery Date (Oct 6) was after 9 months.</t>
  </si>
  <si>
    <t>Corrected to 10/1/2024 to
 fit Q4 data.</t>
  </si>
  <si>
    <t xml:space="preserve">Used Filter function to identify 
variations of "Delivered."	</t>
  </si>
  <si>
    <t>Corrected "delievered" to "Delivered"
 via Find &amp; Replace.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</si>
  <si>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</si>
  <si>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</si>
  <si>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</si>
  <si>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</si>
  <si>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</si>
  <si>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</si>
  <si>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</si>
  <si>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</si>
  <si>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</si>
  <si>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</si>
  <si>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</si>
  <si>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</si>
  <si>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</si>
  <si>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</si>
  <si>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</si>
  <si>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</si>
  <si>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</si>
  <si>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</si>
  <si>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</si>
  <si>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</si>
  <si>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</si>
  <si>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</si>
  <si>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</si>
  <si>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</si>
  <si>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</si>
  <si>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</si>
  <si>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</si>
  <si>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</si>
  <si>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</si>
  <si>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</si>
  <si>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</si>
  <si>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</si>
  <si>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</si>
  <si>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</si>
  <si>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</si>
  <si>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</si>
  <si>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</si>
  <si>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</si>
  <si>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</si>
  <si>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</si>
  <si>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</si>
  <si>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</si>
  <si>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</si>
  <si>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</si>
  <si>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</si>
  <si>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</si>
  <si>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</si>
  <si>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</si>
  <si>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</si>
  <si>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</si>
  <si>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</si>
  <si>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</si>
  <si>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</si>
  <si>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</si>
  <si>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</si>
  <si>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</si>
  <si>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</si>
  <si>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</si>
  <si>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</si>
  <si>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</si>
  <si>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</si>
  <si>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</si>
  <si>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</si>
  <si>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</si>
  <si>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</si>
  <si>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</si>
  <si>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</si>
  <si>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</si>
  <si>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</si>
  <si>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</si>
  <si>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</si>
  <si>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</si>
  <si>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</si>
  <si>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</si>
  <si>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</si>
  <si>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</si>
  <si>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</si>
  <si>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</si>
  <si>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</si>
  <si>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</si>
  <si>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</si>
  <si>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</si>
  <si>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</si>
  <si>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</si>
  <si>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</si>
  <si>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</si>
  <si>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</si>
  <si>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</si>
  <si>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</si>
  <si>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</si>
  <si>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</si>
  <si>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</si>
  <si>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</si>
  <si>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</si>
  <si>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</si>
  <si>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</si>
  <si>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</si>
  <si>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</si>
  <si>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</si>
  <si>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</si>
  <si>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</si>
  <si>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</si>
  <si>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</si>
  <si>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</si>
  <si>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</si>
  <si>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</si>
  <si>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</si>
  <si>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</si>
  <si>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</si>
  <si>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</si>
  <si>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</si>
  <si>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</si>
  <si>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</si>
  <si>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</si>
  <si>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</si>
  <si>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</si>
  <si>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</si>
  <si>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</si>
  <si>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</si>
  <si>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</si>
  <si>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</si>
  <si>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</si>
  <si>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</si>
  <si>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</si>
  <si>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</si>
  <si>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</si>
  <si>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</si>
  <si>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</si>
  <si>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</si>
  <si>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</si>
  <si>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</si>
  <si>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</si>
  <si>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</si>
  <si>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</si>
  <si>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</si>
  <si>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</si>
  <si>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</si>
  <si>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</si>
  <si>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</si>
  <si>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</si>
  <si>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</si>
  <si>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</si>
  <si>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</si>
  <si>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</si>
  <si>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</si>
  <si>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</si>
  <si>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</si>
  <si>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</si>
  <si>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</si>
  <si>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</si>
  <si>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</si>
  <si>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</si>
  <si>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</si>
  <si>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</si>
  <si>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</si>
  <si>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</si>
  <si>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</si>
  <si>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</si>
  <si>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</si>
  <si>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</si>
  <si>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</si>
  <si>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</si>
  <si>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</si>
  <si>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</si>
  <si>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</si>
  <si>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</si>
  <si>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</si>
  <si>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</si>
  <si>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</si>
  <si>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</si>
  <si>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</si>
  <si>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</si>
  <si>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</si>
  <si>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</si>
  <si>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</si>
  <si>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</si>
  <si>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</si>
  <si>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</si>
  <si>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</si>
  <si>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</si>
  <si>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</si>
  <si>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</si>
  <si>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</si>
  <si>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</si>
  <si>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</si>
  <si>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</si>
  <si>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</si>
  <si>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</si>
  <si>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</si>
  <si>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</si>
  <si>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</si>
  <si>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</si>
  <si>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</si>
  <si>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</si>
  <si>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</si>
  <si>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</si>
  <si>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</si>
  <si>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</si>
  <si>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</si>
  <si>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</si>
  <si>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</si>
  <si>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</si>
  <si>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</si>
  <si>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</si>
  <si>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</si>
  <si>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</si>
  <si>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</si>
  <si>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</si>
  <si>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</si>
  <si>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</si>
  <si>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</si>
  <si>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</si>
  <si>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</si>
  <si>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</si>
  <si>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</si>
  <si>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</si>
  <si>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</si>
  <si>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</si>
  <si>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</si>
  <si>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</si>
  <si>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</si>
  <si>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</si>
  <si>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</si>
  <si>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</si>
  <si>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</si>
  <si>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</si>
  <si>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</si>
  <si>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</si>
  <si>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</si>
  <si>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</si>
  <si>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</si>
  <si>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</si>
  <si>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</si>
  <si>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</si>
  <si>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</si>
  <si>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</si>
  <si>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</si>
  <si>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</si>
  <si>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</si>
  <si>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</si>
  <si>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</si>
  <si>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</si>
  <si>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</si>
  <si>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</si>
  <si>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</si>
  <si>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</si>
  <si>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</si>
  <si>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</si>
  <si>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</si>
  <si>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</si>
  <si>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</si>
  <si>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</si>
  <si>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</si>
  <si>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</si>
  <si>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</si>
  <si>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</si>
  <si>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</si>
  <si>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</si>
  <si>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</si>
  <si>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</si>
  <si>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</si>
  <si>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</si>
  <si>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</si>
  <si>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</si>
  <si>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</si>
  <si>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</si>
  <si>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</si>
  <si>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</si>
  <si>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</si>
  <si>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</si>
  <si>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</si>
  <si>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</si>
  <si>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</si>
  <si>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</si>
  <si>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</si>
  <si>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</si>
  <si>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</si>
  <si>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</si>
  <si>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</si>
  <si>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</si>
  <si>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</si>
  <si>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</si>
  <si>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</si>
  <si>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</si>
  <si>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</si>
  <si>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</si>
  <si>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</si>
  <si>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</si>
  <si>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</si>
  <si>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</si>
  <si>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</si>
  <si>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</si>
  <si>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</si>
  <si>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</si>
  <si>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</si>
  <si>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</si>
  <si>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</si>
  <si>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</si>
  <si>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</si>
  <si>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</si>
  <si>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</si>
  <si>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</si>
  <si>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</si>
  <si>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</si>
  <si>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</si>
  <si>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</si>
  <si>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</si>
  <si>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</si>
  <si>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</si>
  <si>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</si>
  <si>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</si>
  <si>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</si>
  <si>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</si>
  <si>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</si>
  <si>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</si>
  <si>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</si>
  <si>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</si>
  <si>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</si>
  <si>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</si>
  <si>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</si>
  <si>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</si>
  <si>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</si>
  <si>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</si>
  <si>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</si>
  <si>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</si>
  <si>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</si>
  <si>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</si>
  <si>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</si>
  <si>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</si>
  <si>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</si>
  <si>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</si>
  <si>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</si>
  <si>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</si>
  <si>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</si>
  <si>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</si>
  <si>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</si>
  <si>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</si>
  <si>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</si>
  <si>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</si>
  <si>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</si>
  <si>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</si>
  <si>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</si>
  <si>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</si>
  <si>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</si>
  <si>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</si>
  <si>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</si>
  <si>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</si>
  <si>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</si>
  <si>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</si>
  <si>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</si>
  <si>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</si>
  <si>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</si>
  <si>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</si>
  <si>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</si>
  <si>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</si>
  <si>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</si>
  <si>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</si>
  <si>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</si>
  <si>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</si>
  <si>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</si>
  <si>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</si>
  <si>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</si>
  <si>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</si>
  <si>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</si>
  <si>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</si>
  <si>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</si>
  <si>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</si>
  <si>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</si>
  <si>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</si>
  <si>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</si>
  <si>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</si>
  <si>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</si>
  <si>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</si>
  <si>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</si>
  <si>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</si>
  <si>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</si>
  <si>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</si>
  <si>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</si>
  <si>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</si>
  <si>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</si>
  <si>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</si>
  <si>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</si>
  <si>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</si>
  <si>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</si>
  <si>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</si>
  <si>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</si>
  <si>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</si>
  <si>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</si>
  <si>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</si>
  <si>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</si>
  <si>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</si>
  <si>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</si>
  <si>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</si>
  <si>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</si>
  <si>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</si>
  <si>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</si>
  <si>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</si>
  <si>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</si>
  <si>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</si>
  <si>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</si>
  <si>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</si>
  <si>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</si>
  <si>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</si>
  <si>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</si>
  <si>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</si>
  <si>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</si>
  <si>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</si>
  <si>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</si>
  <si>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</si>
  <si>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</si>
  <si>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</si>
  <si>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</si>
  <si>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</si>
  <si>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</si>
  <si>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</si>
  <si>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</si>
  <si>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</si>
  <si>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</si>
  <si>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</si>
  <si>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</si>
  <si>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</si>
  <si>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</si>
  <si>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</si>
  <si>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</si>
  <si>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</si>
  <si>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</si>
  <si>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</si>
  <si>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</si>
  <si>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</si>
  <si>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</si>
  <si>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</si>
  <si>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</si>
  <si>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</si>
  <si>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</si>
  <si>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</si>
  <si>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</si>
  <si>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</si>
  <si>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</si>
  <si>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</si>
  <si>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</si>
  <si>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</si>
  <si>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</si>
  <si>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</si>
  <si>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</si>
  <si>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</si>
  <si>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</si>
  <si>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</si>
  <si>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</si>
  <si>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</si>
  <si>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</si>
  <si>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</si>
  <si>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</si>
  <si>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</si>
  <si>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</si>
  <si>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</si>
  <si>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</si>
  <si>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</si>
  <si>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</si>
  <si>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</si>
  <si>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</si>
  <si>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</si>
  <si>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</si>
  <si>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</si>
  <si>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</si>
  <si>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</si>
  <si>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</si>
  <si>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</si>
  <si>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</si>
  <si>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</si>
  <si>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</si>
  <si>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</si>
  <si>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</si>
  <si>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</si>
  <si>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</si>
  <si>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</si>
  <si>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</si>
  <si>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</si>
  <si>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</si>
  <si>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</si>
  <si>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</si>
  <si>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</si>
  <si>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</si>
  <si>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</si>
  <si>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</si>
  <si>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</si>
  <si>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</si>
  <si>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</si>
  <si>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</si>
  <si>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</si>
  <si>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</si>
  <si>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</si>
  <si>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</si>
  <si>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</si>
  <si>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</si>
  <si>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</si>
  <si>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</si>
  <si>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</si>
  <si>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</si>
  <si>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</si>
  <si>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</si>
  <si>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</si>
  <si>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</si>
  <si>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</si>
  <si>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</si>
  <si>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</si>
  <si>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</si>
  <si>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</si>
  <si>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</si>
  <si>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</si>
  <si>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</si>
  <si>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</si>
  <si>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</si>
  <si>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</si>
  <si>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</si>
  <si>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</si>
  <si>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</si>
  <si>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</si>
  <si>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</si>
  <si>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</si>
  <si>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</si>
  <si>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</si>
  <si>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</si>
  <si>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</si>
  <si>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</si>
  <si>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</si>
  <si>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</si>
  <si>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</si>
  <si>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</si>
  <si>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</si>
  <si>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</si>
  <si>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</si>
  <si>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</si>
  <si>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</si>
  <si>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</si>
  <si>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</si>
  <si>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</si>
  <si>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</si>
  <si>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</si>
  <si>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</si>
  <si>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</si>
  <si>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</si>
  <si>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</si>
  <si>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</si>
  <si>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</si>
  <si>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</si>
  <si>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</si>
  <si>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</si>
  <si>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</si>
  <si>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</si>
  <si>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</si>
  <si>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</si>
  <si>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</si>
  <si>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</si>
  <si>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</si>
  <si>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</si>
  <si>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</si>
  <si>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</si>
  <si>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</si>
  <si>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</si>
  <si>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</si>
  <si>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</si>
  <si>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</si>
  <si>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</si>
  <si>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</si>
  <si>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</si>
  <si>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</si>
  <si>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</si>
  <si>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</si>
  <si>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</si>
  <si>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</si>
  <si>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</si>
  <si>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</si>
  <si>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</si>
  <si>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</si>
  <si>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</si>
  <si>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</si>
  <si>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</si>
  <si>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</si>
  <si>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</si>
  <si>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</si>
  <si>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</si>
  <si>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</si>
  <si>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</si>
  <si>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</si>
  <si>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</si>
  <si>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</si>
  <si>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</si>
  <si>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</si>
  <si>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</si>
  <si>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</si>
  <si>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</si>
  <si>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</si>
  <si>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</si>
  <si>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</si>
  <si>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</si>
  <si>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</si>
  <si>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</si>
  <si>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</si>
  <si>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</si>
  <si>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</si>
  <si>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</si>
  <si>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</si>
  <si>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</si>
  <si>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</si>
  <si>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</si>
  <si>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</si>
  <si>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</si>
  <si>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</si>
  <si>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</si>
  <si>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</si>
  <si>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</si>
  <si>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</si>
  <si>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</si>
  <si>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</si>
  <si>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</si>
  <si>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</si>
  <si>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</si>
  <si>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</si>
  <si>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</si>
  <si>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</si>
  <si>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</si>
  <si>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</si>
  <si>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</si>
  <si>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</si>
  <si>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</si>
  <si>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</si>
  <si>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</si>
  <si>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</si>
  <si>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</si>
  <si>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</si>
  <si>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</si>
  <si>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</si>
  <si>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</si>
  <si>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</si>
  <si>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</si>
  <si>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</si>
  <si>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</si>
  <si>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</si>
  <si>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</si>
  <si>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</si>
  <si>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</si>
  <si>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</si>
  <si>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</si>
  <si>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</si>
  <si>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</si>
  <si>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</si>
  <si>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</si>
  <si>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</si>
  <si>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</si>
  <si>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</si>
  <si>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</si>
  <si>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</si>
  <si>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</si>
  <si>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</si>
  <si>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</si>
  <si>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</si>
  <si>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</si>
  <si>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</si>
  <si>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</si>
  <si>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</si>
  <si>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</si>
  <si>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</si>
  <si>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</si>
  <si>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</si>
  <si>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</si>
  <si>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</si>
  <si>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</si>
  <si>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</si>
  <si>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</si>
  <si>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</si>
  <si>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</si>
  <si>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</si>
  <si>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</si>
  <si>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</si>
  <si>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</si>
  <si>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</si>
  <si>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</si>
  <si>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</si>
  <si>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</si>
  <si>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</si>
  <si>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</si>
  <si>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</si>
  <si>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</si>
  <si>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</si>
  <si>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</si>
  <si>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</si>
  <si>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</si>
  <si>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</si>
  <si>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</si>
  <si>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</si>
  <si>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</si>
  <si>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</si>
  <si>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</si>
  <si>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</si>
  <si>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</si>
  <si>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</si>
  <si>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</si>
  <si>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</si>
  <si>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</si>
  <si>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</si>
  <si>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</si>
  <si>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</si>
  <si>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</si>
  <si>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</si>
  <si>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</si>
  <si>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</si>
  <si>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</si>
  <si>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</si>
  <si>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</si>
  <si>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</si>
  <si>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</si>
  <si>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</si>
  <si>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</si>
  <si>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</si>
  <si>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</si>
  <si>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</si>
  <si>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</si>
  <si>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</si>
  <si>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</si>
  <si>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</si>
  <si>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</si>
  <si>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</si>
  <si>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</si>
  <si>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</si>
  <si>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</si>
  <si>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</si>
  <si>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</si>
  <si>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</si>
  <si>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</si>
  <si>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</si>
  <si>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</si>
  <si>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</si>
  <si>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</si>
  <si>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</si>
  <si>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</si>
  <si>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</si>
  <si>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</si>
  <si>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</si>
  <si>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</si>
  <si>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</si>
  <si>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</si>
  <si>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</si>
  <si>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</si>
  <si>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</si>
  <si>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</si>
  <si>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</si>
  <si>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</si>
  <si>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</si>
  <si>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</si>
  <si>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</si>
  <si>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</si>
  <si>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</si>
  <si>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</si>
  <si>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</si>
  <si>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</si>
  <si>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</si>
  <si>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</si>
  <si>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</si>
  <si>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</si>
  <si>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</si>
  <si>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</si>
  <si>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</si>
  <si>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</si>
  <si>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</si>
  <si>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</si>
  <si>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</si>
  <si>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</si>
  <si>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</si>
  <si>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</si>
  <si>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</si>
  <si>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</si>
  <si>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</si>
  <si>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</si>
  <si>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</si>
  <si>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</si>
  <si>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</si>
  <si>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</si>
  <si>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</si>
  <si>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</si>
  <si>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</si>
  <si>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</si>
  <si>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</si>
  <si>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</si>
  <si>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</si>
  <si>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</si>
  <si>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</si>
  <si>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</si>
  <si>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</si>
  <si>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</si>
  <si>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</si>
  <si>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</si>
  <si>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</si>
  <si>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</si>
  <si>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</si>
  <si>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</si>
  <si>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</si>
  <si>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</si>
  <si>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</si>
  <si>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</si>
  <si>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</si>
  <si>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</si>
  <si>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</si>
  <si>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</si>
  <si>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</si>
  <si>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</si>
  <si>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</si>
  <si>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</si>
  <si>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</si>
  <si>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</si>
  <si>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</si>
  <si>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</si>
  <si>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</si>
  <si>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</si>
  <si>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</si>
  <si>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</si>
  <si>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</si>
  <si>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</si>
  <si>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</si>
  <si>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</si>
  <si>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</si>
  <si>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</si>
  <si>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</si>
  <si>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</si>
  <si>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</si>
  <si>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</si>
  <si>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</si>
  <si>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</si>
  <si>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</si>
  <si>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</si>
  <si>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</si>
  <si>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</si>
  <si>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</si>
  <si>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</si>
  <si>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</si>
  <si>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</si>
  <si>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</si>
  <si>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</si>
  <si>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</si>
  <si>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</si>
  <si>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</si>
  <si>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</si>
  <si>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</si>
  <si>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</si>
  <si>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</si>
  <si>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</si>
  <si>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</si>
  <si>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</si>
  <si>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</si>
  <si>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</si>
  <si>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</si>
  <si>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</si>
  <si>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</si>
  <si>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</si>
  <si>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</si>
  <si>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</si>
  <si>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</si>
  <si>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</si>
  <si>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</si>
  <si>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</si>
  <si>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</si>
  <si>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</si>
  <si>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</si>
  <si>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</si>
  <si>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</si>
  <si>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</si>
  <si>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</si>
  <si>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</si>
  <si>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</si>
  <si>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</si>
  <si>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</si>
  <si>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</si>
  <si>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</si>
  <si>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</si>
  <si>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</si>
  <si>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</si>
  <si>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</si>
  <si>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</si>
  <si>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</si>
  <si>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</si>
  <si>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</si>
  <si>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</si>
  <si>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</si>
  <si>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</si>
  <si>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</si>
  <si>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</si>
  <si>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</si>
  <si>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</si>
  <si>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</si>
  <si>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</si>
  <si>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</si>
  <si>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</si>
  <si>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</si>
  <si>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</si>
  <si>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</si>
  <si>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</si>
  <si>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</si>
  <si>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</si>
  <si>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</si>
  <si>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</si>
  <si>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</si>
  <si>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</si>
  <si>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</si>
  <si>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</si>
  <si>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</si>
  <si>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</si>
  <si>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</si>
  <si>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</si>
  <si>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</si>
  <si>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</si>
  <si>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</si>
  <si>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</si>
  <si>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</si>
  <si>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</si>
  <si>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</si>
  <si>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</si>
  <si>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</si>
  <si>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</si>
  <si>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</si>
  <si>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</si>
  <si>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</si>
  <si>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</si>
  <si>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</si>
  <si>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</si>
  <si>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</si>
  <si>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</si>
  <si>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</si>
  <si>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</si>
  <si>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</si>
  <si>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</si>
  <si>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</si>
  <si>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</si>
  <si>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</si>
  <si>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</si>
  <si>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</si>
  <si>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</si>
  <si>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</si>
  <si>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</si>
  <si>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</si>
  <si>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</si>
  <si>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</si>
  <si>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</si>
  <si>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</si>
  <si>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</si>
  <si>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</si>
  <si>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</si>
  <si>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</si>
  <si>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</si>
  <si>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</si>
  <si>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</si>
  <si>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</si>
  <si>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</si>
  <si>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</si>
  <si>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</si>
  <si>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</si>
  <si>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</si>
  <si>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</si>
  <si>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</si>
  <si>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</si>
  <si>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</si>
  <si>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</si>
  <si>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</si>
  <si>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</si>
  <si>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</si>
  <si>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</si>
  <si>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</si>
  <si>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</si>
  <si>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</si>
  <si>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</si>
  <si>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</si>
  <si>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</si>
  <si>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</si>
  <si>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</si>
  <si>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</si>
  <si>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</si>
  <si>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</si>
  <si>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</si>
  <si>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</si>
  <si>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</si>
  <si>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</si>
  <si>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</si>
  <si>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</si>
  <si>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</si>
  <si>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</si>
  <si>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</si>
  <si>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</si>
  <si>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</si>
  <si>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</si>
  <si>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</si>
  <si>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</si>
  <si>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</si>
  <si>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</si>
  <si>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</si>
  <si>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</si>
  <si>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</si>
  <si>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</si>
  <si>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</si>
  <si>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</si>
  <si>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</si>
  <si>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</si>
  <si>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</si>
  <si>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</si>
  <si>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</si>
  <si>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</si>
  <si>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</si>
  <si>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</si>
  <si>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</si>
  <si>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</si>
  <si>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</si>
  <si>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</si>
  <si>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</si>
  <si>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</si>
  <si>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</si>
  <si>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</si>
  <si>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</si>
  <si>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</si>
  <si>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</si>
  <si>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</si>
  <si>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</si>
  <si>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</si>
  <si>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</si>
  <si>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</si>
  <si>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</si>
  <si>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</si>
  <si>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</si>
  <si>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</si>
  <si>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</si>
  <si>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</si>
  <si>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</si>
  <si>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</si>
  <si>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</si>
  <si>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</si>
  <si>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</si>
  <si>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</si>
  <si>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</si>
  <si>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</si>
  <si>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</si>
  <si>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</si>
  <si>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</si>
  <si>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</si>
  <si>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</si>
  <si>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</si>
  <si>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</si>
  <si>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</si>
  <si>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</si>
  <si>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</si>
  <si>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</si>
  <si>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</si>
  <si>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</si>
  <si>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</si>
  <si>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</si>
  <si>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</si>
  <si>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</si>
  <si>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</si>
  <si>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</si>
  <si>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</si>
  <si>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</si>
  <si>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</si>
  <si>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</si>
  <si>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</si>
  <si>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</si>
  <si>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</si>
  <si>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</si>
  <si>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</si>
  <si>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</si>
  <si>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</si>
  <si>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</si>
  <si>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</si>
  <si>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</si>
  <si>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</si>
  <si>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</si>
  <si>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</si>
  <si>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</si>
  <si>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</si>
  <si>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</si>
  <si>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</si>
  <si>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</si>
  <si>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</si>
  <si>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</si>
  <si>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</si>
  <si>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</si>
  <si>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</si>
  <si>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</si>
  <si>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</si>
  <si>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</si>
  <si>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</si>
  <si>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</si>
  <si>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</si>
  <si>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</si>
  <si>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</si>
  <si>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</si>
  <si>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</si>
  <si>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</si>
  <si>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</si>
  <si>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</si>
  <si>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</si>
  <si>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</si>
  <si>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</si>
  <si>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</si>
  <si>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</si>
  <si>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</si>
  <si>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</si>
  <si>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</si>
  <si>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</si>
  <si>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</si>
  <si>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</si>
  <si>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</si>
  <si>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</si>
  <si>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</si>
  <si>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</si>
  <si>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</si>
  <si>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</si>
  <si>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</si>
  <si>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</si>
  <si>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</si>
  <si>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</si>
  <si>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</si>
  <si>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</si>
  <si>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</si>
  <si>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</si>
  <si>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</si>
  <si>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</si>
  <si>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</si>
  <si>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</si>
  <si>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</si>
  <si>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</si>
  <si>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</si>
  <si>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</si>
  <si>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</si>
  <si>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</si>
  <si>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</si>
  <si>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</si>
  <si>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</si>
  <si>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</si>
  <si>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</si>
  <si>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</si>
  <si>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</si>
  <si>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</si>
  <si>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</si>
  <si>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</si>
  <si>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</si>
  <si>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</si>
  <si>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</si>
  <si>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</si>
  <si>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</si>
  <si>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</si>
  <si>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</si>
  <si>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</si>
  <si>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</si>
  <si>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</si>
  <si>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</si>
  <si>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</si>
  <si>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</si>
  <si>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</si>
  <si>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</si>
  <si>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</si>
  <si>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</si>
  <si>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</si>
  <si>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</si>
  <si>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</si>
  <si>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</si>
  <si>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</si>
  <si>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</si>
  <si>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</si>
  <si>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</si>
  <si>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</si>
  <si>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</si>
  <si>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</si>
  <si>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</si>
  <si>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</si>
  <si>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</si>
  <si>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</si>
  <si>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</si>
  <si>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</si>
  <si>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</si>
  <si>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</si>
  <si>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</si>
  <si>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</si>
  <si>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</si>
  <si>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</si>
  <si>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</si>
  <si>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</si>
  <si>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</si>
  <si>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</si>
  <si>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</si>
  <si>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</si>
  <si>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</si>
  <si>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</si>
  <si>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</si>
  <si>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</si>
  <si>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</si>
  <si>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</si>
  <si>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</si>
  <si>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</si>
  <si>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</si>
  <si>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</si>
  <si>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</si>
  <si>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</si>
  <si>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</si>
  <si>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</si>
  <si>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</si>
  <si>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</si>
  <si>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</si>
  <si>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</si>
  <si>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</si>
  <si>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</si>
  <si>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</si>
  <si>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</si>
  <si>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</si>
  <si>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</si>
  <si>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</si>
  <si>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</si>
  <si>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</si>
  <si>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</si>
  <si>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</si>
  <si>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</si>
  <si>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</si>
  <si>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</si>
  <si>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</si>
  <si>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</si>
  <si>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</si>
  <si>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</si>
  <si>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</si>
  <si>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</si>
  <si>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</si>
  <si>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</si>
  <si>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</si>
  <si>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</si>
  <si>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</si>
  <si>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</si>
  <si>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</si>
  <si>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</si>
  <si>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</si>
  <si>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</si>
  <si>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</si>
  <si>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</si>
  <si>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</si>
  <si>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</si>
  <si>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</si>
  <si>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</si>
  <si>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</si>
  <si>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</si>
  <si>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</si>
  <si>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</si>
  <si>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</si>
  <si>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</si>
  <si>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</si>
  <si>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</si>
  <si>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</si>
  <si>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</si>
  <si>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</si>
  <si>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</si>
  <si>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</si>
  <si>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</si>
  <si>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</si>
  <si>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</si>
  <si>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</si>
  <si>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</si>
  <si>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</si>
  <si>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</si>
  <si>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</si>
  <si>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</si>
  <si>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</si>
  <si>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</si>
  <si>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</si>
  <si>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</si>
  <si>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</si>
  <si>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</si>
  <si>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</si>
  <si>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</si>
  <si>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</si>
  <si>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</si>
  <si>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</si>
  <si>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</si>
  <si>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</si>
  <si>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</si>
  <si>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</si>
  <si>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</si>
  <si>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</si>
  <si>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</si>
  <si>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</si>
  <si>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</si>
  <si>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</si>
  <si>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</si>
  <si>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</si>
  <si>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</si>
  <si>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</si>
  <si>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</si>
  <si>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</si>
  <si>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</si>
  <si>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</si>
  <si>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</si>
  <si>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</si>
  <si>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</si>
  <si>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</si>
  <si>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</si>
  <si>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</si>
  <si>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</si>
  <si>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</si>
  <si>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</si>
  <si>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</si>
  <si>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</si>
  <si>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</si>
  <si>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</si>
  <si>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</si>
  <si>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</si>
  <si>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</si>
  <si>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</si>
  <si>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</si>
  <si>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</si>
  <si>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</si>
  <si>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</si>
  <si>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</si>
  <si>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</si>
  <si>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</si>
  <si>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</si>
  <si>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</si>
  <si>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</si>
  <si>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</si>
  <si>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</si>
  <si>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</si>
  <si>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</si>
  <si>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</si>
  <si>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</si>
  <si>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</si>
  <si>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</si>
  <si>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</si>
  <si>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</si>
  <si>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</si>
  <si>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</si>
  <si>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</si>
  <si>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</si>
  <si>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</si>
  <si>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</si>
  <si>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</si>
  <si>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</si>
  <si>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</si>
  <si>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</si>
  <si>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</si>
  <si>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</si>
  <si>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</si>
  <si>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</si>
  <si>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</si>
  <si>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</si>
  <si>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</si>
  <si>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</si>
  <si>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</si>
  <si>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</si>
  <si>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</si>
  <si>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</si>
  <si>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</si>
  <si>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</si>
  <si>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</si>
  <si>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</si>
  <si>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</si>
  <si>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</si>
  <si>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</si>
  <si>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</si>
  <si>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</si>
  <si>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</si>
  <si>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</si>
  <si>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</si>
  <si>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</si>
  <si>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</si>
  <si>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</si>
  <si>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</si>
  <si>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</si>
  <si>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</si>
  <si>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</si>
  <si>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</si>
  <si>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</si>
  <si>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</si>
  <si>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</si>
  <si>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</si>
  <si>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</si>
  <si>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</si>
  <si>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</si>
  <si>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</si>
  <si>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</si>
  <si>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</si>
  <si>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</si>
  <si>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</si>
  <si>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</si>
  <si>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</si>
  <si>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</si>
  <si>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</si>
  <si>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</si>
  <si>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</si>
  <si>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</si>
  <si>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</si>
  <si>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</si>
  <si>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</si>
  <si>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</si>
  <si>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</si>
  <si>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</si>
  <si>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</si>
  <si>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</si>
  <si>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</si>
  <si>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</si>
  <si>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</si>
  <si>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</si>
  <si>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</si>
  <si>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</si>
  <si>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</si>
  <si>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</si>
  <si>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</si>
  <si>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</si>
  <si>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</si>
  <si>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</si>
  <si>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</si>
  <si>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</si>
  <si>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</si>
  <si>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</si>
  <si>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</si>
  <si>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</si>
  <si>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</si>
  <si>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</si>
  <si>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</si>
  <si>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</si>
  <si>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</si>
  <si>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</si>
  <si>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</si>
  <si>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</si>
  <si>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</si>
  <si>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</si>
  <si>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</si>
  <si>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</si>
  <si>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</si>
  <si>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</si>
  <si>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</si>
  <si>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</si>
  <si>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</si>
  <si>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</si>
  <si>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</si>
  <si>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</si>
  <si>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</si>
  <si>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</si>
  <si>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</si>
  <si>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</si>
  <si>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</si>
  <si>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</si>
  <si>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</si>
  <si>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</si>
  <si>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</si>
  <si>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</si>
  <si>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</si>
  <si>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</si>
  <si>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</si>
  <si>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</si>
  <si>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</si>
  <si>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</si>
  <si>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</si>
  <si>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</si>
  <si>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</si>
  <si>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</si>
  <si>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</si>
  <si>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</si>
  <si>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</si>
  <si>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</si>
  <si>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</si>
  <si>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</si>
  <si>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</si>
  <si>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</si>
  <si>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</si>
  <si>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</si>
  <si>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</si>
  <si>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</si>
  <si>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</si>
  <si>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</si>
  <si>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</si>
  <si>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</si>
  <si>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</si>
  <si>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</si>
  <si>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</si>
  <si>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</si>
  <si>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</si>
  <si>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</si>
  <si>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</si>
  <si>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</si>
  <si>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</si>
  <si>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</si>
  <si>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</si>
  <si>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</si>
  <si>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</si>
  <si>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</si>
  <si>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</si>
  <si>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</si>
  <si>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</si>
  <si>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</si>
  <si>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</si>
  <si>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</si>
  <si>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</si>
  <si>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</si>
  <si>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</si>
  <si>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</si>
  <si>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</si>
  <si>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</si>
  <si>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</si>
  <si>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</si>
  <si>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</si>
  <si>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</si>
  <si>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</si>
  <si>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</si>
  <si>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</si>
  <si>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</si>
  <si>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</si>
  <si>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</si>
  <si>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</si>
  <si>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</si>
  <si>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</si>
  <si>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</si>
  <si>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</si>
  <si>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</si>
  <si>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</si>
  <si>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</si>
  <si>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</si>
  <si>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</si>
  <si>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</si>
  <si>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</si>
  <si>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</si>
  <si>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</si>
  <si>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</si>
  <si>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</si>
  <si>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</si>
  <si>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</si>
  <si>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</si>
  <si>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</si>
  <si>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</si>
  <si>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</si>
  <si>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</si>
  <si>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</si>
  <si>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</si>
  <si>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</si>
  <si>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</si>
  <si>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</si>
  <si>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</si>
  <si>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</si>
  <si>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</si>
  <si>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</si>
  <si>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</si>
  <si>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</si>
  <si>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</si>
  <si>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</si>
  <si>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</si>
  <si>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</si>
  <si>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</si>
  <si>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</si>
  <si>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</si>
  <si>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</si>
  <si>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</si>
  <si>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</si>
  <si>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</si>
  <si>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</si>
  <si>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</si>
  <si>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</si>
  <si>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</si>
  <si>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</si>
  <si>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</si>
  <si>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</si>
  <si>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</si>
  <si>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</si>
  <si>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</si>
  <si>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</si>
  <si>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</si>
  <si>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</si>
  <si>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</si>
  <si>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</si>
  <si>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</si>
  <si>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</si>
  <si>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</si>
  <si>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</si>
  <si>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</si>
  <si>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</si>
  <si>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</si>
  <si>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</si>
  <si>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</si>
  <si>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</si>
  <si>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</si>
  <si>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</si>
  <si>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</si>
  <si>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</si>
  <si>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</si>
  <si>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</si>
  <si>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</si>
  <si>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</si>
  <si>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</si>
  <si>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</si>
  <si>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</si>
  <si>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</si>
  <si>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</si>
  <si>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</si>
  <si>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</si>
  <si>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</si>
  <si>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</si>
  <si>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</si>
  <si>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</si>
  <si>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</si>
  <si>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</si>
  <si>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</si>
  <si>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</si>
  <si>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</si>
  <si>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</si>
  <si>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</si>
  <si>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</si>
  <si>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</si>
  <si>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</si>
  <si>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</si>
  <si>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</si>
  <si>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</si>
  <si>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</si>
  <si>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</si>
  <si>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</si>
  <si>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</si>
  <si>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</si>
  <si>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</si>
  <si>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</si>
  <si>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</si>
  <si>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</si>
  <si>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</si>
  <si>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</si>
  <si>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</si>
  <si>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</si>
  <si>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</si>
  <si>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</si>
  <si>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</si>
  <si>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</si>
  <si>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</si>
  <si>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</si>
  <si>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</si>
  <si>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</si>
  <si>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</si>
  <si>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</si>
  <si>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</si>
  <si>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</si>
  <si>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</si>
  <si>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</si>
  <si>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</si>
  <si>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</si>
  <si>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</si>
  <si>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</si>
  <si>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</si>
  <si>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</si>
  <si>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</si>
  <si>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</si>
  <si>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</si>
  <si>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</si>
  <si>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</si>
  <si>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</si>
  <si>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</si>
  <si>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</si>
  <si>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</si>
  <si>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</si>
  <si>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</si>
  <si>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</si>
  <si>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</si>
  <si>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</si>
  <si>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</si>
  <si>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</si>
  <si>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</si>
  <si>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</si>
  <si>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</si>
  <si>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</si>
  <si>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</si>
  <si>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</si>
  <si>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</si>
  <si>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</si>
  <si>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</si>
  <si>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</si>
  <si>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</si>
  <si>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</si>
  <si>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</si>
  <si>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</si>
  <si>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</si>
  <si>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</si>
  <si>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</si>
  <si>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</si>
  <si>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</si>
  <si>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</si>
  <si>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</si>
  <si>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</si>
  <si>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</si>
  <si>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</si>
  <si>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</si>
  <si>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</si>
  <si>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</si>
  <si>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</si>
  <si>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</si>
  <si>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</si>
  <si>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</si>
  <si>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</si>
  <si>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</si>
  <si>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</si>
  <si>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</si>
  <si>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</si>
  <si>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</si>
  <si>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</si>
  <si>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</si>
  <si>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</si>
  <si>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</si>
  <si>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</si>
  <si>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</si>
  <si>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</si>
  <si>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</si>
  <si>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</si>
  <si>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</si>
  <si>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</si>
  <si>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</si>
  <si>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</si>
  <si>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</si>
  <si>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</si>
  <si>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</si>
  <si>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</si>
  <si>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</si>
  <si>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</si>
  <si>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</si>
  <si>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</si>
  <si>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</si>
  <si>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</si>
  <si>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</si>
  <si>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</si>
  <si>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</si>
  <si>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</si>
  <si>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</si>
  <si>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</si>
  <si>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</si>
  <si>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</si>
  <si>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</si>
  <si>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</si>
  <si>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</si>
  <si>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</si>
  <si>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</si>
  <si>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</si>
  <si>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</si>
  <si>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</si>
  <si>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</si>
  <si>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</si>
  <si>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</si>
  <si>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</si>
  <si>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</si>
  <si>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</si>
  <si>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</si>
  <si>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</si>
  <si>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</si>
  <si>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</si>
  <si>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</si>
  <si>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</si>
  <si>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</si>
  <si>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</si>
  <si>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</si>
  <si>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</si>
  <si>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</si>
  <si>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</si>
  <si>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</si>
  <si>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</si>
  <si>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</si>
  <si>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</si>
  <si>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</si>
  <si>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</si>
  <si>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</si>
  <si>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</si>
  <si>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</si>
  <si>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</si>
  <si>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</si>
  <si>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</si>
  <si>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</si>
  <si>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</si>
  <si>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</si>
  <si>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</si>
  <si>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</si>
  <si>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</si>
  <si>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</si>
  <si>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</si>
  <si>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</si>
  <si>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</si>
  <si>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</si>
  <si>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</si>
  <si>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</si>
  <si>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</si>
  <si>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</si>
  <si>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</si>
  <si>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</si>
  <si>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</si>
  <si>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</si>
  <si>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</si>
  <si>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</si>
  <si>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</si>
  <si>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</si>
  <si>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</si>
  <si>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</si>
  <si>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</si>
  <si>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</si>
  <si>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</si>
  <si>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</si>
  <si>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</si>
  <si>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</si>
  <si>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</si>
  <si>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</si>
  <si>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</si>
  <si>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</si>
  <si>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</si>
  <si>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</si>
  <si>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</si>
  <si>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</si>
  <si>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</si>
  <si>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</si>
  <si>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</si>
  <si>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</si>
  <si>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</si>
  <si>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</si>
  <si>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</si>
  <si>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</si>
  <si>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</si>
  <si>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</si>
  <si>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</si>
  <si>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</si>
  <si>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</si>
  <si>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</si>
  <si>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</si>
  <si>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</si>
  <si>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</si>
  <si>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</si>
  <si>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</si>
  <si>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</si>
  <si>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</si>
  <si>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</si>
  <si>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</si>
  <si>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</si>
  <si>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</si>
  <si>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</si>
  <si>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</si>
  <si>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</si>
  <si>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</si>
  <si>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</si>
  <si>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</si>
  <si>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</si>
  <si>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</si>
  <si>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</si>
  <si>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</si>
  <si>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</si>
  <si>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</si>
  <si>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</si>
  <si>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</si>
  <si>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</si>
  <si>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</si>
  <si>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</si>
  <si>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</si>
  <si>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</si>
  <si>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</si>
  <si>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</si>
  <si>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</si>
  <si>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</si>
  <si>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</si>
  <si>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</si>
  <si>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</si>
  <si>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</si>
  <si>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</si>
  <si>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</si>
  <si>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</si>
  <si>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</si>
  <si>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</si>
  <si>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</si>
  <si>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</si>
  <si>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</si>
  <si>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</si>
  <si>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</si>
  <si>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</si>
  <si>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</si>
  <si>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</si>
  <si>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</si>
  <si>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</si>
  <si>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</si>
  <si>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</si>
  <si>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</si>
  <si>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</si>
  <si>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</si>
  <si>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</si>
  <si>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</si>
  <si>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</si>
  <si>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</si>
  <si>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</si>
  <si>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</si>
  <si>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</si>
  <si>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</si>
  <si>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</si>
  <si>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</si>
  <si>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</si>
  <si>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</si>
  <si>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</si>
  <si>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</si>
  <si>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</si>
  <si>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</si>
  <si>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</si>
  <si>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</si>
  <si>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</si>
  <si>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</si>
  <si>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</si>
  <si>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</si>
  <si>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</si>
  <si>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</si>
  <si>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</si>
  <si>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</si>
  <si>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</si>
  <si>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</si>
  <si>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</si>
  <si>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</si>
  <si>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</si>
  <si>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</si>
  <si>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</si>
  <si>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</si>
  <si>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</si>
  <si>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</si>
  <si>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</si>
  <si>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</si>
  <si>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</si>
  <si>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</si>
  <si>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</si>
  <si>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</si>
  <si>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</si>
  <si>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</si>
  <si>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</si>
  <si>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</si>
  <si>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</si>
  <si>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</si>
  <si>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</si>
  <si>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</si>
  <si>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</si>
  <si>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</si>
  <si>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</si>
  <si>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</si>
  <si>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</si>
  <si>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</si>
  <si>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</si>
  <si>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</si>
  <si>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</si>
  <si>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</si>
  <si>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</si>
  <si>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</si>
  <si>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</si>
  <si>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</si>
  <si>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</si>
  <si>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</si>
  <si>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</si>
  <si>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</si>
  <si>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</si>
  <si>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</si>
  <si>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</si>
  <si>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</si>
  <si>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</si>
  <si>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</si>
  <si>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</si>
  <si>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</si>
  <si>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</si>
  <si>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</si>
  <si>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</si>
  <si>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</si>
  <si>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</si>
  <si>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</si>
  <si>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</si>
  <si>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</si>
  <si>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</si>
  <si>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</si>
  <si>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</si>
  <si>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</si>
  <si>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</si>
  <si>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</si>
  <si>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</si>
  <si>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</si>
  <si>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</si>
  <si>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</si>
  <si>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</si>
  <si>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</si>
  <si>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</si>
  <si>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</si>
  <si>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</si>
  <si>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</si>
  <si>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</si>
  <si>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</si>
  <si>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</si>
  <si>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</si>
  <si>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</si>
  <si>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</si>
  <si>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</si>
  <si>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</si>
  <si>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</si>
  <si>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</si>
  <si>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</si>
  <si>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</si>
  <si>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</si>
  <si>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</si>
  <si>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</si>
  <si>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</si>
  <si>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</si>
  <si>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</si>
  <si>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</si>
  <si>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</si>
  <si>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</si>
  <si>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</si>
  <si>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</si>
  <si>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</si>
  <si>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</si>
  <si>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</si>
  <si>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</si>
  <si>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</si>
  <si>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</si>
  <si>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</si>
  <si>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</si>
  <si>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</si>
  <si>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</si>
  <si>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</si>
  <si>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</si>
  <si>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</si>
  <si>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</si>
  <si>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</si>
  <si>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</si>
  <si>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</si>
  <si>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</si>
  <si>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</si>
  <si>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</si>
  <si>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</si>
  <si>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</si>
  <si>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</si>
  <si>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</si>
  <si>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</si>
  <si>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</si>
  <si>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</si>
  <si>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</si>
  <si>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</si>
  <si>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</si>
  <si>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</si>
  <si>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</si>
  <si>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</si>
  <si>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</si>
  <si>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</si>
  <si>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</si>
  <si>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</si>
  <si>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</si>
  <si>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</si>
  <si>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</si>
  <si>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</si>
  <si>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</si>
  <si>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</si>
  <si>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</si>
  <si>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</si>
  <si>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</si>
  <si>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</si>
  <si>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</si>
  <si>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</si>
  <si>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</si>
  <si>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</si>
  <si>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</si>
  <si>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</si>
  <si>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</si>
  <si>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</si>
  <si>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</si>
  <si>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</si>
  <si>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</si>
  <si>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</si>
  <si>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</si>
  <si>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</si>
  <si>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</si>
  <si>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</si>
  <si>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</si>
  <si>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</si>
  <si>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</si>
  <si>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</si>
  <si>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</si>
  <si>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</si>
  <si>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</si>
  <si>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</si>
  <si>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</si>
  <si>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</si>
  <si>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</si>
  <si>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</si>
  <si>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</si>
  <si>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</si>
  <si>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</si>
  <si>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</si>
  <si>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</si>
  <si>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</si>
  <si>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</si>
  <si>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</si>
  <si>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</si>
  <si>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</si>
  <si>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</si>
  <si>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</si>
  <si>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</si>
  <si>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</si>
  <si>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</si>
  <si>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</si>
  <si>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</si>
  <si>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</si>
  <si>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</si>
  <si>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</si>
  <si>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</si>
  <si>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</si>
  <si>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</si>
  <si>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</si>
  <si>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</si>
  <si>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</si>
  <si>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</si>
  <si>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</si>
  <si>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</si>
  <si>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</si>
  <si>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</si>
  <si>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</si>
  <si>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</si>
  <si>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</si>
  <si>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</si>
  <si>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</si>
  <si>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</si>
  <si>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</si>
  <si>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</si>
  <si>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</si>
  <si>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</si>
  <si>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</si>
  <si>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</si>
  <si>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</si>
  <si>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</si>
  <si>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</si>
  <si>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</si>
  <si>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</si>
  <si>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</si>
  <si>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</si>
  <si>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</si>
  <si>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</si>
  <si>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</si>
  <si>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</si>
  <si>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</si>
  <si>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</si>
  <si>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</si>
  <si>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</si>
  <si>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</si>
  <si>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</si>
  <si>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</si>
  <si>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</si>
  <si>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</si>
  <si>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</si>
  <si>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</si>
  <si>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</si>
  <si>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</si>
  <si>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</si>
  <si>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</si>
  <si>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</si>
  <si>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</si>
  <si>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</si>
  <si>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</si>
  <si>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</si>
  <si>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</si>
  <si>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</si>
  <si>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</si>
  <si>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</si>
  <si>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</si>
  <si>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</si>
  <si>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</si>
  <si>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</si>
  <si>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</si>
  <si>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</si>
  <si>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</si>
  <si>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</si>
  <si>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</si>
  <si>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</si>
  <si>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</si>
  <si>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</si>
  <si>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</si>
  <si>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</si>
  <si>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</si>
  <si>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</si>
  <si>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</si>
  <si>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</si>
  <si>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</si>
  <si>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</si>
  <si>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</si>
  <si>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</si>
  <si>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</si>
  <si>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</si>
  <si>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</si>
  <si>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</si>
  <si>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</si>
  <si>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</si>
  <si>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</si>
  <si>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</si>
  <si>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</si>
  <si>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</si>
  <si>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</si>
  <si>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</si>
  <si>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</si>
  <si>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</si>
  <si>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</si>
  <si>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</si>
  <si>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</si>
  <si>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</si>
  <si>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</si>
  <si>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</si>
  <si>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</si>
  <si>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</si>
  <si>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</si>
  <si>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</si>
  <si>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</si>
  <si>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</si>
  <si>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</si>
  <si>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</si>
  <si>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</si>
  <si>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</si>
  <si>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</si>
  <si>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</si>
  <si>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</si>
  <si>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</si>
  <si>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</si>
  <si>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</si>
  <si>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</si>
  <si>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</si>
  <si>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</si>
  <si>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</si>
  <si>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</si>
  <si>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</si>
  <si>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</si>
  <si>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</si>
  <si>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</si>
  <si>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</si>
  <si>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</si>
  <si>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</si>
  <si>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</si>
  <si>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</si>
  <si>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</si>
  <si>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</si>
  <si>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</si>
  <si>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</si>
  <si>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</si>
  <si>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</si>
  <si>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</si>
  <si>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</si>
  <si>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</si>
  <si>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</si>
  <si>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</si>
  <si>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</si>
  <si>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</si>
  <si>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</si>
  <si>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</si>
  <si>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</si>
  <si>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</si>
  <si>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</si>
  <si>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</si>
  <si>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</si>
  <si>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</si>
  <si>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</si>
  <si>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</si>
  <si>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</si>
  <si>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</si>
  <si>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</si>
  <si>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</si>
  <si>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</si>
  <si>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</si>
  <si>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</si>
  <si>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</si>
  <si>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</si>
  <si>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</si>
  <si>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</si>
  <si>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</si>
  <si>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</si>
  <si>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</si>
  <si>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</si>
  <si>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</si>
  <si>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</si>
  <si>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</si>
  <si>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</si>
  <si>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</si>
  <si>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</si>
  <si>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</si>
  <si>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</si>
  <si>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</si>
  <si>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</si>
  <si>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</si>
  <si>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</si>
  <si>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</si>
  <si>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</si>
  <si>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</si>
  <si>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</si>
  <si>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</si>
  <si>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</si>
  <si>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</si>
  <si>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</si>
  <si>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</si>
  <si>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</si>
  <si>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</si>
  <si>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</si>
  <si>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</si>
  <si>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</si>
  <si>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</si>
  <si>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</si>
  <si>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</si>
  <si>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</si>
  <si>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</si>
  <si>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</si>
  <si>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</si>
  <si>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</si>
  <si>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</si>
  <si>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</si>
  <si>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</si>
  <si>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</si>
  <si>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</si>
  <si>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</si>
  <si>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</si>
  <si>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</si>
  <si>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</si>
  <si>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</si>
  <si>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</si>
  <si>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</si>
  <si>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</si>
  <si>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</si>
  <si>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</si>
  <si>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</si>
  <si>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</si>
  <si>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</si>
  <si>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</si>
  <si>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</si>
  <si>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</si>
  <si>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</si>
  <si>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</si>
  <si>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</si>
  <si>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</si>
  <si>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</si>
  <si>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</si>
  <si>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</si>
  <si>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</si>
  <si>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</si>
  <si>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</si>
  <si>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</si>
  <si>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</si>
  <si>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</si>
  <si>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</si>
  <si>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</si>
  <si>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</si>
  <si>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</si>
  <si>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</si>
  <si>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</si>
  <si>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</si>
  <si>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</si>
  <si>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</si>
  <si>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</si>
  <si>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</si>
  <si>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</si>
  <si>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</si>
  <si>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</si>
  <si>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</si>
  <si>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</si>
  <si>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</si>
  <si>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</si>
  <si>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</si>
  <si>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</si>
  <si>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</si>
  <si>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</si>
  <si>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</si>
  <si>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</si>
  <si>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</si>
  <si>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</si>
  <si>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</si>
  <si>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</si>
  <si>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</si>
  <si>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</si>
  <si>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</si>
  <si>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</si>
  <si>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</si>
  <si>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</si>
  <si>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</si>
  <si>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</si>
  <si>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</si>
  <si>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</si>
  <si>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</si>
  <si>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</si>
  <si>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</si>
  <si>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</si>
  <si>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</si>
  <si>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</si>
  <si>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</si>
  <si>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</si>
  <si>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</si>
  <si>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</si>
  <si>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</si>
  <si>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</si>
  <si>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</si>
  <si>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</si>
  <si>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</si>
  <si>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</si>
  <si>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</si>
  <si>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</si>
  <si>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</si>
  <si>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</si>
  <si>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</si>
  <si>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</si>
  <si>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</si>
  <si>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</si>
  <si>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</si>
  <si>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</si>
  <si>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</si>
  <si>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</si>
  <si>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</si>
  <si>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</si>
  <si>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</si>
  <si>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</si>
  <si>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</si>
  <si>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</si>
  <si>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</si>
  <si>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</si>
  <si>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</si>
  <si>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</si>
  <si>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</si>
  <si>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</si>
  <si>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</si>
  <si>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</si>
  <si>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</si>
  <si>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</si>
  <si>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</si>
  <si>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</si>
  <si>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</si>
  <si>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</si>
  <si>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</si>
  <si>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</si>
  <si>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</si>
  <si>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</si>
  <si>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</si>
  <si>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</si>
  <si>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</si>
  <si>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</si>
  <si>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</si>
  <si>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</si>
  <si>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</si>
  <si>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</si>
  <si>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</si>
  <si>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</si>
  <si>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</si>
  <si>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</si>
  <si>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</si>
  <si>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</si>
  <si>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</si>
  <si>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</si>
  <si>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</si>
  <si>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</si>
  <si>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</si>
  <si>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</si>
  <si>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</si>
  <si>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</si>
  <si>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</si>
  <si>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</si>
  <si>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</si>
  <si>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</si>
  <si>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</si>
  <si>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</si>
  <si>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</si>
  <si>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</si>
  <si>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</si>
  <si>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</si>
  <si>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</si>
  <si>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</si>
  <si>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</si>
  <si>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</si>
  <si>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</si>
  <si>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</si>
  <si>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</si>
  <si>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</si>
  <si>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</si>
  <si>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</si>
  <si>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</si>
  <si>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</si>
  <si>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</si>
  <si>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</si>
  <si>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</si>
  <si>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</si>
  <si>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</si>
  <si>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</si>
  <si>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</si>
  <si>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</si>
  <si>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</si>
  <si>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</si>
  <si>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</si>
  <si>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</si>
  <si>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</si>
  <si>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</si>
  <si>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</si>
  <si>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</si>
  <si>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</si>
  <si>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</si>
  <si>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</si>
  <si>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</si>
  <si>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</si>
  <si>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</si>
  <si>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</si>
  <si>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</si>
  <si>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</si>
  <si>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</si>
  <si>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</si>
  <si>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</si>
  <si>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</si>
  <si>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</si>
  <si>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</si>
  <si>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</si>
  <si>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</si>
  <si>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</si>
  <si>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</si>
  <si>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</si>
  <si>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</si>
  <si>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</si>
  <si>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</si>
  <si>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</si>
  <si>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</si>
  <si>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</si>
  <si>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</si>
  <si>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</si>
  <si>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</si>
  <si>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</si>
  <si>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</si>
  <si>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</si>
  <si>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</si>
  <si>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</si>
  <si>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</si>
  <si>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</si>
  <si>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</si>
  <si>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</si>
  <si>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</si>
  <si>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</si>
  <si>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</si>
  <si>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</si>
  <si>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</si>
  <si>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</si>
  <si>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</si>
  <si>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</si>
  <si>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</si>
  <si>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</si>
  <si>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</si>
  <si>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</si>
  <si>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</si>
  <si>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</si>
  <si>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</si>
  <si>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</si>
  <si>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</si>
  <si>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</si>
  <si>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</si>
  <si>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</si>
  <si>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</si>
  <si>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</si>
  <si>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</si>
  <si>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</si>
  <si>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</si>
  <si>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</si>
  <si>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</si>
  <si>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</si>
  <si>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</si>
  <si>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</si>
  <si>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</si>
  <si>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</si>
  <si>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</si>
  <si>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</si>
  <si>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</si>
  <si>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</si>
  <si>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</si>
  <si>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</si>
  <si>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</si>
  <si>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</si>
  <si>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</si>
  <si>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</si>
  <si>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</si>
  <si>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</si>
  <si>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</si>
  <si>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</si>
  <si>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</si>
  <si>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</si>
  <si>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</si>
  <si>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</si>
  <si>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</si>
  <si>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</si>
  <si>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</si>
  <si>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</si>
  <si>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</si>
  <si>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</si>
  <si>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</si>
  <si>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</si>
  <si>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</si>
  <si>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</si>
  <si>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</si>
  <si>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</si>
  <si>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</si>
  <si>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</si>
  <si>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</si>
  <si>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</si>
  <si>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</si>
  <si>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</si>
  <si>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</si>
  <si>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</si>
  <si>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</si>
  <si>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</si>
  <si>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</si>
  <si>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</si>
  <si>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</si>
  <si>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</si>
  <si>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</si>
  <si>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</si>
  <si>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</si>
  <si>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</si>
  <si>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</si>
  <si>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</si>
  <si>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</si>
  <si>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</si>
  <si>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</si>
  <si>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</si>
  <si>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</si>
  <si>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</si>
  <si>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</si>
  <si>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</si>
  <si>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</si>
  <si>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</si>
  <si>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</si>
  <si>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</si>
  <si>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</si>
  <si>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</si>
  <si>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</si>
  <si>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</si>
  <si>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</si>
  <si>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</si>
  <si>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</si>
  <si>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</si>
  <si>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</si>
  <si>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</si>
  <si>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</si>
  <si>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</si>
  <si>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</si>
  <si>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</si>
  <si>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</si>
  <si>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</si>
  <si>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</si>
  <si>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</si>
  <si>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</si>
  <si>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</si>
  <si>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</si>
  <si>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</si>
  <si>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</si>
  <si>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</si>
  <si>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</si>
  <si>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</si>
  <si>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</si>
  <si>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</si>
  <si>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</si>
  <si>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</si>
  <si>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</si>
  <si>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</si>
  <si>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</si>
  <si>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</si>
  <si>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</si>
  <si>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</si>
  <si>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</si>
  <si>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</si>
  <si>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</si>
  <si>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</si>
  <si>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</si>
  <si>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</si>
  <si>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</si>
  <si>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</si>
  <si>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</si>
  <si>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</si>
  <si>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</si>
  <si>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</si>
  <si>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</si>
  <si>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</si>
  <si>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</si>
  <si>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</si>
  <si>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</si>
  <si>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</si>
  <si>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</si>
  <si>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</si>
  <si>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</si>
  <si>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</si>
  <si>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</si>
  <si>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</si>
  <si>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</si>
  <si>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</si>
  <si>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</si>
  <si>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</si>
  <si>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</si>
  <si>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</si>
  <si>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</si>
  <si>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</si>
  <si>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</si>
  <si>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</si>
  <si>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</si>
  <si>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</si>
  <si>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</si>
  <si>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</si>
  <si>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</si>
  <si>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</si>
  <si>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</si>
  <si>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</si>
  <si>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</si>
  <si>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</si>
  <si>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</si>
  <si>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</si>
  <si>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</si>
  <si>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</si>
  <si>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</si>
  <si>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</si>
  <si>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</si>
  <si>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</si>
  <si>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</si>
  <si>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</si>
  <si>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</si>
  <si>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</si>
  <si>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</si>
  <si>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</si>
  <si>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</si>
  <si>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</si>
  <si>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</si>
  <si>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</si>
  <si>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</si>
  <si>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</si>
  <si>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</si>
  <si>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</si>
  <si>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</si>
  <si>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</si>
  <si>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</si>
  <si>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</si>
  <si>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</si>
  <si>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</si>
  <si>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</si>
  <si>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</si>
  <si>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</si>
  <si>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</si>
  <si>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</si>
  <si>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</si>
  <si>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</si>
  <si>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</si>
  <si>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</si>
  <si>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</si>
  <si>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</si>
  <si>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</si>
  <si>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</si>
  <si>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</si>
  <si>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</si>
  <si>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</si>
  <si>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</si>
  <si>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</si>
  <si>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</si>
  <si>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</si>
  <si>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</si>
  <si>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</si>
  <si>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</si>
  <si>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</si>
  <si>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</si>
  <si>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</si>
  <si>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</si>
  <si>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</si>
  <si>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</si>
  <si>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</si>
  <si>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</si>
  <si>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</si>
  <si>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</si>
  <si>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</si>
  <si>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</si>
  <si>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</si>
  <si>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</si>
  <si>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</si>
  <si>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</si>
  <si>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</si>
  <si>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</si>
  <si>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</si>
  <si>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</si>
  <si>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</si>
  <si>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</si>
  <si>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</si>
  <si>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</si>
  <si>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</si>
  <si>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</si>
  <si>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</si>
  <si>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</si>
  <si>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</si>
  <si>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</si>
  <si>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</si>
  <si>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</si>
  <si>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</si>
  <si>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</si>
  <si>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</si>
  <si>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</si>
  <si>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</si>
  <si>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</si>
  <si>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</si>
  <si>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</si>
  <si>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</si>
  <si>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</si>
  <si>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</si>
  <si>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</si>
  <si>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</si>
  <si>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</si>
  <si>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</si>
  <si>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</si>
  <si>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</si>
  <si>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</si>
  <si>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</si>
  <si>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</si>
  <si>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</si>
  <si>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</si>
  <si>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</si>
  <si>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</si>
  <si>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</si>
  <si>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</si>
  <si>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</si>
  <si>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</si>
  <si>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</si>
  <si>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</si>
  <si>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</si>
  <si>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</si>
  <si>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</si>
  <si>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</si>
  <si>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</si>
  <si>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</si>
  <si>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</si>
  <si>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</si>
  <si>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</si>
  <si>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</si>
  <si>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</si>
  <si>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</si>
  <si>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</si>
  <si>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</si>
  <si>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</si>
  <si>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</si>
  <si>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</si>
  <si>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</si>
  <si>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</si>
  <si>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</si>
  <si>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</si>
  <si>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</si>
  <si>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</si>
  <si>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</si>
  <si>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</si>
  <si>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</si>
  <si>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</si>
  <si>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</si>
  <si>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</si>
  <si>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</si>
  <si>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</si>
  <si>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</si>
  <si>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</si>
  <si>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</si>
  <si>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</si>
  <si>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</si>
  <si>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</si>
  <si>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</si>
  <si>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</si>
  <si>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</si>
  <si>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</si>
  <si>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</si>
  <si>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</si>
  <si>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</si>
  <si>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</si>
  <si>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</si>
  <si>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</si>
  <si>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</si>
  <si>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</si>
  <si>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</si>
  <si>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</si>
  <si>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</si>
  <si>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</si>
  <si>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</si>
  <si>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</si>
  <si>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</si>
  <si>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</si>
  <si>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</si>
  <si>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</si>
  <si>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</si>
  <si>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</si>
  <si>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</si>
  <si>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</si>
  <si>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</si>
  <si>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</si>
  <si>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</si>
  <si>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</si>
  <si>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</si>
  <si>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</si>
  <si>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</si>
  <si>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</si>
  <si>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</si>
  <si>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</si>
  <si>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</si>
  <si>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</si>
  <si>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</si>
  <si>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</si>
  <si>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</si>
  <si>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</si>
  <si>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</si>
  <si>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</si>
  <si>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</si>
  <si>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</si>
  <si>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</si>
  <si>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</si>
  <si>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</si>
  <si>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</si>
  <si>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</si>
  <si>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</si>
  <si>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</si>
  <si>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</si>
  <si>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</si>
  <si>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</si>
  <si>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</si>
  <si>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</si>
  <si>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</si>
  <si>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</si>
  <si>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</si>
  <si>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</si>
  <si>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</si>
  <si>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</si>
  <si>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</si>
  <si>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</si>
  <si>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</si>
  <si>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</si>
  <si>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</si>
  <si>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</si>
  <si>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</si>
  <si>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</si>
  <si>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</si>
  <si>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</si>
  <si>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</si>
  <si>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</si>
  <si>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</si>
  <si>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</si>
  <si>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</si>
  <si>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</si>
  <si>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</si>
  <si>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</si>
  <si>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</si>
  <si>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</si>
  <si>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</si>
  <si>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</si>
  <si>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</si>
  <si>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</si>
  <si>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</si>
  <si>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</si>
  <si>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</si>
  <si>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</si>
  <si>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</si>
  <si>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</si>
  <si>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</si>
  <si>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</si>
  <si>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</si>
  <si>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</si>
  <si>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</si>
  <si>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</si>
  <si>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</si>
  <si>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</si>
  <si>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</si>
  <si>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</si>
  <si>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</si>
  <si>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</si>
  <si>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</si>
  <si>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</si>
  <si>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</si>
  <si>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</si>
  <si>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</si>
  <si>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</si>
  <si>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</si>
  <si>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</si>
  <si>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</si>
  <si>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</si>
  <si>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</si>
  <si>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</si>
  <si>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</si>
  <si>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</si>
  <si>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</si>
  <si>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</si>
  <si>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</si>
  <si>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</si>
  <si>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</si>
  <si>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</si>
  <si>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</si>
  <si>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</si>
  <si>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</si>
  <si>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</si>
  <si>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</si>
  <si>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</si>
  <si>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</si>
  <si>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</si>
  <si>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</si>
  <si>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</si>
  <si>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</si>
  <si>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</si>
  <si>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</si>
  <si>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</si>
  <si>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</si>
  <si>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</si>
  <si>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</si>
  <si>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</si>
  <si>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</si>
  <si>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</si>
  <si>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</si>
  <si>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</si>
  <si>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</si>
  <si>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</si>
  <si>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</si>
  <si>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</si>
  <si>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</si>
  <si>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</si>
  <si>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</si>
  <si>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</si>
  <si>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</si>
  <si>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</si>
  <si>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</si>
  <si>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</si>
  <si>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</si>
  <si>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</si>
  <si>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</si>
  <si>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</si>
  <si>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</si>
  <si>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</si>
  <si>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</si>
  <si>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</si>
  <si>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</si>
  <si>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</si>
  <si>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</si>
  <si>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</si>
  <si>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</si>
  <si>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</si>
  <si>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</si>
  <si>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</si>
  <si>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</si>
  <si>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</si>
  <si>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</si>
  <si>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</si>
  <si>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</si>
  <si>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</si>
  <si>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</si>
  <si>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</si>
  <si>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</si>
  <si>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</si>
  <si>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</si>
  <si>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</si>
  <si>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</si>
  <si>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</si>
  <si>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</si>
  <si>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</si>
  <si>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</si>
  <si>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</si>
  <si>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</si>
  <si>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</si>
  <si>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</si>
  <si>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</si>
  <si>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</si>
  <si>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</si>
  <si>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</si>
  <si>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</si>
  <si>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</si>
  <si>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</si>
  <si>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</si>
  <si>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</si>
  <si>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</si>
  <si>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</si>
  <si>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</si>
  <si>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</si>
  <si>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</si>
  <si>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</si>
  <si>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</si>
  <si>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</si>
  <si>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</si>
  <si>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</si>
  <si>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</si>
  <si>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</si>
  <si>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</si>
  <si>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</si>
  <si>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</si>
  <si>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</si>
  <si>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</si>
  <si>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</si>
  <si>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</si>
  <si>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</si>
  <si>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</si>
  <si>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</si>
  <si>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</si>
  <si>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</si>
  <si>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</si>
  <si>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</si>
  <si>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</si>
  <si>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</si>
  <si>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</si>
  <si>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</si>
  <si>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</si>
  <si>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</si>
  <si>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</si>
  <si>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</si>
  <si>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</si>
  <si>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</si>
  <si>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</si>
  <si>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</si>
  <si>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</si>
  <si>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</si>
  <si>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</si>
  <si>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</si>
  <si>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</si>
  <si>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</si>
  <si>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</si>
  <si>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</si>
  <si>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</si>
  <si>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</si>
  <si>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</si>
  <si>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</si>
  <si>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</si>
  <si>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</si>
  <si>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</si>
  <si>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</si>
  <si>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</si>
  <si>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</si>
  <si>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</si>
  <si>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</si>
  <si>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</si>
  <si>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</si>
  <si>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</si>
  <si>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</si>
  <si>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</si>
  <si>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</si>
  <si>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</si>
  <si>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</si>
  <si>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</si>
  <si>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</si>
  <si>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</si>
  <si>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</si>
  <si>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</si>
  <si>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</si>
  <si>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</si>
  <si>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</si>
  <si>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</si>
  <si>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</si>
  <si>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</si>
  <si>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</si>
  <si>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</si>
  <si>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</si>
  <si>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</si>
  <si>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</si>
  <si>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</si>
  <si>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</si>
  <si>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</si>
  <si>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</si>
  <si>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</si>
  <si>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</si>
  <si>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</si>
  <si>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</si>
  <si>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</si>
  <si>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</si>
  <si>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</si>
  <si>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</si>
  <si>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</si>
  <si>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</si>
  <si>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</si>
  <si>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</si>
  <si>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</si>
  <si>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</si>
  <si>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</si>
  <si>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</si>
  <si>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</si>
  <si>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</si>
  <si>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</si>
  <si>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</si>
  <si>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</si>
  <si>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</si>
  <si>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</si>
  <si>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</si>
  <si>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</si>
  <si>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</si>
  <si>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</si>
  <si>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</si>
  <si>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</si>
  <si>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</si>
  <si>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</si>
  <si>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</si>
  <si>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</si>
  <si>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</si>
  <si>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</si>
  <si>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</si>
  <si>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</si>
  <si>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</si>
  <si>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</si>
  <si>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</si>
  <si>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</si>
  <si>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</si>
  <si>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</si>
  <si>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</si>
  <si>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</si>
  <si>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</si>
  <si>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</si>
  <si>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</si>
  <si>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</si>
  <si>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</si>
  <si>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</si>
  <si>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</si>
  <si>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</si>
  <si>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</si>
  <si>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</si>
  <si>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</si>
  <si>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</si>
  <si>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</si>
  <si>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</si>
  <si>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</si>
  <si>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</si>
  <si>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</si>
  <si>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</si>
  <si>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</si>
  <si>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</si>
  <si>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</si>
  <si>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</si>
  <si>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</si>
  <si>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</si>
  <si>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</si>
  <si>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</si>
  <si>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</si>
  <si>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</si>
  <si>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</si>
  <si>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</si>
  <si>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</si>
  <si>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</si>
  <si>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</si>
  <si>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</si>
  <si>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</si>
  <si>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</si>
  <si>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</si>
  <si>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</si>
  <si>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</si>
  <si>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</si>
  <si>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</si>
  <si>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</si>
  <si>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</si>
  <si>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</si>
  <si>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</si>
  <si>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</si>
  <si>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</si>
  <si>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</si>
  <si>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</si>
  <si>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</si>
  <si>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</si>
  <si>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</si>
  <si>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</si>
  <si>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</si>
  <si>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</si>
  <si>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</si>
  <si>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</si>
  <si>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</si>
  <si>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</si>
  <si>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</si>
  <si>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</si>
  <si>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</si>
  <si>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</si>
  <si>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</si>
  <si>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</si>
  <si>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</si>
  <si>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</si>
  <si>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</si>
  <si>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</si>
  <si>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</si>
  <si>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</si>
  <si>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</si>
  <si>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</si>
  <si>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</si>
  <si>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</si>
  <si>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</si>
  <si>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</si>
  <si>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</si>
  <si>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</si>
  <si>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</si>
  <si>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</si>
  <si>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</si>
  <si>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</si>
  <si>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</si>
  <si>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</si>
  <si>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</si>
  <si>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</si>
  <si>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</si>
  <si>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</si>
  <si>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</si>
  <si>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</si>
  <si>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</si>
  <si>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</si>
  <si>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</si>
  <si>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</si>
  <si>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</si>
  <si>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</si>
  <si>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</si>
  <si>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</si>
  <si>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</si>
  <si>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</si>
  <si>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</si>
  <si>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</si>
  <si>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</si>
  <si>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</si>
  <si>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</si>
  <si>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</si>
  <si>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</si>
  <si>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</si>
  <si>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</si>
  <si>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</si>
  <si>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</si>
  <si>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</si>
  <si>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</si>
  <si>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</si>
  <si>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</si>
  <si>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</si>
  <si>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</si>
  <si>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</si>
  <si>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</si>
  <si>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</si>
  <si>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</si>
  <si>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</si>
  <si>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</si>
  <si>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</si>
  <si>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</si>
  <si>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</si>
  <si>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</si>
  <si>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</si>
  <si>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</si>
  <si>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</si>
  <si>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</si>
  <si>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</si>
  <si>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</si>
  <si>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</si>
  <si>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</si>
  <si>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</si>
  <si>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</si>
  <si>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</si>
  <si>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</si>
  <si>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</si>
  <si>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</si>
  <si>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</si>
  <si>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</si>
  <si>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</si>
  <si>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</si>
  <si>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</si>
  <si>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</si>
  <si>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</si>
  <si>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</si>
  <si>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</si>
  <si>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</si>
  <si>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</si>
  <si>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</si>
  <si>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</si>
  <si>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</si>
  <si>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</si>
  <si>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</si>
  <si>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</si>
  <si>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</si>
  <si>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</si>
  <si>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</si>
  <si>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</si>
  <si>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</si>
  <si>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</si>
  <si>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</si>
  <si>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</si>
  <si>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</si>
  <si>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</si>
  <si>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</si>
  <si>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</si>
  <si>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</si>
  <si>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</si>
  <si>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</si>
  <si>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</si>
  <si>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</si>
  <si>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</si>
  <si>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</si>
  <si>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</si>
  <si>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</si>
  <si>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</si>
  <si>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</si>
  <si>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</si>
  <si>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</si>
  <si>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</si>
  <si>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</si>
  <si>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</si>
  <si>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</si>
  <si>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</si>
  <si>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</si>
  <si>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</si>
  <si>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</si>
  <si>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</si>
  <si>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</si>
  <si>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</si>
  <si>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</si>
  <si>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</si>
  <si>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</si>
  <si>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</si>
  <si>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</si>
  <si>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</si>
  <si>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</si>
  <si>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</si>
  <si>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</si>
  <si>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</si>
  <si>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</si>
  <si>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</si>
  <si>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</si>
  <si>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</si>
  <si>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</si>
  <si>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</si>
  <si>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</si>
  <si>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</si>
  <si>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</si>
  <si>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</si>
  <si>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</si>
  <si>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</si>
  <si>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</si>
  <si>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</si>
  <si>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</si>
  <si>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</si>
  <si>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</si>
  <si>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</si>
  <si>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</si>
  <si>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</si>
  <si>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</si>
  <si>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</si>
  <si>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</si>
  <si>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</si>
  <si>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</si>
  <si>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</si>
  <si>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</si>
  <si>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</si>
  <si>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</si>
  <si>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</si>
  <si>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</si>
  <si>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</si>
  <si>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</si>
  <si>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</si>
  <si>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</si>
  <si>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</si>
  <si>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</si>
  <si>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</si>
  <si>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</si>
  <si>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</si>
  <si>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</si>
  <si>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</si>
  <si>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</si>
  <si>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</si>
  <si>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</si>
  <si>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</si>
  <si>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</si>
  <si>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</si>
  <si>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</si>
  <si>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</si>
  <si>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</si>
  <si>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</si>
  <si>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</si>
  <si>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</si>
  <si>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</si>
  <si>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</si>
  <si>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</si>
  <si>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</si>
  <si>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</si>
  <si>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</si>
  <si>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</si>
  <si>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</si>
  <si>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</si>
  <si>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</si>
  <si>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</si>
  <si>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</si>
  <si>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</si>
  <si>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</si>
  <si>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</si>
  <si>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</si>
  <si>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</si>
  <si>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</si>
  <si>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</si>
  <si>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</si>
  <si>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</si>
  <si>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</si>
  <si>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</si>
  <si>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</si>
  <si>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</si>
  <si>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</si>
  <si>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</si>
  <si>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</si>
  <si>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</si>
  <si>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</si>
  <si>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</si>
  <si>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</si>
  <si>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</si>
  <si>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</si>
  <si>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</si>
  <si>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</si>
  <si>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</si>
  <si>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</si>
  <si>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</si>
  <si>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</si>
  <si>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</si>
  <si>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</si>
  <si>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</si>
  <si>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</si>
  <si>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</si>
  <si>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</si>
  <si>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</si>
  <si>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</si>
  <si>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</si>
  <si>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</si>
  <si>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</si>
  <si>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</si>
  <si>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</si>
  <si>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</si>
  <si>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</si>
  <si>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</si>
  <si>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</si>
  <si>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</si>
  <si>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</si>
  <si>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</si>
  <si>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</si>
  <si>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</si>
  <si>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</si>
  <si>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</si>
  <si>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</si>
  <si>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</si>
  <si>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</si>
  <si>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</si>
  <si>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</si>
  <si>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</si>
  <si>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</si>
  <si>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</si>
  <si>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</si>
  <si>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</si>
  <si>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</si>
  <si>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</si>
  <si>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</si>
  <si>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</si>
  <si>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</si>
  <si>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</si>
  <si>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</si>
  <si>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</si>
  <si>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</si>
  <si>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</si>
  <si>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</si>
  <si>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</si>
  <si>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</si>
  <si>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</si>
  <si>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</si>
  <si>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</si>
  <si>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</si>
  <si>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</si>
  <si>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</si>
  <si>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</si>
  <si>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</si>
  <si>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</si>
  <si>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</si>
  <si>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</si>
  <si>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</si>
  <si>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</si>
  <si>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</si>
  <si>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</si>
  <si>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</si>
  <si>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</si>
  <si>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</si>
  <si>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</si>
  <si>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</si>
  <si>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</si>
  <si>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</si>
  <si>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</si>
  <si>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</si>
  <si>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</si>
  <si>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</si>
  <si>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</si>
  <si>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</si>
  <si>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</si>
  <si>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</si>
  <si>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</si>
  <si>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</si>
  <si>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</si>
  <si>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</si>
  <si>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</si>
  <si>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</si>
  <si>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</si>
  <si>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</si>
  <si>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</si>
  <si>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</si>
  <si>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</si>
  <si>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</si>
  <si>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</si>
  <si>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</si>
  <si>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</si>
  <si>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</si>
  <si>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</si>
  <si>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</si>
  <si>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</si>
  <si>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</si>
  <si>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</si>
  <si>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</si>
  <si>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</si>
  <si>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</si>
  <si>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</si>
  <si>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</si>
  <si>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</si>
  <si>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</si>
  <si>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</si>
  <si>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</si>
  <si>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</si>
  <si>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</si>
  <si>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</si>
  <si>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</si>
  <si>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</si>
  <si>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</si>
  <si>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</si>
  <si>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</si>
  <si>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</si>
  <si>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</si>
  <si>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</si>
  <si>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</si>
  <si>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</si>
  <si>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</si>
  <si>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</si>
  <si>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</si>
  <si>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</si>
  <si>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</si>
  <si>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</si>
  <si>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</si>
  <si>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</si>
  <si>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</si>
  <si>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</si>
  <si>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</si>
  <si>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</si>
  <si>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</si>
  <si>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</si>
  <si>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</si>
  <si>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</si>
  <si>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</si>
  <si>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</si>
  <si>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</si>
  <si>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</si>
  <si>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</si>
  <si>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</si>
  <si>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</si>
  <si>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</si>
  <si>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</si>
  <si>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</si>
  <si>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</si>
  <si>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</si>
  <si>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</si>
  <si>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</si>
  <si>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</si>
  <si>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</si>
  <si>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</si>
  <si>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</si>
  <si>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</si>
  <si>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</si>
  <si>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</si>
  <si>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</si>
  <si>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</si>
  <si>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</si>
  <si>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</si>
  <si>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</si>
  <si>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</si>
  <si>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</si>
  <si>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</si>
  <si>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</si>
  <si>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</si>
  <si>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</si>
  <si>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</si>
  <si>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</si>
  <si>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</si>
  <si>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</si>
  <si>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</si>
  <si>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</si>
  <si>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</si>
  <si>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</si>
  <si>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</si>
  <si>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</si>
  <si>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</si>
  <si>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</si>
  <si>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</si>
  <si>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</si>
  <si>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</si>
  <si>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</si>
  <si>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</si>
  <si>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</si>
  <si>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</si>
  <si>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</si>
  <si>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</si>
  <si>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</si>
  <si>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</si>
  <si>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</si>
  <si>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</si>
  <si>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</si>
  <si>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</si>
  <si>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</si>
  <si>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</si>
  <si>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</si>
  <si>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</si>
  <si>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</si>
  <si>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</si>
  <si>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</si>
  <si>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</si>
  <si>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</si>
  <si>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</si>
  <si>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</si>
  <si>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</si>
  <si>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</si>
  <si>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</si>
  <si>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</si>
  <si>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</si>
  <si>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</si>
  <si>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</si>
  <si>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</si>
  <si>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</si>
  <si>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</si>
  <si>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</si>
  <si>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</si>
  <si>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</si>
  <si>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</si>
  <si>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</si>
  <si>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</si>
  <si>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</si>
  <si>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</si>
  <si>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</si>
  <si>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</si>
  <si>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</si>
  <si>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</si>
  <si>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</si>
  <si>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</si>
  <si>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</si>
  <si>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</si>
  <si>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</si>
  <si>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</si>
  <si>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</si>
  <si>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</si>
  <si>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</si>
  <si>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</si>
  <si>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</si>
  <si>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</si>
  <si>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</si>
  <si>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</si>
  <si>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</si>
  <si>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</si>
  <si>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</si>
  <si>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</si>
  <si>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</si>
  <si>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</si>
  <si>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</si>
  <si>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</si>
  <si>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</si>
  <si>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</si>
  <si>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</si>
  <si>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</si>
  <si>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</si>
  <si>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</si>
  <si>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</si>
  <si>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</si>
  <si>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</si>
  <si>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</si>
  <si>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</si>
  <si>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</si>
  <si>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</si>
  <si>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</si>
  <si>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</si>
  <si>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</si>
  <si>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</si>
  <si>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</si>
  <si>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</si>
  <si>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</si>
  <si>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</si>
  <si>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</si>
  <si>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</si>
  <si>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</si>
  <si>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</si>
  <si>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</si>
  <si>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</si>
  <si>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</si>
  <si>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</si>
  <si>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</si>
  <si>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</si>
  <si>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</si>
  <si>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</si>
  <si>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</si>
  <si>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</si>
  <si>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</si>
  <si>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</si>
  <si>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</si>
  <si>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</si>
  <si>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</si>
  <si>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</si>
  <si>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</si>
  <si>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</si>
  <si>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</si>
  <si>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</si>
  <si>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</si>
  <si>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</si>
  <si>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</si>
  <si>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</si>
  <si>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</si>
  <si>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</si>
  <si>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</si>
  <si>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</si>
  <si>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</si>
  <si>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</si>
  <si>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</si>
  <si>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</si>
  <si>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</si>
  <si>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</si>
  <si>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</si>
  <si>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</si>
  <si>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</si>
  <si>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</si>
  <si>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</si>
  <si>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</si>
  <si>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</si>
  <si>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</si>
  <si>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</si>
  <si>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</si>
  <si>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</si>
  <si>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</si>
  <si>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</si>
  <si>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</si>
  <si>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</si>
  <si>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</si>
  <si>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</si>
  <si>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</si>
  <si>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</si>
  <si>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</si>
  <si>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</si>
  <si>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</si>
  <si>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</si>
  <si>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</si>
  <si>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</si>
  <si>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</si>
  <si>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</si>
  <si>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</si>
  <si>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</si>
  <si>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</si>
  <si>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</si>
  <si>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</si>
  <si>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</si>
  <si>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</si>
  <si>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</si>
  <si>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</si>
  <si>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</si>
  <si>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</si>
  <si>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</si>
  <si>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</si>
  <si>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</si>
  <si>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</si>
  <si>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</si>
  <si>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</si>
  <si>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</si>
  <si>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</si>
  <si>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</si>
  <si>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</si>
  <si>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</si>
  <si>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</si>
  <si>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</si>
  <si>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</si>
  <si>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</si>
  <si>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</si>
  <si>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</si>
  <si>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</si>
  <si>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</si>
  <si>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</si>
  <si>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</si>
  <si>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</si>
  <si>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</si>
  <si>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</si>
  <si>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</si>
  <si>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</si>
  <si>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</si>
  <si>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</si>
  <si>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</si>
  <si>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</si>
  <si>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</si>
  <si>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</si>
  <si>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</si>
  <si>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</si>
  <si>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</si>
  <si>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</si>
  <si>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</si>
  <si>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</si>
  <si>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</si>
  <si>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</si>
  <si>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</si>
  <si>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</si>
  <si>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</si>
  <si>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</si>
  <si>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</si>
  <si>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</si>
  <si>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</si>
  <si>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</si>
  <si>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</si>
  <si>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</si>
  <si>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</si>
  <si>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</si>
  <si>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</si>
  <si>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</si>
  <si>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</si>
  <si>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</si>
  <si>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</si>
  <si>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</si>
  <si>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</si>
  <si>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</si>
  <si>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</si>
  <si>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</si>
  <si>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</si>
  <si>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</si>
  <si>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</si>
  <si>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</si>
  <si>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</si>
  <si>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</si>
  <si>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</si>
  <si>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</si>
  <si>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</si>
  <si>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</si>
  <si>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</si>
  <si>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</si>
  <si>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</si>
  <si>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</si>
  <si>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</si>
  <si>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</si>
  <si>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</si>
  <si>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</si>
  <si>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</si>
  <si>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</si>
  <si>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</si>
  <si>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</si>
  <si>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</si>
  <si>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</si>
  <si>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</si>
  <si>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</si>
  <si>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</si>
  <si>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</si>
  <si>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</si>
  <si>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</si>
  <si>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</si>
  <si>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</si>
  <si>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</si>
  <si>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</si>
  <si>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</si>
  <si>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</si>
  <si>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</si>
  <si>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</si>
  <si>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</si>
  <si>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</si>
  <si>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</si>
  <si>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</si>
  <si>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</si>
  <si>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</si>
  <si>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</si>
  <si>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</si>
  <si>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</si>
  <si>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</si>
  <si>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</si>
  <si>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</si>
  <si>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</si>
  <si>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</si>
  <si>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</si>
  <si>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</si>
  <si>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</si>
  <si>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</si>
  <si>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</si>
  <si>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</si>
  <si>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</si>
  <si>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</si>
  <si>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</si>
  <si>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</si>
  <si>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</si>
  <si>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</si>
  <si>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</si>
  <si>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</si>
  <si>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</si>
  <si>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</si>
  <si>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</si>
  <si>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</si>
  <si>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</si>
  <si>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</si>
  <si>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</si>
  <si>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</si>
  <si>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</si>
  <si>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</si>
  <si>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</si>
  <si>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</si>
  <si>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</si>
  <si>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</si>
  <si>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</si>
  <si>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</si>
  <si>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</si>
  <si>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</si>
  <si>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</si>
  <si>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</si>
  <si>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</si>
  <si>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</si>
  <si>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</si>
  <si>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</si>
  <si>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</si>
  <si>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</si>
  <si>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</si>
  <si>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</si>
  <si>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</si>
  <si>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</si>
  <si>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</si>
  <si>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</si>
  <si>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</si>
  <si>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</si>
  <si>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</si>
  <si>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</si>
  <si>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</si>
  <si>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</si>
  <si>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</si>
  <si>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</si>
  <si>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</si>
  <si>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</si>
  <si>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</si>
  <si>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</si>
  <si>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</si>
  <si>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</si>
  <si>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</si>
  <si>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</si>
  <si>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</si>
  <si>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</si>
  <si>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</si>
  <si>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</si>
  <si>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</si>
  <si>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</si>
  <si>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</si>
  <si>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</si>
  <si>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</si>
  <si>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</si>
  <si>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</si>
  <si>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</si>
  <si>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</si>
  <si>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</si>
  <si>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</si>
  <si>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</si>
  <si>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</si>
  <si>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</si>
  <si>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</si>
  <si>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</si>
  <si>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</si>
  <si>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</si>
  <si>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</si>
  <si>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</si>
  <si>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</si>
  <si>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</si>
  <si>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</si>
  <si>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</si>
  <si>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</si>
  <si>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</si>
  <si>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</si>
  <si>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</si>
  <si>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</si>
  <si>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</si>
  <si>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</si>
  <si>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</si>
  <si>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</si>
  <si>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</si>
  <si>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</si>
  <si>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</si>
  <si>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</si>
  <si>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</si>
  <si>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</si>
  <si>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</si>
  <si>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</si>
  <si>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</si>
  <si>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</si>
  <si>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</si>
  <si>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</si>
  <si>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</si>
  <si>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</si>
  <si>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</si>
  <si>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</si>
  <si>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</si>
  <si>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</si>
  <si>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</si>
  <si>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</si>
  <si>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</si>
  <si>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</si>
  <si>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</si>
  <si>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</si>
  <si>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</si>
  <si>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</si>
  <si>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</si>
  <si>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</si>
  <si>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</si>
  <si>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</si>
  <si>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</si>
  <si>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</si>
  <si>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</si>
  <si>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</si>
  <si>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</si>
  <si>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</si>
  <si>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</si>
  <si>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</si>
  <si>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</si>
  <si>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</si>
  <si>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</si>
  <si>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</si>
  <si>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</si>
  <si>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</si>
  <si>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</si>
  <si>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</si>
  <si>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</si>
  <si>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</si>
  <si>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</si>
  <si>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</si>
  <si>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</si>
  <si>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</si>
  <si>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</si>
  <si>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</si>
  <si>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</si>
  <si>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</si>
  <si>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</si>
  <si>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</si>
  <si>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</si>
  <si>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</si>
  <si>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</si>
  <si>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</si>
  <si>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</si>
  <si>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</si>
  <si>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</si>
  <si>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</si>
  <si>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</si>
  <si>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</si>
  <si>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</si>
  <si>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</si>
  <si>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</si>
  <si>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</si>
  <si>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</si>
  <si>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</si>
  <si>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</si>
  <si>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</si>
  <si>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</si>
  <si>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</si>
  <si>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</si>
  <si>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</si>
  <si>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</si>
  <si>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</si>
  <si>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</si>
  <si>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</si>
  <si>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</si>
  <si>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</si>
  <si>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</si>
  <si>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</si>
  <si>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</si>
  <si>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</si>
  <si>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</si>
  <si>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</si>
  <si>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</si>
  <si>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</si>
  <si>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</si>
  <si>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</si>
  <si>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</si>
  <si>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</si>
  <si>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</si>
  <si>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</si>
  <si>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</si>
  <si>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</si>
  <si>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</si>
  <si>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</si>
  <si>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</si>
  <si>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</si>
  <si>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</si>
  <si>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</si>
  <si>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</si>
  <si>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</si>
  <si>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</si>
  <si>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</si>
  <si>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</si>
  <si>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</si>
  <si>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</si>
  <si>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</si>
  <si>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</si>
  <si>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</si>
  <si>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</si>
  <si>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</si>
  <si>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</si>
  <si>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</si>
  <si>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</si>
  <si>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</si>
  <si>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</si>
  <si>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</si>
  <si>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</si>
  <si>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</si>
  <si>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</si>
  <si>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</si>
  <si>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</si>
  <si>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</si>
  <si>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</si>
  <si>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</si>
  <si>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</si>
  <si>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</si>
  <si>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</si>
  <si>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</si>
  <si>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</si>
  <si>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</si>
  <si>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</si>
  <si>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</si>
  <si>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</si>
  <si>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</si>
  <si>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</si>
  <si>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</si>
  <si>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</si>
  <si>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</si>
  <si>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</si>
  <si>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</si>
  <si>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</si>
  <si>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</si>
  <si>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</si>
  <si>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</si>
  <si>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</si>
  <si>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</si>
  <si>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</si>
  <si>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</si>
  <si>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</si>
  <si>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</si>
  <si>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</si>
  <si>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</si>
  <si>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</si>
  <si>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</si>
  <si>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</si>
  <si>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</si>
  <si>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</si>
  <si>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</si>
  <si>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</si>
  <si>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</si>
  <si>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</si>
  <si>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</si>
  <si>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</si>
  <si>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</si>
  <si>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</si>
  <si>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</si>
  <si>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</si>
  <si>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</si>
  <si>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</si>
  <si>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</si>
  <si>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</si>
  <si>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</si>
  <si>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</si>
  <si>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</si>
  <si>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</si>
  <si>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</si>
  <si>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</si>
  <si>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</si>
  <si>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</si>
  <si>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</si>
  <si>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</si>
  <si>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</si>
  <si>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</si>
  <si>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</si>
  <si>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</si>
  <si>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</si>
  <si>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</si>
  <si>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</si>
  <si>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</si>
  <si>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</si>
  <si>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</si>
  <si>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</si>
  <si>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</si>
  <si>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</si>
  <si>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</si>
  <si>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</si>
  <si>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</si>
  <si>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</si>
  <si>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</si>
  <si>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</si>
  <si>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</si>
  <si>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</si>
  <si>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</si>
  <si>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</si>
  <si>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</si>
  <si>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</si>
  <si>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</si>
  <si>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</si>
  <si>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</si>
  <si>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</si>
  <si>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</si>
  <si>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</si>
  <si>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</si>
  <si>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</si>
  <si>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</si>
  <si>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</si>
  <si>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</si>
  <si>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</si>
  <si>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</si>
  <si>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</si>
  <si>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</si>
  <si>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</si>
  <si>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</si>
  <si>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</si>
  <si>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</si>
  <si>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</si>
  <si>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</si>
  <si>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</si>
  <si>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</si>
  <si>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</si>
  <si>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</si>
  <si>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</si>
  <si>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</si>
  <si>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</si>
  <si>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</si>
  <si>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</si>
  <si>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</si>
  <si>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</si>
  <si>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</si>
  <si>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</si>
  <si>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</si>
  <si>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</si>
  <si>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</si>
  <si>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</si>
  <si>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</si>
  <si>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</si>
  <si>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</si>
  <si>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</si>
  <si>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</si>
  <si>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</si>
  <si>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</si>
  <si>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</si>
  <si>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</si>
  <si>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</si>
  <si>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</si>
  <si>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</si>
  <si>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</si>
  <si>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</si>
  <si>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</si>
  <si>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</si>
  <si>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</si>
  <si>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</si>
  <si>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</si>
  <si>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</si>
  <si>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</si>
  <si>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</si>
  <si>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</si>
  <si>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</si>
  <si>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</si>
  <si>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</si>
  <si>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</si>
  <si>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</si>
  <si>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</si>
  <si>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</si>
  <si>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</si>
  <si>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</si>
  <si>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</si>
  <si>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</si>
  <si>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</si>
  <si>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</si>
  <si>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</si>
  <si>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</si>
  <si>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</si>
  <si>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</si>
  <si>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</si>
  <si>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</si>
  <si>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</si>
  <si>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</si>
  <si>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</si>
  <si>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</si>
  <si>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</si>
  <si>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</si>
  <si>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</si>
  <si>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</si>
  <si>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</si>
  <si>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</si>
  <si>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</si>
  <si>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</si>
  <si>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</si>
  <si>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</si>
  <si>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</si>
  <si>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</si>
  <si>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</si>
  <si>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</si>
  <si>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</si>
  <si>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</si>
  <si>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</si>
  <si>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</si>
  <si>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</si>
  <si>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</si>
  <si>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</si>
  <si>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</si>
  <si>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</si>
  <si>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</si>
  <si>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</si>
  <si>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</si>
  <si>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</si>
  <si>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</si>
  <si>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</si>
  <si>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</si>
  <si>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</si>
  <si>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</si>
  <si>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</si>
  <si>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</si>
  <si>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</si>
  <si>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</si>
  <si>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</si>
  <si>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</si>
  <si>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</si>
  <si>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</si>
  <si>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</si>
  <si>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</si>
  <si>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</si>
  <si>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</si>
  <si>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</si>
  <si>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</si>
  <si>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</si>
  <si>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</si>
  <si>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</si>
  <si>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</si>
  <si>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</si>
  <si>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</si>
  <si>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</si>
  <si>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</si>
  <si>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</si>
  <si>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</si>
  <si>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</si>
  <si>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</si>
  <si>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</si>
  <si>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</si>
  <si>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</si>
  <si>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</si>
  <si>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</si>
  <si>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</si>
  <si>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</si>
  <si>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</si>
  <si>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</si>
  <si>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</si>
  <si>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</si>
  <si>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</si>
  <si>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</si>
  <si>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</si>
  <si>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</si>
  <si>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</si>
  <si>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</si>
  <si>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</si>
  <si>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</si>
  <si>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</si>
  <si>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</si>
  <si>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</si>
  <si>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</si>
  <si>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</si>
  <si>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</si>
  <si>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</si>
  <si>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</si>
  <si>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</si>
  <si>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</si>
  <si>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</si>
  <si>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</si>
  <si>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</si>
  <si>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</si>
  <si>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</si>
  <si>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</si>
  <si>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</si>
  <si>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</si>
  <si>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</si>
  <si>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</si>
  <si>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</si>
  <si>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</si>
  <si>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</si>
  <si>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</si>
  <si>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</si>
  <si>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</si>
  <si>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</si>
  <si>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</si>
  <si>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</si>
  <si>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</si>
  <si>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</si>
  <si>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</si>
  <si>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</si>
  <si>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</si>
  <si>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</si>
  <si>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</si>
  <si>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</si>
  <si>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</si>
  <si>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</si>
  <si>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</si>
  <si>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</si>
  <si>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</si>
  <si>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</si>
  <si>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</si>
  <si>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</si>
  <si>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</si>
  <si>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</si>
  <si>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</si>
  <si>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</si>
  <si>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</si>
  <si>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</si>
  <si>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</si>
  <si>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</si>
  <si>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</si>
  <si>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</si>
  <si>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</si>
  <si>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</si>
  <si>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</si>
  <si>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</si>
  <si>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</si>
  <si>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</si>
  <si>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</si>
  <si>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</si>
  <si>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</si>
  <si>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</si>
  <si>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</si>
  <si>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</si>
  <si>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</si>
  <si>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</si>
  <si>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</si>
  <si>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</si>
  <si>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</si>
  <si>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</si>
  <si>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</si>
  <si>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</si>
  <si>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</si>
  <si>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</si>
  <si>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</si>
  <si>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</si>
  <si>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</si>
  <si>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</si>
  <si>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</si>
  <si>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</si>
  <si>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</si>
  <si>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</si>
  <si>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</si>
  <si>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</si>
  <si>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</si>
  <si>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</si>
  <si>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</si>
  <si>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</si>
  <si>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</si>
  <si>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</si>
  <si>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</si>
  <si>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</si>
  <si>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</si>
  <si>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</si>
  <si>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</si>
  <si>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</si>
  <si>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</si>
  <si>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</si>
  <si>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</si>
  <si>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</si>
  <si>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</si>
  <si>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</si>
  <si>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</si>
  <si>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</si>
  <si>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</si>
  <si>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</si>
  <si>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</si>
  <si>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</si>
  <si>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</si>
  <si>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</si>
  <si>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</si>
  <si>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</si>
  <si>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</si>
  <si>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</si>
  <si>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</si>
  <si>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</si>
  <si>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</si>
  <si>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</si>
  <si>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</si>
  <si>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</si>
  <si>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</si>
  <si>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</si>
  <si>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</si>
  <si>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</si>
  <si>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</si>
  <si>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</si>
  <si>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</si>
  <si>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</si>
  <si>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</si>
  <si>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</si>
  <si>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</si>
  <si>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</si>
  <si>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</si>
  <si>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</si>
  <si>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</si>
  <si>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</si>
  <si>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</si>
  <si>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</si>
  <si>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</si>
  <si>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</si>
  <si>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</si>
  <si>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</si>
  <si>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</si>
  <si>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</si>
  <si>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</si>
  <si>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</si>
  <si>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</si>
  <si>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</si>
  <si>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</si>
  <si>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</si>
  <si>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</si>
  <si>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</si>
  <si>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</si>
  <si>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</si>
  <si>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</si>
  <si>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</si>
  <si>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</si>
  <si>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</si>
  <si>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</si>
  <si>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</si>
  <si>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</si>
  <si>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</si>
  <si>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</si>
  <si>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</si>
  <si>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</si>
  <si>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</si>
  <si>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</si>
  <si>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</si>
  <si>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</si>
  <si>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</si>
  <si>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</si>
  <si>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</si>
  <si>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</si>
  <si>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</si>
  <si>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</si>
  <si>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</si>
  <si>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</si>
  <si>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</si>
  <si>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</si>
  <si>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</si>
  <si>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</si>
  <si>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</si>
  <si>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</si>
  <si>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</si>
  <si>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</si>
  <si>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</si>
  <si>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</si>
  <si>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</si>
  <si>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</si>
  <si>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</si>
  <si>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</si>
  <si>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</si>
  <si>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</si>
  <si>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</si>
  <si>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</si>
  <si>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</si>
  <si>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</si>
  <si>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</si>
  <si>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</si>
  <si>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</si>
  <si>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</si>
  <si>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</si>
  <si>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</si>
  <si>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</si>
  <si>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</si>
  <si>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</si>
  <si>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</si>
  <si>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</si>
  <si>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</si>
  <si>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</si>
  <si>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</si>
  <si>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</si>
  <si>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</si>
  <si>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</si>
  <si>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</si>
  <si>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</si>
  <si>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</si>
  <si>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</si>
  <si>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</si>
  <si>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</si>
  <si>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</si>
  <si>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</si>
  <si>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</si>
  <si>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</si>
  <si>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</si>
  <si>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</si>
  <si>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</si>
  <si>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</si>
  <si>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</si>
  <si>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</si>
  <si>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</si>
  <si>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</si>
  <si>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</si>
  <si>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</si>
  <si>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</si>
  <si>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</si>
  <si>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</si>
  <si>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</si>
  <si>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</si>
  <si>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</si>
  <si>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</si>
  <si>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</si>
  <si>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</si>
  <si>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</si>
  <si>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</si>
  <si>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</si>
  <si>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</si>
  <si>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</si>
  <si>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</si>
  <si>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</si>
  <si>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</si>
  <si>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</si>
  <si>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</si>
  <si>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</si>
  <si>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</si>
  <si>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</si>
  <si>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</si>
  <si>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</si>
  <si>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</si>
  <si>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</si>
  <si>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</si>
  <si>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</si>
  <si>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</si>
  <si>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</si>
  <si>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</si>
  <si>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</si>
  <si>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</si>
  <si>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</si>
  <si>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</si>
  <si>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</si>
  <si>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</si>
  <si>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</si>
  <si>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</si>
  <si>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</si>
  <si>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</si>
  <si>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</si>
  <si>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</si>
  <si>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</si>
  <si>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</si>
  <si>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</si>
  <si>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</si>
  <si>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</si>
  <si>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</si>
  <si>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</si>
  <si>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</si>
  <si>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</si>
  <si>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</si>
  <si>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</si>
  <si>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</si>
  <si>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</si>
  <si>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</si>
  <si>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</si>
  <si>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</si>
  <si>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</si>
  <si>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</si>
  <si>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</si>
  <si>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</si>
  <si>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</si>
  <si>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</si>
  <si>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</si>
  <si>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</si>
  <si>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</si>
  <si>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</si>
  <si>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</si>
  <si>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</si>
  <si>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</si>
  <si>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</si>
  <si>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</si>
  <si>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</si>
  <si>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</si>
  <si>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</si>
  <si>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</si>
  <si>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</si>
  <si>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</si>
  <si>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</si>
  <si>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</si>
  <si>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</si>
  <si>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</si>
  <si>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</si>
  <si>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</si>
  <si>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</si>
  <si>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</si>
  <si>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</si>
  <si>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</si>
  <si>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</si>
  <si>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</si>
  <si>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</si>
  <si>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</si>
  <si>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</si>
  <si>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</si>
  <si>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</si>
  <si>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</si>
  <si>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</si>
  <si>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</si>
  <si>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</si>
  <si>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</si>
  <si>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</si>
  <si>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</si>
  <si>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</si>
  <si>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</si>
  <si>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</si>
  <si>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</si>
  <si>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</si>
  <si>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</si>
  <si>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</si>
  <si>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</si>
  <si>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</si>
  <si>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</si>
  <si>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</si>
  <si>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</si>
  <si>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</si>
  <si>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</si>
  <si>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</si>
  <si>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</si>
  <si>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</si>
  <si>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</si>
  <si>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</si>
  <si>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</si>
  <si>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</si>
  <si>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</si>
  <si>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</si>
  <si>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</si>
  <si>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</si>
  <si>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</si>
  <si>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</si>
  <si>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</si>
  <si>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</si>
  <si>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</si>
  <si>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</si>
  <si>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</si>
  <si>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</si>
  <si>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</si>
  <si>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</si>
  <si>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</si>
  <si>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</si>
  <si>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</si>
  <si>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</si>
  <si>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</si>
  <si>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</si>
  <si>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</si>
  <si>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</si>
  <si>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</si>
  <si>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</si>
  <si>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</si>
  <si>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</si>
  <si>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</si>
  <si>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</si>
  <si>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</si>
  <si>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</si>
  <si>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</si>
  <si>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</si>
  <si>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</si>
  <si>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</si>
  <si>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</si>
  <si>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</si>
  <si>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</si>
  <si>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</si>
  <si>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</si>
  <si>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</si>
  <si>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</si>
  <si>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</si>
  <si>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</si>
  <si>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</si>
  <si>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</si>
  <si>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</si>
  <si>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</si>
  <si>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</si>
  <si>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</si>
  <si>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</si>
  <si>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</si>
  <si>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</si>
  <si>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</si>
  <si>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</si>
  <si>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</si>
  <si>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</si>
  <si>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</si>
  <si>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</si>
  <si>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</si>
  <si>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</si>
  <si>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</si>
  <si>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</si>
  <si>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</si>
  <si>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</si>
  <si>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</si>
  <si>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</si>
  <si>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</si>
  <si>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</si>
  <si>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</si>
  <si>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</si>
  <si>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</si>
  <si>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</si>
  <si>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</si>
  <si>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</si>
  <si>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</si>
  <si>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</si>
  <si>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</si>
  <si>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</si>
  <si>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</si>
  <si>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</si>
  <si>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</si>
  <si>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</si>
  <si>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</si>
  <si>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</si>
  <si>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</si>
  <si>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</si>
  <si>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</si>
  <si>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</si>
  <si>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</si>
  <si>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</si>
  <si>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</si>
  <si>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</si>
  <si>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</si>
  <si>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</si>
  <si>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</si>
  <si>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</si>
  <si>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</si>
  <si>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</si>
  <si>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</si>
  <si>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</si>
  <si>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</si>
  <si>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</si>
  <si>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</si>
  <si>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</si>
  <si>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</si>
  <si>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</si>
  <si>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</si>
  <si>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</si>
  <si>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</si>
  <si>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</si>
  <si>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</si>
  <si>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</si>
  <si>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</si>
  <si>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</si>
  <si>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</si>
  <si>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</si>
  <si>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</si>
  <si>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</si>
  <si>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</si>
  <si>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</si>
  <si>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</si>
  <si>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</si>
  <si>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</si>
  <si>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</si>
  <si>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</si>
  <si>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</si>
  <si>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</si>
  <si>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</si>
  <si>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</si>
  <si>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</si>
  <si>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</si>
  <si>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</si>
  <si>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</si>
  <si>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</si>
  <si>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</si>
  <si>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</si>
  <si>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</si>
  <si>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</si>
  <si>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</si>
  <si>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</si>
  <si>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</si>
  <si>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</si>
  <si>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</si>
  <si>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</si>
  <si>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</si>
  <si>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</si>
  <si>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</si>
  <si>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</si>
  <si>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</si>
  <si>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</si>
  <si>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</si>
  <si>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</si>
  <si>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</si>
  <si>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</si>
  <si>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</si>
  <si>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</si>
  <si>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</si>
  <si>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</si>
  <si>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</si>
  <si>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</si>
  <si>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</si>
  <si>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</si>
  <si>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</si>
  <si>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</si>
  <si>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</si>
  <si>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</si>
  <si>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</si>
  <si>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</si>
  <si>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</si>
  <si>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</si>
  <si>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</si>
  <si>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</si>
  <si>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</si>
  <si>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</si>
  <si>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</si>
  <si>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</si>
  <si>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</si>
  <si>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</si>
  <si>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</si>
  <si>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</si>
  <si>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</si>
  <si>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</si>
  <si>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</si>
  <si>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</si>
  <si>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</si>
  <si>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</si>
  <si>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</si>
  <si>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</si>
  <si>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</si>
  <si>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</si>
  <si>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</si>
  <si>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</si>
  <si>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</si>
  <si>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</si>
  <si>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</si>
  <si>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</si>
  <si>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</si>
  <si>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</si>
  <si>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</si>
  <si>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</si>
  <si>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</si>
  <si>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</si>
  <si>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</si>
  <si>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</si>
  <si>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</si>
  <si>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</si>
  <si>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</si>
  <si>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</si>
  <si>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</si>
  <si>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</si>
  <si>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</si>
  <si>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</si>
  <si>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</si>
  <si>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</si>
  <si>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</si>
  <si>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</si>
  <si>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</si>
  <si>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</si>
  <si>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</si>
  <si>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</si>
  <si>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</si>
  <si>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</si>
  <si>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</si>
  <si>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</si>
  <si>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</si>
  <si>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</si>
  <si>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</si>
  <si>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</si>
  <si>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</si>
  <si>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</si>
  <si>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</si>
  <si>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</si>
  <si>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</si>
  <si>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</si>
  <si>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</si>
  <si>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</si>
  <si>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</si>
  <si>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</si>
  <si>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</si>
  <si>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</si>
  <si>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</si>
  <si>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</si>
  <si>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</si>
  <si>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</si>
  <si>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</si>
  <si>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</si>
  <si>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</si>
  <si>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</si>
  <si>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</si>
  <si>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</si>
  <si>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</si>
  <si>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</si>
  <si>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</si>
  <si>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</si>
  <si>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</si>
  <si>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</si>
  <si>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</si>
  <si>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</si>
  <si>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</si>
  <si>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</si>
  <si>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</si>
  <si>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</si>
  <si>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</si>
  <si>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</si>
  <si>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</si>
  <si>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</si>
  <si>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</si>
  <si>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</si>
  <si>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</si>
  <si>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</si>
  <si>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</si>
  <si>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</si>
  <si>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</si>
  <si>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</si>
  <si>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</si>
  <si>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</si>
  <si>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</si>
  <si>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</si>
  <si>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</si>
  <si>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</si>
  <si>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</si>
  <si>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</si>
  <si>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</si>
  <si>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</si>
  <si>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</si>
  <si>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</si>
  <si>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</si>
  <si>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</si>
  <si>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</si>
  <si>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</si>
  <si>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</si>
  <si>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</si>
  <si>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</si>
  <si>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</si>
  <si>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</si>
  <si>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</si>
  <si>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</si>
  <si>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</si>
  <si>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</si>
  <si>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</si>
  <si>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</si>
  <si>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</si>
  <si>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</si>
  <si>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</si>
  <si>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</si>
  <si>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</si>
  <si>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</si>
  <si>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</si>
  <si>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</si>
  <si>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</si>
  <si>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</si>
  <si>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</si>
  <si>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</si>
  <si>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</si>
  <si>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</si>
  <si>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</si>
  <si>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</si>
  <si>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</si>
  <si>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</si>
  <si>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</si>
  <si>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</si>
  <si>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</si>
  <si>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</si>
  <si>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</si>
  <si>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</si>
  <si>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</si>
  <si>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</si>
  <si>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</si>
  <si>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</si>
  <si>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</si>
  <si>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</si>
  <si>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</si>
  <si>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</si>
  <si>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</si>
  <si>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</si>
  <si>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</si>
  <si>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</si>
  <si>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</si>
  <si>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</si>
  <si>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</si>
  <si>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</si>
  <si>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</si>
  <si>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</si>
  <si>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</si>
  <si>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</si>
  <si>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</si>
  <si>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</si>
  <si>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</si>
  <si>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</si>
  <si>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</si>
  <si>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</si>
  <si>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</si>
  <si>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</si>
  <si>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</si>
  <si>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</si>
  <si>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</si>
  <si>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</si>
  <si>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</si>
  <si>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</si>
  <si>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</si>
  <si>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</si>
  <si>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</si>
  <si>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</si>
  <si>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</si>
  <si>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</si>
  <si>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</si>
  <si>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</si>
  <si>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</si>
  <si>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</si>
  <si>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</si>
  <si>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</si>
  <si>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</si>
  <si>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</si>
  <si>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</si>
  <si>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</si>
  <si>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</si>
  <si>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</si>
  <si>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</si>
  <si>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</si>
  <si>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</si>
  <si>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</si>
  <si>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</si>
  <si>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</si>
  <si>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</si>
  <si>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</si>
  <si>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</si>
  <si>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</si>
  <si>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</si>
  <si>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</si>
  <si>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</si>
  <si>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</si>
  <si>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</si>
  <si>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</si>
  <si>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</si>
  <si>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</si>
  <si>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</si>
  <si>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</si>
  <si>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</si>
  <si>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</si>
  <si>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</si>
  <si>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</si>
  <si>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</si>
  <si>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</si>
  <si>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</si>
  <si>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</si>
  <si>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</si>
  <si>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</si>
  <si>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</si>
  <si>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</si>
  <si>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</si>
  <si>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</si>
  <si>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</si>
  <si>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</si>
  <si>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</si>
  <si>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</si>
  <si>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</si>
  <si>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</si>
  <si>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</si>
  <si>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</si>
  <si>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</si>
  <si>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</si>
  <si>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</si>
  <si>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</si>
  <si>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</si>
  <si>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</si>
  <si>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</si>
  <si>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</si>
  <si>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</si>
  <si>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</si>
  <si>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</si>
  <si>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</si>
  <si>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</si>
  <si>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</si>
  <si>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</si>
  <si>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</si>
  <si>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</si>
  <si>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</si>
  <si>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</si>
  <si>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</si>
  <si>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</si>
  <si>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</si>
  <si>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</si>
  <si>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</si>
  <si>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</si>
  <si>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</si>
  <si>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</si>
  <si>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</si>
  <si>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</si>
  <si>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</si>
  <si>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</si>
  <si>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</si>
  <si>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</si>
  <si>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</si>
  <si>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</si>
  <si>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</si>
  <si>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</si>
  <si>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</si>
  <si>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</si>
  <si>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</si>
  <si>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</si>
  <si>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</si>
  <si>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</si>
  <si>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</si>
  <si>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</si>
  <si>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</si>
  <si>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</si>
  <si>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</si>
  <si>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</si>
  <si>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</si>
  <si>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</si>
  <si>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</si>
  <si>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</si>
  <si>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</si>
  <si>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</si>
  <si>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</si>
  <si>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</si>
  <si>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</si>
  <si>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</si>
  <si>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</si>
  <si>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</si>
  <si>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</si>
  <si>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</si>
  <si>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</si>
  <si>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</si>
  <si>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</si>
  <si>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</si>
  <si>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</si>
  <si>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</si>
  <si>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</si>
  <si>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</si>
  <si>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</si>
  <si>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</si>
  <si>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</si>
  <si>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</si>
  <si>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</si>
  <si>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</si>
  <si>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</si>
  <si>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</si>
  <si>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</si>
  <si>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</si>
  <si>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</si>
  <si>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</si>
  <si>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</si>
  <si>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</si>
  <si>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</si>
  <si>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</si>
  <si>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</si>
  <si>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</si>
  <si>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</si>
  <si>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</si>
  <si>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</si>
  <si>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</si>
  <si>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</si>
  <si>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</si>
  <si>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</si>
  <si>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</si>
  <si>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</si>
  <si>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</si>
  <si>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</si>
  <si>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</si>
  <si>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</si>
  <si>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</si>
  <si>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</si>
  <si>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</si>
  <si>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</si>
  <si>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</si>
  <si>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</si>
  <si>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</si>
  <si>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</si>
  <si>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</si>
  <si>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</si>
  <si>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</si>
  <si>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</si>
  <si>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</si>
  <si>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</si>
  <si>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</si>
  <si>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</si>
  <si>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</si>
  <si>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</si>
  <si>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</si>
  <si>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</si>
  <si>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</si>
  <si>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</si>
  <si>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</si>
  <si>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</si>
  <si>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</si>
  <si>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</si>
  <si>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</si>
  <si>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</si>
  <si>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</si>
  <si>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</si>
  <si>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</si>
  <si>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</si>
  <si>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</si>
  <si>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</si>
  <si>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</si>
  <si>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</si>
  <si>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</si>
  <si>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</si>
  <si>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</si>
  <si>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</si>
  <si>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</si>
  <si>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</si>
  <si>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</si>
  <si>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</si>
  <si>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</si>
  <si>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</si>
  <si>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</si>
  <si>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</si>
  <si>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</si>
  <si>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</si>
  <si>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</si>
  <si>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</si>
  <si>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</si>
  <si>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</si>
  <si>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</si>
  <si>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</si>
  <si>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</si>
  <si>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</si>
  <si>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</si>
  <si>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</si>
  <si>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</si>
  <si>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</si>
  <si>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</si>
  <si>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</si>
  <si>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</si>
  <si>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</si>
  <si>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</si>
  <si>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</si>
  <si>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</si>
  <si>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</si>
  <si>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</si>
  <si>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</si>
  <si>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</si>
  <si>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</si>
  <si>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</si>
  <si>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</si>
  <si>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</si>
  <si>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</si>
  <si>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</si>
  <si>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</si>
  <si>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</si>
  <si>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</si>
  <si>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</si>
  <si>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</si>
  <si>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</si>
  <si>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</si>
  <si>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</si>
  <si>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</si>
  <si>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</si>
  <si>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</si>
  <si>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</si>
  <si>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</si>
  <si>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</si>
  <si>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</si>
  <si>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</si>
  <si>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</si>
  <si>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</si>
  <si>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</si>
  <si>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</si>
  <si>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</si>
  <si>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</si>
  <si>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</si>
  <si>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</si>
  <si>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</si>
  <si>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</si>
  <si>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</si>
  <si>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</si>
  <si>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</si>
  <si>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</si>
  <si>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</si>
  <si>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</si>
  <si>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</si>
  <si>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</si>
  <si>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</si>
  <si>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</si>
  <si>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</si>
  <si>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</si>
  <si>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</si>
  <si>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</si>
  <si>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</si>
  <si>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</si>
  <si>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</si>
  <si>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</si>
  <si>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</si>
  <si>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</si>
  <si>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</si>
  <si>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</si>
  <si>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</si>
  <si>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</si>
  <si>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</si>
  <si>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</si>
  <si>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</si>
  <si>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</si>
  <si>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</si>
  <si>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</si>
  <si>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</si>
  <si>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</si>
  <si>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</si>
  <si>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</si>
  <si>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</si>
  <si>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</si>
  <si>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</si>
  <si>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</si>
  <si>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</si>
  <si>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</si>
  <si>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</si>
  <si>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</si>
  <si>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</si>
  <si>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</si>
  <si>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</si>
  <si>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</si>
  <si>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</si>
  <si>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</si>
  <si>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</si>
  <si>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</si>
  <si>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</si>
  <si>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</si>
  <si>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</si>
  <si>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</si>
  <si>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</si>
  <si>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</si>
  <si>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</si>
  <si>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</si>
  <si>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</si>
  <si>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</si>
  <si>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</si>
  <si>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</si>
  <si>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</si>
  <si>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</si>
  <si>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</si>
  <si>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</si>
  <si>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</si>
  <si>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</si>
  <si>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</si>
  <si>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</si>
  <si>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</si>
  <si>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</si>
  <si>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</si>
  <si>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</si>
  <si>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</si>
  <si>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</si>
  <si>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</si>
  <si>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</si>
  <si>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</si>
  <si>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</si>
  <si>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</si>
  <si>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</si>
  <si>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</si>
  <si>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</si>
  <si>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</si>
  <si>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</si>
  <si>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</si>
  <si>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</si>
  <si>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</si>
  <si>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</si>
  <si>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</si>
  <si>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</si>
  <si>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</si>
  <si>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</si>
  <si>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</si>
  <si>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</si>
  <si>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</si>
  <si>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</si>
  <si>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</si>
  <si>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</si>
  <si>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</si>
  <si>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</si>
  <si>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</si>
  <si>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</si>
  <si>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</si>
  <si>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</si>
  <si>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</si>
  <si>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</si>
  <si>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</si>
  <si>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</si>
  <si>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</si>
  <si>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</si>
  <si>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</si>
  <si>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</si>
  <si>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</si>
  <si>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</si>
  <si>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</si>
  <si>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</si>
  <si>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</si>
  <si>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</si>
  <si>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</si>
  <si>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</si>
  <si>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</si>
  <si>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</si>
  <si>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</si>
  <si>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</si>
  <si>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</si>
  <si>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</si>
  <si>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</si>
  <si>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</si>
  <si>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</si>
  <si>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</si>
  <si>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</si>
  <si>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</si>
  <si>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</si>
  <si>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</si>
  <si>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</si>
  <si>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</si>
  <si>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</si>
  <si>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</si>
  <si>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</si>
  <si>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</si>
  <si>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</si>
  <si>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</si>
  <si>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</si>
  <si>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</si>
  <si>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</si>
  <si>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</si>
  <si>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</si>
  <si>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</si>
  <si>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</si>
  <si>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</si>
  <si>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</si>
  <si>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</si>
  <si>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</si>
  <si>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</si>
  <si>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</si>
  <si>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</si>
  <si>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</si>
  <si>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</si>
  <si>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</si>
  <si>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</si>
  <si>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</si>
  <si>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</si>
  <si>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</si>
  <si>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</si>
  <si>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</si>
  <si>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</si>
  <si>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</si>
  <si>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</si>
  <si>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</si>
  <si>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</si>
  <si>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</si>
  <si>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</si>
  <si>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</si>
  <si>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</si>
  <si>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</si>
  <si>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</si>
  <si>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</si>
  <si>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</si>
  <si>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</si>
  <si>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</si>
  <si>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</si>
  <si>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</si>
  <si>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</si>
  <si>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</si>
  <si>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</si>
  <si>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</si>
  <si>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</si>
  <si>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</si>
  <si>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</si>
  <si>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</si>
  <si>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</si>
  <si>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</si>
  <si>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</si>
  <si>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</si>
  <si>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</si>
  <si>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</si>
  <si>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</si>
  <si>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</si>
  <si>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</si>
  <si>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</si>
  <si>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</si>
  <si>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</si>
  <si>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</si>
  <si>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</si>
  <si>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</si>
  <si>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</si>
  <si>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</si>
  <si>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</si>
  <si>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</si>
  <si>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</si>
  <si>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</si>
  <si>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</si>
  <si>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</si>
  <si>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</si>
  <si>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</si>
  <si>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</si>
  <si>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</si>
  <si>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</si>
  <si>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</si>
  <si>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</si>
  <si>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</si>
  <si>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</si>
  <si>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</si>
  <si>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</si>
  <si>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</si>
  <si>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</si>
  <si>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</si>
  <si>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</si>
  <si>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</si>
  <si>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</si>
  <si>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</si>
  <si>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</si>
  <si>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</si>
  <si>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</si>
  <si>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</si>
  <si>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</si>
  <si>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</si>
  <si>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</si>
  <si>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</si>
  <si>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</si>
  <si>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</si>
  <si>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</si>
  <si>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</si>
  <si>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</si>
  <si>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</si>
  <si>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</si>
  <si>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</si>
  <si>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</si>
  <si>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</si>
  <si>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</si>
  <si>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</si>
  <si>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</si>
  <si>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</si>
  <si>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</si>
  <si>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</si>
  <si>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</si>
  <si>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</si>
  <si>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</si>
  <si>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</si>
  <si>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</si>
  <si>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</si>
  <si>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</si>
  <si>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</si>
  <si>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</si>
  <si>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</si>
  <si>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</si>
  <si>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</si>
  <si>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</si>
  <si>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</si>
  <si>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</si>
  <si>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</si>
  <si>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</si>
  <si>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</si>
  <si>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</si>
  <si>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</si>
  <si>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</si>
  <si>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</si>
  <si>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</si>
  <si>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</si>
  <si>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</si>
  <si>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</si>
  <si>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</si>
  <si>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</si>
  <si>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</si>
  <si>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</si>
  <si>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</si>
  <si>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</si>
  <si>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</si>
  <si>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</si>
  <si>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</si>
  <si>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</si>
  <si>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</si>
  <si>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</si>
  <si>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</si>
  <si>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</si>
  <si>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</si>
  <si>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</si>
  <si>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</si>
  <si>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</si>
  <si>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</si>
  <si>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</si>
  <si>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</si>
  <si>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</si>
  <si>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</si>
  <si>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</si>
  <si>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</si>
  <si>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</si>
  <si>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</si>
  <si>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</si>
  <si>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</si>
  <si>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</si>
  <si>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</si>
  <si>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</si>
  <si>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</si>
  <si>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</si>
  <si>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</si>
  <si>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</si>
  <si>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</si>
  <si>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</si>
  <si>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</si>
  <si>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</si>
  <si>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</si>
  <si>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</si>
  <si>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</si>
  <si>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</si>
  <si>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</si>
  <si>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</si>
  <si>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</si>
  <si>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</si>
  <si>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</si>
  <si>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</si>
  <si>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</si>
  <si>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</si>
  <si>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</si>
  <si>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</si>
  <si>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</si>
  <si>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</si>
  <si>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</si>
  <si>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</si>
  <si>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</si>
  <si>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</si>
  <si>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</si>
  <si>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</si>
  <si>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</si>
  <si>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</si>
  <si>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</si>
  <si>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</si>
  <si>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</si>
  <si>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</si>
  <si>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</si>
  <si>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</si>
  <si>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</si>
  <si>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</si>
  <si>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</si>
  <si>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</si>
  <si>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</si>
  <si>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</si>
  <si>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</si>
  <si>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</si>
  <si>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</si>
  <si>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</si>
  <si>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</si>
  <si>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</si>
  <si>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</si>
  <si>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</si>
  <si>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</si>
  <si>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</si>
  <si>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</si>
  <si>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</si>
  <si>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</si>
  <si>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</si>
  <si>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</si>
  <si>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</si>
  <si>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</si>
  <si>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</si>
  <si>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</si>
  <si>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</si>
  <si>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</si>
  <si>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</si>
  <si>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</si>
  <si>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</si>
  <si>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</si>
  <si>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</si>
  <si>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</si>
  <si>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</si>
  <si>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</si>
  <si>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</si>
  <si>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</si>
  <si>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</si>
  <si>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</si>
  <si>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</si>
  <si>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</si>
  <si>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</si>
  <si>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</si>
  <si>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</si>
  <si>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</si>
  <si>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</si>
  <si>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</si>
  <si>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</si>
  <si>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</si>
  <si>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</si>
  <si>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</si>
  <si>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</si>
  <si>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</si>
  <si>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</si>
  <si>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</si>
  <si>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</si>
  <si>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</si>
  <si>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</si>
  <si>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</si>
  <si>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</si>
  <si>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</si>
  <si>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</si>
  <si>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</si>
  <si>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</si>
  <si>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</si>
  <si>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</si>
  <si>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</si>
  <si>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</si>
  <si>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</si>
  <si>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</si>
  <si>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</si>
  <si>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</si>
  <si>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</si>
  <si>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</si>
  <si>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</si>
  <si>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</si>
  <si>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</si>
  <si>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</si>
  <si>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</si>
  <si>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</si>
  <si>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</si>
  <si>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</si>
  <si>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</si>
  <si>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</si>
  <si>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</si>
  <si>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</si>
  <si>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</si>
  <si>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</si>
  <si>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</si>
  <si>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</si>
  <si>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</si>
  <si>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</si>
  <si>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</si>
  <si>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</si>
  <si>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</si>
  <si>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</si>
  <si>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</si>
  <si>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</si>
  <si>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</si>
  <si>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</si>
  <si>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</si>
  <si>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</si>
  <si>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</si>
  <si>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</si>
  <si>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</si>
  <si>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</si>
  <si>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</si>
  <si>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</si>
  <si>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</si>
  <si>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</si>
  <si>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</si>
  <si>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</si>
  <si>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</si>
  <si>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</si>
  <si>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</si>
  <si>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</si>
  <si>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</si>
  <si>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</si>
  <si>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</si>
  <si>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</si>
  <si>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</si>
  <si>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</si>
  <si>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</si>
  <si>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</si>
  <si>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</si>
  <si>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</si>
  <si>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</si>
  <si>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</si>
  <si>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</si>
  <si>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</si>
  <si>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</si>
  <si>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</si>
  <si>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</si>
  <si>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</si>
  <si>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</si>
  <si>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</si>
  <si>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</si>
  <si>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</si>
  <si>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</si>
  <si>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</si>
  <si>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</si>
  <si>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</si>
  <si>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</si>
  <si>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</si>
  <si>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</si>
  <si>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</si>
  <si>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</si>
  <si>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</si>
  <si>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</si>
  <si>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</si>
  <si>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</si>
  <si>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</si>
  <si>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</si>
  <si>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</si>
  <si>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</si>
  <si>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</si>
  <si>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</si>
  <si>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</si>
  <si>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</si>
  <si>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</si>
  <si>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</si>
  <si>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</si>
  <si>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</si>
  <si>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</si>
  <si>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</si>
  <si>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</si>
  <si>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</si>
  <si>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</si>
  <si>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</si>
  <si>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</si>
  <si>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</si>
  <si>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</si>
  <si>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</si>
  <si>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</si>
  <si>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</si>
  <si>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</si>
  <si>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</si>
  <si>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</si>
  <si>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</si>
  <si>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</si>
  <si>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</si>
  <si>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</si>
  <si>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</si>
  <si>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</si>
  <si>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</si>
  <si>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</si>
  <si>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</si>
  <si>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</si>
  <si>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</si>
  <si>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</si>
  <si>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</si>
  <si>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</si>
  <si>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</si>
  <si>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</si>
  <si>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</si>
  <si>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</si>
  <si>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</si>
  <si>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</si>
  <si>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</si>
  <si>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</si>
  <si>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</si>
  <si>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</si>
  <si>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</si>
  <si>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</si>
  <si>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</si>
  <si>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</si>
  <si>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</si>
  <si>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</si>
  <si>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</si>
  <si>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</si>
  <si>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</si>
  <si>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</si>
  <si>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</si>
  <si>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</si>
  <si>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</si>
  <si>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</si>
  <si>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</si>
  <si>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</si>
  <si>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</si>
  <si>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</si>
  <si>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</si>
  <si>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</si>
  <si>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</si>
  <si>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</si>
  <si>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</si>
  <si>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</si>
  <si>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</si>
  <si>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</si>
  <si>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</si>
  <si>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</si>
  <si>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</si>
  <si>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</si>
  <si>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</si>
  <si>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</si>
  <si>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</si>
  <si>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</si>
  <si>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</si>
  <si>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</si>
  <si>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</si>
  <si>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</si>
  <si>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</si>
  <si>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</si>
  <si>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</si>
  <si>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</si>
  <si>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</si>
  <si>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</si>
  <si>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</si>
  <si>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</si>
  <si>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</si>
  <si>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</si>
  <si>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</si>
  <si>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</si>
  <si>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</si>
  <si>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</si>
  <si>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</si>
  <si>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</si>
  <si>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</si>
  <si>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</si>
  <si>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</si>
  <si>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</si>
  <si>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</si>
  <si>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</si>
  <si>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</si>
  <si>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</si>
  <si>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</si>
  <si>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</si>
  <si>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</si>
  <si>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</si>
  <si>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</si>
  <si>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</si>
  <si>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</si>
  <si>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</si>
  <si>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</si>
  <si>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</si>
  <si>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</si>
  <si>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</si>
  <si>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</si>
  <si>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</si>
  <si>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</si>
  <si>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</si>
  <si>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</si>
  <si>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</si>
  <si>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</si>
  <si>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</si>
  <si>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</si>
  <si>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</si>
  <si>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</si>
  <si>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</si>
  <si>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</si>
  <si>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</si>
  <si>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</si>
  <si>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</si>
  <si>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</si>
  <si>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</si>
  <si>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</si>
  <si>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</si>
  <si>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</si>
  <si>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</si>
  <si>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</si>
  <si>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</si>
  <si>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</si>
  <si>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</si>
  <si>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</si>
  <si>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</si>
  <si>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</si>
  <si>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</si>
  <si>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</si>
  <si>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</si>
  <si>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</si>
  <si>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</si>
  <si>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</si>
  <si>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</si>
  <si>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</si>
  <si>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</si>
  <si>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</si>
  <si>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</si>
  <si>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</si>
  <si>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</si>
  <si>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</si>
  <si>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</si>
  <si>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</si>
  <si>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</si>
  <si>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</si>
  <si>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</si>
  <si>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</si>
  <si>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</si>
  <si>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</si>
  <si>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</si>
  <si>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</si>
  <si>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</si>
  <si>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</si>
  <si>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</si>
  <si>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</si>
  <si>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</si>
  <si>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</si>
  <si>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</si>
  <si>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</si>
  <si>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</si>
  <si>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</si>
  <si>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</si>
  <si>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</si>
  <si>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</si>
  <si>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</si>
  <si>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</si>
  <si>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</si>
  <si>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</si>
  <si>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</si>
  <si>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</si>
  <si>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</si>
  <si>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</si>
  <si>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</si>
  <si>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</si>
  <si>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</si>
  <si>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</si>
  <si>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</si>
  <si>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</si>
  <si>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</si>
  <si>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</si>
  <si>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</si>
  <si>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</si>
  <si>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</si>
  <si>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</si>
  <si>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</si>
  <si>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</si>
  <si>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</si>
  <si>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</si>
  <si>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</si>
  <si>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</si>
  <si>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</si>
  <si>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</si>
  <si>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</si>
  <si>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</si>
  <si>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</si>
  <si>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</si>
  <si>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</si>
  <si>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</si>
  <si>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</si>
  <si>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</si>
  <si>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</si>
  <si>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</si>
  <si>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</si>
  <si>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</si>
  <si>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</si>
  <si>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</si>
  <si>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</si>
  <si>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</si>
  <si>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</si>
  <si>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</si>
  <si>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</si>
  <si>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</si>
  <si>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</si>
  <si>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</si>
  <si>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</si>
  <si>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</si>
  <si>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</si>
  <si>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</si>
  <si>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</si>
  <si>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</si>
  <si>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</si>
  <si>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</si>
  <si>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</si>
  <si>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</si>
  <si>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</si>
  <si>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</si>
  <si>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</si>
  <si>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</si>
  <si>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</si>
  <si>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</si>
  <si>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</si>
  <si>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</si>
  <si>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</si>
  <si>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</si>
  <si>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</si>
  <si>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</si>
  <si>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</si>
  <si>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</si>
  <si>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</si>
  <si>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</si>
  <si>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</si>
  <si>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</si>
  <si>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</si>
  <si>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</si>
  <si>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</si>
  <si>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</si>
  <si>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</si>
  <si>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</si>
  <si>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</si>
  <si>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</si>
  <si>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</si>
  <si>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</si>
  <si>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</si>
  <si>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</si>
  <si>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</si>
  <si>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</si>
  <si>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</si>
  <si>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</si>
  <si>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</si>
  <si>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</si>
  <si>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</si>
  <si>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</si>
  <si>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</si>
  <si>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</si>
  <si>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</si>
  <si>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</si>
  <si>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</si>
  <si>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</si>
  <si>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</si>
  <si>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</si>
  <si>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</si>
  <si>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</si>
  <si>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</si>
  <si>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</si>
  <si>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</si>
  <si>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</si>
  <si>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</si>
  <si>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</si>
  <si>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</si>
  <si>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</si>
  <si>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</si>
  <si>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</si>
  <si>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</si>
  <si>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</si>
  <si>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</si>
  <si>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</si>
  <si>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</si>
  <si>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</si>
  <si>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</si>
  <si>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</si>
  <si>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</si>
  <si>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</si>
  <si>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</si>
  <si>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</si>
  <si>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</si>
  <si>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</si>
  <si>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</si>
  <si>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</si>
  <si>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</si>
  <si>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</si>
  <si>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</si>
  <si>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</si>
  <si>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</si>
  <si>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</si>
  <si>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</si>
  <si>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</si>
  <si>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</si>
  <si>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</si>
  <si>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</si>
  <si>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</si>
  <si>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</si>
  <si>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</si>
  <si>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</si>
  <si>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</si>
  <si>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</si>
  <si>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</si>
  <si>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</si>
  <si>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</si>
  <si>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</si>
  <si>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</si>
  <si>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</si>
  <si>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</si>
  <si>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</si>
  <si>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</si>
  <si>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</si>
  <si>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</si>
  <si>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</si>
  <si>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</si>
  <si>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</si>
  <si>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</si>
  <si>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</si>
  <si>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</si>
  <si>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</si>
  <si>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</si>
  <si>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</si>
  <si>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</si>
  <si>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</si>
  <si>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</si>
  <si>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</si>
  <si>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</si>
  <si>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</si>
  <si>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</si>
  <si>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</si>
  <si>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</si>
  <si>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</si>
  <si>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</si>
  <si>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</si>
  <si>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</si>
  <si>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</si>
  <si>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</si>
  <si>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</si>
  <si>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</si>
  <si>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</si>
  <si>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</si>
  <si>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</si>
  <si>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</si>
  <si>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</si>
  <si>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</si>
  <si>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</si>
  <si>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</si>
  <si>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</si>
  <si>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</si>
  <si>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</si>
  <si>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</si>
  <si>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</si>
  <si>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</si>
  <si>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</si>
  <si>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</si>
  <si>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</si>
  <si>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</si>
  <si>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</si>
  <si>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</si>
  <si>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</si>
  <si>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</si>
  <si>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</si>
  <si>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</si>
  <si>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</si>
  <si>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</si>
  <si>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</si>
  <si>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</si>
  <si>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</si>
  <si>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</si>
  <si>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</si>
  <si>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</si>
  <si>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</si>
  <si>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</si>
  <si>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</si>
  <si>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</si>
  <si>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</si>
  <si>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</si>
  <si>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</si>
  <si>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</si>
  <si>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</si>
  <si>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</si>
  <si>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</si>
  <si>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</si>
  <si>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</si>
  <si>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</si>
  <si>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</si>
  <si>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</si>
  <si>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</si>
  <si>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</si>
  <si>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</si>
  <si>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</si>
  <si>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</si>
  <si>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</si>
  <si>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</si>
  <si>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</si>
  <si>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</si>
  <si>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</si>
  <si>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</si>
  <si>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</si>
  <si>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</si>
  <si>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</si>
  <si>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</si>
  <si>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</si>
  <si>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</si>
  <si>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</si>
  <si>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</si>
  <si>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</si>
  <si>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</si>
  <si>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</si>
  <si>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</si>
  <si>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</si>
  <si>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</si>
  <si>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</si>
  <si>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</si>
  <si>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</si>
  <si>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</si>
  <si>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</si>
  <si>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</si>
  <si>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</si>
  <si>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</si>
  <si>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</si>
  <si>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</si>
  <si>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</si>
  <si>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</si>
  <si>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</si>
  <si>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</si>
  <si>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</si>
  <si>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</si>
  <si>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</si>
  <si>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</si>
  <si>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</si>
  <si>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</si>
  <si>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</si>
  <si>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</si>
  <si>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</si>
  <si>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</si>
  <si>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</si>
  <si>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</si>
  <si>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</si>
  <si>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</si>
  <si>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</si>
  <si>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</si>
  <si>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</si>
  <si>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</si>
  <si>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</si>
  <si>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</si>
  <si>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</si>
  <si>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</si>
  <si>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</si>
  <si>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</si>
  <si>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</si>
  <si>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</si>
  <si>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</si>
  <si>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</si>
  <si>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</si>
  <si>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</si>
  <si>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</si>
  <si>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</si>
  <si>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</si>
  <si>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</si>
  <si>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</si>
  <si>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</si>
  <si>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</si>
  <si>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</si>
  <si>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</si>
  <si>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</si>
  <si>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</si>
  <si>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</si>
  <si>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</si>
  <si>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</si>
  <si>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</si>
  <si>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</si>
  <si>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</si>
  <si>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</si>
  <si>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</si>
  <si>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</si>
  <si>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</si>
  <si>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</si>
  <si>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</si>
  <si>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</si>
  <si>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</si>
  <si>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</si>
  <si>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</si>
  <si>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</si>
  <si>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</si>
  <si>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</si>
  <si>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</si>
  <si>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</si>
  <si>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</si>
  <si>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</si>
  <si>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</si>
  <si>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</si>
  <si>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</si>
  <si>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</si>
  <si>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</si>
  <si>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</si>
  <si>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</si>
  <si>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</si>
  <si>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</si>
  <si>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</si>
  <si>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</si>
  <si>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</si>
  <si>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</si>
  <si>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</si>
  <si>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</si>
  <si>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</si>
  <si>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</si>
  <si>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</si>
  <si>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</si>
  <si>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</si>
  <si>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</si>
  <si>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</si>
  <si>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</si>
  <si>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</si>
  <si>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</si>
  <si>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</si>
  <si>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</si>
  <si>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</si>
  <si>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</si>
  <si>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</si>
  <si>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</si>
  <si>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</si>
  <si>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</si>
  <si>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</si>
  <si>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</si>
  <si>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</si>
  <si>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</si>
  <si>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</si>
  <si>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</si>
  <si>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</si>
  <si>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</si>
  <si>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</si>
  <si>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</si>
  <si>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</si>
  <si>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</si>
  <si>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</si>
  <si>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</si>
  <si>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</si>
  <si>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</si>
  <si>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</si>
  <si>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</si>
  <si>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</si>
  <si>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</si>
  <si>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</si>
  <si>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</si>
  <si>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</si>
  <si>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</si>
  <si>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</si>
  <si>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</si>
  <si>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</si>
  <si>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</si>
  <si>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</si>
  <si>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</si>
  <si>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</si>
  <si>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</si>
  <si>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</si>
  <si>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</si>
  <si>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</si>
  <si>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</si>
  <si>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</si>
  <si>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</si>
  <si>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</si>
  <si>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</si>
  <si>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</si>
  <si>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</si>
  <si>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</si>
  <si>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</si>
  <si>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</si>
  <si>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</si>
  <si>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</si>
  <si>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</si>
  <si>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</si>
  <si>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</si>
  <si>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</si>
  <si>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</si>
  <si>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</si>
  <si>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</si>
  <si>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</si>
  <si>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</si>
  <si>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</si>
  <si>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</si>
  <si>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</si>
  <si>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</si>
  <si>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</si>
  <si>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</si>
  <si>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</si>
  <si>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</si>
  <si>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</si>
  <si>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</si>
  <si>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</si>
  <si>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</si>
  <si>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</si>
  <si>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</si>
  <si>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</si>
  <si>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</si>
  <si>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</si>
  <si>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</si>
  <si>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</si>
  <si>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</si>
  <si>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</si>
  <si>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</si>
  <si>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</si>
  <si>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</si>
  <si>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</si>
  <si>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</si>
  <si>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</si>
  <si>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</si>
  <si>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</si>
  <si>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</si>
  <si>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</si>
  <si>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</si>
  <si>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</si>
  <si>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</si>
  <si>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</si>
  <si>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</si>
  <si>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</si>
  <si>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</si>
  <si>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</si>
  <si>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</si>
  <si>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</si>
  <si>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</si>
  <si>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</si>
  <si>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</si>
  <si>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</si>
  <si>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</si>
  <si>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</si>
  <si>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</si>
  <si>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</si>
  <si>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</si>
  <si>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</si>
  <si>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</si>
  <si>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</si>
  <si>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</si>
  <si>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</si>
  <si>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</si>
  <si>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</si>
  <si>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</si>
  <si>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</si>
  <si>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</si>
  <si>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</si>
  <si>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</si>
  <si>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</si>
  <si>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</si>
  <si>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</si>
  <si>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</si>
  <si>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</si>
  <si>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</si>
  <si>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</si>
  <si>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</si>
  <si>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</si>
  <si>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</si>
  <si>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</si>
  <si>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</si>
  <si>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</si>
  <si>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</si>
  <si>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</si>
  <si>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</si>
  <si>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</si>
  <si>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</si>
  <si>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</si>
  <si>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</si>
  <si>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</si>
  <si>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</si>
  <si>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</si>
  <si>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</si>
  <si>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</si>
  <si>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</si>
  <si>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</si>
  <si>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</si>
  <si>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</si>
  <si>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</si>
  <si>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</si>
  <si>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</si>
  <si>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</si>
  <si>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</si>
  <si>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</si>
  <si>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</si>
  <si>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</si>
  <si>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</si>
  <si>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</si>
  <si>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</si>
  <si>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</si>
  <si>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</si>
  <si>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</si>
  <si>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</si>
  <si>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</si>
  <si>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</si>
  <si>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</si>
  <si>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</si>
  <si>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</si>
  <si>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</si>
  <si>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</si>
  <si>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</si>
  <si>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</si>
  <si>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</si>
  <si>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</si>
  <si>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</si>
  <si>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</si>
  <si>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</si>
  <si>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</si>
  <si>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</si>
  <si>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</si>
  <si>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</si>
  <si>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</si>
  <si>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</si>
  <si>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</si>
  <si>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</si>
  <si>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</si>
  <si>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</si>
  <si>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</si>
  <si>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</si>
  <si>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</si>
  <si>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</si>
  <si>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</si>
  <si>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</si>
  <si>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</si>
  <si>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</si>
  <si>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</si>
  <si>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</si>
  <si>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</si>
  <si>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</si>
  <si>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</si>
  <si>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</si>
  <si>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</si>
  <si>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</si>
  <si>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</si>
  <si>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</si>
  <si>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</si>
  <si>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</si>
  <si>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</si>
  <si>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</si>
  <si>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</si>
  <si>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</si>
  <si>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</si>
  <si>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</si>
  <si>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</si>
  <si>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</si>
  <si>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</si>
  <si>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</si>
  <si>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</si>
  <si>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</si>
  <si>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</si>
  <si>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</si>
  <si>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</si>
  <si>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</si>
  <si>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</si>
  <si>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</si>
  <si>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</si>
  <si>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</si>
  <si>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</si>
  <si>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</si>
  <si>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</si>
  <si>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</si>
  <si>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</si>
  <si>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</si>
  <si>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</si>
  <si>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</si>
  <si>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</si>
  <si>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</si>
  <si>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</si>
  <si>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</si>
  <si>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</si>
  <si>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</si>
  <si>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</si>
  <si>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</si>
  <si>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</si>
  <si>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</si>
  <si>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</si>
  <si>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</si>
  <si>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</si>
  <si>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</si>
  <si>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</si>
  <si>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</si>
  <si>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</si>
  <si>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</si>
  <si>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</si>
  <si>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</si>
  <si>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</si>
  <si>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</si>
  <si>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</si>
  <si>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</si>
  <si>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</si>
  <si>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</si>
  <si>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</si>
  <si>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</si>
  <si>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</si>
  <si>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</si>
  <si>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</si>
  <si>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</si>
  <si>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</si>
  <si>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</si>
  <si>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</si>
  <si>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</si>
  <si>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</si>
  <si>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</si>
  <si>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</si>
  <si>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</si>
  <si>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</si>
  <si>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</si>
  <si>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</si>
  <si>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</si>
  <si>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</si>
  <si>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</si>
  <si>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</si>
  <si>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</si>
  <si>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</si>
  <si>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</si>
  <si>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</si>
  <si>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</si>
  <si>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</si>
  <si>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</si>
  <si>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</si>
  <si>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</si>
  <si>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</si>
  <si>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</si>
  <si>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</si>
  <si>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</si>
  <si>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</si>
  <si>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</si>
  <si>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</si>
  <si>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</si>
  <si>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</si>
  <si>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</si>
  <si>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</si>
  <si>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</si>
  <si>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</si>
  <si>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</si>
  <si>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</si>
  <si>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</si>
  <si>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</si>
  <si>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</si>
  <si>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</si>
  <si>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</si>
  <si>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</si>
  <si>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</si>
  <si>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</si>
  <si>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</si>
  <si>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</si>
  <si>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</si>
  <si>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</si>
  <si>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</si>
  <si>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</si>
  <si>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</si>
  <si>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</si>
  <si>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</si>
  <si>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</si>
  <si>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</si>
  <si>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</si>
  <si>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</si>
  <si>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</si>
  <si>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</si>
  <si>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</si>
  <si>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</si>
  <si>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</si>
  <si>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</si>
  <si>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</si>
  <si>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</si>
  <si>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</si>
  <si>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</si>
  <si>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</si>
  <si>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</si>
  <si>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</si>
  <si>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</si>
  <si>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</si>
  <si>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</si>
  <si>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</si>
  <si>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</si>
  <si>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</si>
  <si>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</si>
  <si>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</si>
  <si>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</si>
  <si>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</si>
  <si>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</si>
  <si>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</si>
  <si>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</si>
  <si>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</si>
  <si>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</si>
  <si>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</si>
  <si>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</si>
  <si>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</si>
  <si>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</si>
  <si>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</si>
  <si>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</si>
  <si>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</si>
  <si>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</si>
  <si>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</si>
  <si>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</si>
  <si>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</si>
  <si>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</si>
  <si>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</si>
  <si>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</si>
  <si>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</si>
  <si>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</si>
  <si>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</si>
  <si>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</si>
  <si>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</si>
  <si>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</si>
  <si>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</si>
  <si>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</si>
  <si>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</si>
  <si>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</si>
  <si>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</si>
  <si>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</si>
  <si>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</si>
  <si>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</si>
  <si>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</si>
  <si>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</si>
  <si>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</si>
  <si>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</si>
  <si>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</si>
  <si>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</si>
  <si>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</si>
  <si>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</si>
  <si>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</si>
  <si>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</si>
  <si>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</si>
  <si>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</si>
  <si>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</si>
  <si>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</si>
  <si>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</si>
  <si>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</si>
  <si>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</si>
  <si>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</si>
  <si>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</si>
  <si>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</si>
  <si>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</si>
  <si>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</si>
  <si>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</si>
  <si>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</si>
  <si>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</si>
  <si>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</si>
  <si>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</si>
  <si>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</si>
  <si>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</si>
  <si>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</si>
  <si>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</si>
  <si>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</si>
  <si>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</si>
  <si>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</si>
  <si>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</si>
  <si>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</si>
  <si>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</si>
  <si>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</si>
  <si>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</si>
  <si>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</si>
  <si>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</si>
  <si>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</si>
  <si>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</si>
  <si>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</si>
  <si>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</si>
  <si>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</si>
  <si>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</si>
  <si>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</si>
  <si>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</si>
  <si>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</si>
  <si>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</si>
  <si>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</si>
  <si>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</si>
  <si>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</si>
  <si>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</si>
  <si>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</si>
  <si>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</si>
  <si>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</si>
  <si>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</si>
  <si>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</si>
  <si>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</si>
  <si>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</si>
  <si>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</si>
  <si>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</si>
  <si>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</si>
  <si>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</si>
  <si>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</si>
  <si>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</si>
  <si>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</si>
  <si>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</si>
  <si>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</si>
  <si>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</si>
  <si>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</si>
  <si>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</si>
  <si>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</si>
  <si>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</si>
  <si>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</si>
  <si>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</si>
  <si>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</si>
  <si>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</si>
  <si>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</si>
  <si>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</si>
  <si>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</si>
  <si>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</si>
  <si>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</si>
  <si>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</si>
  <si>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</si>
  <si>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</si>
  <si>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</si>
  <si>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</si>
  <si>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</si>
  <si>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</si>
  <si>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</si>
  <si>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</si>
  <si>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</si>
  <si>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</si>
  <si>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</si>
  <si>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</si>
  <si>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</si>
  <si>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</si>
  <si>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</si>
  <si>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</si>
  <si>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</si>
  <si>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</si>
  <si>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</si>
  <si>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</si>
  <si>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</si>
  <si>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</si>
  <si>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</si>
  <si>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</si>
  <si>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</si>
  <si>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</si>
  <si>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</si>
  <si>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</si>
  <si>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</si>
  <si>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</si>
  <si>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</si>
  <si>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</si>
  <si>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</si>
  <si>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</si>
  <si>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</si>
  <si>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</si>
  <si>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</si>
  <si>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</si>
  <si>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</si>
  <si>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</si>
  <si>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</si>
  <si>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</si>
  <si>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</si>
  <si>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</si>
  <si>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</si>
  <si>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</si>
  <si>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</si>
  <si>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</si>
  <si>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</si>
  <si>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</si>
  <si>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</si>
  <si>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</si>
  <si>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</si>
  <si>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</si>
  <si>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</si>
  <si>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</si>
  <si>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</si>
  <si>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</si>
  <si>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</si>
  <si>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</si>
  <si>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</si>
  <si>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</si>
  <si>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</si>
  <si>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</si>
  <si>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</si>
  <si>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</si>
  <si>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</si>
  <si>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</si>
  <si>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</si>
  <si>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</si>
  <si>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</si>
  <si>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</si>
  <si>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</si>
  <si>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</si>
  <si>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</si>
  <si>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</si>
  <si>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</si>
  <si>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</si>
  <si>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</si>
  <si>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</si>
  <si>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</si>
  <si>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</si>
  <si>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</si>
  <si>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</si>
  <si>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</si>
  <si>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</si>
  <si>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</si>
  <si>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</si>
  <si>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</si>
  <si>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</si>
  <si>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</si>
  <si>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</si>
  <si>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</si>
  <si>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</si>
  <si>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</si>
  <si>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</si>
  <si>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</si>
  <si>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</si>
  <si>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</si>
  <si>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</si>
  <si>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</si>
  <si>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</si>
  <si>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</si>
  <si>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</si>
  <si>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</si>
  <si>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</si>
  <si>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</si>
  <si>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</si>
  <si>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</si>
  <si>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</si>
  <si>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</si>
  <si>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</si>
  <si>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</si>
  <si>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</si>
  <si>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</si>
  <si>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</si>
  <si>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</si>
  <si>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</si>
  <si>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</si>
  <si>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</si>
  <si>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</si>
  <si>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</si>
  <si>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</si>
  <si>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</si>
  <si>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</si>
  <si>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</si>
  <si>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</si>
  <si>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</si>
  <si>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</si>
  <si>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</si>
  <si>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</si>
  <si>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</si>
  <si>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</si>
  <si>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</si>
  <si>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</si>
  <si>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</si>
  <si>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</si>
  <si>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</si>
  <si>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</si>
  <si>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</si>
  <si>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</si>
  <si>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</si>
  <si>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</si>
  <si>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</si>
  <si>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</si>
  <si>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</si>
  <si>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</si>
  <si>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</si>
  <si>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</si>
  <si>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</si>
  <si>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</si>
  <si>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</si>
  <si>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</si>
  <si>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</si>
  <si>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</si>
  <si>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</si>
  <si>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</si>
  <si>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</si>
  <si>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</si>
  <si>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</si>
  <si>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</si>
  <si>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</si>
  <si>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</si>
  <si>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</si>
  <si>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</si>
  <si>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</si>
  <si>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</si>
  <si>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</si>
  <si>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</si>
  <si>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</si>
  <si>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</si>
  <si>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</si>
  <si>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</si>
  <si>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</si>
  <si>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</si>
  <si>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</si>
  <si>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</si>
  <si>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</si>
  <si>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</si>
  <si>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</si>
  <si>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</si>
  <si>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</si>
  <si>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</si>
  <si>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</si>
  <si>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</si>
  <si>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</si>
  <si>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</si>
  <si>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</si>
  <si>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</si>
  <si>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</si>
  <si>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</si>
  <si>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</si>
  <si>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</si>
  <si>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</si>
  <si>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</si>
  <si>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</si>
  <si>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</si>
  <si>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</si>
  <si>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</si>
  <si>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</si>
  <si>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</si>
  <si>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</si>
  <si>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</si>
  <si>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</si>
  <si>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</si>
  <si>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</si>
  <si>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</si>
  <si>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</si>
  <si>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</si>
  <si>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</si>
  <si>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</si>
  <si>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</si>
  <si>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</si>
  <si>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</si>
  <si>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</si>
  <si>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</si>
  <si>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</si>
  <si>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</si>
  <si>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</si>
  <si>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</si>
  <si>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</si>
  <si>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</si>
  <si>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</si>
  <si>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</si>
  <si>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</si>
  <si>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</si>
  <si>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</si>
  <si>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</si>
  <si>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</si>
  <si>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</si>
  <si>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</si>
  <si>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</si>
  <si>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</si>
  <si>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</si>
  <si>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</si>
  <si>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</si>
  <si>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</si>
  <si>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</si>
  <si>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</si>
  <si>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</si>
  <si>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</si>
  <si>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</si>
  <si>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</si>
  <si>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</si>
  <si>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</si>
  <si>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</si>
  <si>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</si>
  <si>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</si>
  <si>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</si>
  <si>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</si>
  <si>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</si>
  <si>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</si>
  <si>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</si>
  <si>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</si>
  <si>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</si>
  <si>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</si>
  <si>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</si>
  <si>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</si>
  <si>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</si>
  <si>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</si>
  <si>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</si>
  <si>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</si>
  <si>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</si>
  <si>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</si>
  <si>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</si>
  <si>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</si>
  <si>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</si>
  <si>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</si>
  <si>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</si>
  <si>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</si>
  <si>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</si>
  <si>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</si>
  <si>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</si>
  <si>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</si>
  <si>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</si>
  <si>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</si>
  <si>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</si>
  <si>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</si>
  <si>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</si>
  <si>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</si>
  <si>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</si>
  <si>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</si>
  <si>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</si>
  <si>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</si>
  <si>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</si>
  <si>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</si>
  <si>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</si>
  <si>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</si>
  <si>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</si>
  <si>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</si>
  <si>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</si>
  <si>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</si>
  <si>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</si>
  <si>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</si>
  <si>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</si>
  <si>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</si>
  <si>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</si>
  <si>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</si>
  <si>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</si>
  <si>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</si>
  <si>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</si>
  <si>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</si>
  <si>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</si>
  <si>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</si>
  <si>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</si>
  <si>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</si>
  <si>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</si>
  <si>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</si>
  <si>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</si>
  <si>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</si>
  <si>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</si>
  <si>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</si>
  <si>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</si>
  <si>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</si>
  <si>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</si>
  <si>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</si>
  <si>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</si>
  <si>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</si>
  <si>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</si>
  <si>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</si>
  <si>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</si>
  <si>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</si>
  <si>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</si>
  <si>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</si>
  <si>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</si>
  <si>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</si>
  <si>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</si>
  <si>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</si>
  <si>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</si>
  <si>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</si>
  <si>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</si>
  <si>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</si>
  <si>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</si>
  <si>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</si>
  <si>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</si>
  <si>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</si>
  <si>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</si>
  <si>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</si>
  <si>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</si>
  <si>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</si>
  <si>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</si>
  <si>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</si>
  <si>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</si>
  <si>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</si>
  <si>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</si>
  <si>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</si>
  <si>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</si>
  <si>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</si>
  <si>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</si>
  <si>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</si>
  <si>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</si>
  <si>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</si>
  <si>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</si>
  <si>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</si>
  <si>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</si>
  <si>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</si>
  <si>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</si>
  <si>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</si>
  <si>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</si>
  <si>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</si>
  <si>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</si>
  <si>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</si>
  <si>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</si>
  <si>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</si>
  <si>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</si>
  <si>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</si>
  <si>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</si>
  <si>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</si>
  <si>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</si>
  <si>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</si>
  <si>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</si>
  <si>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</si>
  <si>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</si>
  <si>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</si>
  <si>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</si>
  <si>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</si>
  <si>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</si>
  <si>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</si>
  <si>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</si>
  <si>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</si>
  <si>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</si>
  <si>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</si>
  <si>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</si>
  <si>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</si>
  <si>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</si>
  <si>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</si>
  <si>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</si>
  <si>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</si>
  <si>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</si>
  <si>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</si>
  <si>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</si>
  <si>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</si>
  <si>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</si>
  <si>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</si>
  <si>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</si>
  <si>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</si>
  <si>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</si>
  <si>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</si>
  <si>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</si>
  <si>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</si>
  <si>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</si>
  <si>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</si>
  <si>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</si>
  <si>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</si>
  <si>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</si>
  <si>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</si>
  <si>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</si>
  <si>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</si>
  <si>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</si>
  <si>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</si>
  <si>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</si>
  <si>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</si>
  <si>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</si>
  <si>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</si>
  <si>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</si>
  <si>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</si>
  <si>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</si>
  <si>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</si>
  <si>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</si>
  <si>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</si>
  <si>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</si>
  <si>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</si>
  <si>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</si>
  <si>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</si>
  <si>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</si>
  <si>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</si>
  <si>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</si>
  <si>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</si>
  <si>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</si>
  <si>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</si>
  <si>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</si>
  <si>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</si>
  <si>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</si>
  <si>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</si>
  <si>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</si>
  <si>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</si>
  <si>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</si>
  <si>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</si>
  <si>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</si>
  <si>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</si>
  <si>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</si>
  <si>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</si>
  <si>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</si>
  <si>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</si>
  <si>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</si>
  <si>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</si>
  <si>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</si>
  <si>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</si>
  <si>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</si>
  <si>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</si>
  <si>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</si>
  <si>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</si>
  <si>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</si>
  <si>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</si>
  <si>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</si>
  <si>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</si>
  <si>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</si>
  <si>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</si>
  <si>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</si>
  <si>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</si>
  <si>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</si>
  <si>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</si>
  <si>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</si>
  <si>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</si>
  <si>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</si>
  <si>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</si>
  <si>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</si>
  <si>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</si>
  <si>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</si>
  <si>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</si>
  <si>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</si>
  <si>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</si>
  <si>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</si>
  <si>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</si>
  <si>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</si>
  <si>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</si>
  <si>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</si>
  <si>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</si>
  <si>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</si>
  <si>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</si>
  <si>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</si>
  <si>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</si>
  <si>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</si>
  <si>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</si>
  <si>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</si>
  <si>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</si>
  <si>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</si>
  <si>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</si>
  <si>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</si>
  <si>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</si>
  <si>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</si>
  <si>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</si>
  <si>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</si>
  <si>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</si>
  <si>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</si>
  <si>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</si>
  <si>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</si>
  <si>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</si>
  <si>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</si>
  <si>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</si>
  <si>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</si>
  <si>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</si>
  <si>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</si>
  <si>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</si>
  <si>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</si>
  <si>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</si>
  <si>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</si>
  <si>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</si>
  <si>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</si>
  <si>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</si>
  <si>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</si>
  <si>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</si>
  <si>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</si>
  <si>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</si>
  <si>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</si>
  <si>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</si>
  <si>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</si>
  <si>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</si>
  <si>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</si>
  <si>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</si>
  <si>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</si>
  <si>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</si>
  <si>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</si>
  <si>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</si>
  <si>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</si>
  <si>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</si>
  <si>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</si>
  <si>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</si>
  <si>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</si>
  <si>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</si>
  <si>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</si>
  <si>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</si>
  <si>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</si>
  <si>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</si>
  <si>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</si>
  <si>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</si>
  <si>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</si>
  <si>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</si>
  <si>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</si>
  <si>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</si>
  <si>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</si>
  <si>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</si>
  <si>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</si>
  <si>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</si>
  <si>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</si>
  <si>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</si>
  <si>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</si>
  <si>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</si>
  <si>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</si>
  <si>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</si>
  <si>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</si>
  <si>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</si>
  <si>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</si>
  <si>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</si>
  <si>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</si>
  <si>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</si>
  <si>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</si>
  <si>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</si>
  <si>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</si>
  <si>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</si>
  <si>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</si>
  <si>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</si>
  <si>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</si>
  <si>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</si>
  <si>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</si>
  <si>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</si>
  <si>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</si>
  <si>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</si>
  <si>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</si>
  <si>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</si>
  <si>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</si>
  <si>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</si>
  <si>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</si>
  <si>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</si>
  <si>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</si>
  <si>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</si>
  <si>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</si>
  <si>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</si>
  <si>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</si>
  <si>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</si>
  <si>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</si>
  <si>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</si>
  <si>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</si>
  <si>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</si>
  <si>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</si>
  <si>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</si>
  <si>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</si>
  <si>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</si>
  <si>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</si>
  <si>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</si>
  <si>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</si>
  <si>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</si>
  <si>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</si>
  <si>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</si>
  <si>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</si>
  <si>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</si>
  <si>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</si>
  <si>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</si>
  <si>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</si>
  <si>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</si>
  <si>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</si>
  <si>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</si>
  <si>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</si>
  <si>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</si>
  <si>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</si>
  <si>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</si>
  <si>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</si>
  <si>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</si>
  <si>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</si>
  <si>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</si>
  <si>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</si>
  <si>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</si>
  <si>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</si>
  <si>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</si>
  <si>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</si>
  <si>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</si>
  <si>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</si>
  <si>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</si>
  <si>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</si>
  <si>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</si>
  <si>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</si>
  <si>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</si>
  <si>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</si>
  <si>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</si>
  <si>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</si>
  <si>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</si>
  <si>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</si>
  <si>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</si>
  <si>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</si>
  <si>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</si>
  <si>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</si>
  <si>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</si>
  <si>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</si>
  <si>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</si>
  <si>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</si>
  <si>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</si>
  <si>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</si>
  <si>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</si>
  <si>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</si>
  <si>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</si>
  <si>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</si>
  <si>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</si>
  <si>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</si>
  <si>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</si>
  <si>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</si>
  <si>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</si>
  <si>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</si>
  <si>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</si>
  <si>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</si>
  <si>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</si>
  <si>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</si>
  <si>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</si>
  <si>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</si>
  <si>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</si>
  <si>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</si>
  <si>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</si>
  <si>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</si>
  <si>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</si>
  <si>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</si>
  <si>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</si>
  <si>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</si>
  <si>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</si>
  <si>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</si>
  <si>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</si>
  <si>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</si>
  <si>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</si>
  <si>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</si>
  <si>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</si>
  <si>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</si>
  <si>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</si>
  <si>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</si>
  <si>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</si>
  <si>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</si>
  <si>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</si>
  <si>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</si>
  <si>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</si>
  <si>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</si>
  <si>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</si>
  <si>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</si>
  <si>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</si>
  <si>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</si>
  <si>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</si>
  <si>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</si>
  <si>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</si>
  <si>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</si>
  <si>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</si>
  <si>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</si>
  <si>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</si>
  <si>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</si>
  <si>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</si>
  <si>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</si>
  <si>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</si>
  <si>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</si>
  <si>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</si>
  <si>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</si>
  <si>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</si>
  <si>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</si>
  <si>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</si>
  <si>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</si>
  <si>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</si>
  <si>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</si>
  <si>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</si>
  <si>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</si>
  <si>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</si>
  <si>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</si>
  <si>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</si>
  <si>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</si>
  <si>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</si>
  <si>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</si>
  <si>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</si>
  <si>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</si>
  <si>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</si>
  <si>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</si>
  <si>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</si>
  <si>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</si>
  <si>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</si>
  <si>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</si>
  <si>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</si>
  <si>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</si>
  <si>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</si>
  <si>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</si>
  <si>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</si>
  <si>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</si>
  <si>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</si>
  <si>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</si>
  <si>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</si>
  <si>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</si>
  <si>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</si>
  <si>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</si>
  <si>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</si>
  <si>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</si>
  <si>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</si>
  <si>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</si>
  <si>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</si>
  <si>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</si>
  <si>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</si>
  <si>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</si>
  <si>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</si>
  <si>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</si>
  <si>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</si>
  <si>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</si>
  <si>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</si>
  <si>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</si>
  <si>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</si>
  <si>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</si>
  <si>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</si>
  <si>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</si>
  <si>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</si>
  <si>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</si>
  <si>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</si>
  <si>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</si>
  <si>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</si>
  <si>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</si>
  <si>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</si>
  <si>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</si>
  <si>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</si>
  <si>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</si>
  <si>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</si>
  <si>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</si>
  <si>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</si>
  <si>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</si>
  <si>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</si>
  <si>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</si>
  <si>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</si>
  <si>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</si>
  <si>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</si>
  <si>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</si>
  <si>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</si>
  <si>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</si>
  <si>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</si>
  <si>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</si>
  <si>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</si>
  <si>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</si>
  <si>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</si>
  <si>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</si>
  <si>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</si>
  <si>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</si>
  <si>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</si>
  <si>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</si>
  <si>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</si>
  <si>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</si>
  <si>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</si>
  <si>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</si>
  <si>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</si>
  <si>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</si>
  <si>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</si>
  <si>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</si>
  <si>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</si>
  <si>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</si>
  <si>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</si>
  <si>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</si>
  <si>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</si>
  <si>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</si>
  <si>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</si>
  <si>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</si>
  <si>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</si>
  <si>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</si>
  <si>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</si>
  <si>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</si>
  <si>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</si>
  <si>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</si>
  <si>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</si>
  <si>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</si>
  <si>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</si>
  <si>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</si>
  <si>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</si>
  <si>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</si>
  <si>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</si>
  <si>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</si>
  <si>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</si>
  <si>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</si>
  <si>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</si>
  <si>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</si>
  <si>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</si>
  <si>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</si>
  <si>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</si>
  <si>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</si>
  <si>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</si>
  <si>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</si>
  <si>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</si>
  <si>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</si>
  <si>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</si>
  <si>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</si>
  <si>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</si>
  <si>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</si>
  <si>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</si>
  <si>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</si>
  <si>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</si>
  <si>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</si>
  <si>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</si>
  <si>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</si>
  <si>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</si>
  <si>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</si>
  <si>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</si>
  <si>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</si>
  <si>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</si>
  <si>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</si>
  <si>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</si>
  <si>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</si>
  <si>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</si>
  <si>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</si>
  <si>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</si>
  <si>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</si>
  <si>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</si>
  <si>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</si>
  <si>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</si>
  <si>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</si>
  <si>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</si>
  <si>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</si>
  <si>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</si>
  <si>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</si>
  <si>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</si>
  <si>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</si>
  <si>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</si>
  <si>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</si>
  <si>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</si>
  <si>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</si>
  <si>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</si>
  <si>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</si>
  <si>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</si>
  <si>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</si>
  <si>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</si>
  <si>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</si>
  <si>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</si>
  <si>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</si>
  <si>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</si>
  <si>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</si>
  <si>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</si>
  <si>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</si>
  <si>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</si>
  <si>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</si>
  <si>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</si>
  <si>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</si>
  <si>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</si>
  <si>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</si>
  <si>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</si>
  <si>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</si>
  <si>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</si>
  <si>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</si>
  <si>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</si>
  <si>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</si>
  <si>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</si>
  <si>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</si>
  <si>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</si>
  <si>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</si>
  <si>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</si>
  <si>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</si>
  <si>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</si>
  <si>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</si>
  <si>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</si>
  <si>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</si>
  <si>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</si>
  <si>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</si>
  <si>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</si>
  <si>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</si>
  <si>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</si>
  <si>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</si>
  <si>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</si>
  <si>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</si>
  <si>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</si>
  <si>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</si>
  <si>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</si>
  <si>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</si>
  <si>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</si>
  <si>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</si>
  <si>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</si>
  <si>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</si>
  <si>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</si>
  <si>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</si>
  <si>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</si>
  <si>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</si>
  <si>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</si>
  <si>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</si>
  <si>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</si>
  <si>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</si>
  <si>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</si>
  <si>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</si>
  <si>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</si>
  <si>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</si>
  <si>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</si>
  <si>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</si>
  <si>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</si>
  <si>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</si>
  <si>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</si>
  <si>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</si>
  <si>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</si>
  <si>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</si>
  <si>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</si>
  <si>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</si>
  <si>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</si>
  <si>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</si>
  <si>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</si>
  <si>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</si>
  <si>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</si>
  <si>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</si>
  <si>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</si>
  <si>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</si>
  <si>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</si>
  <si>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</si>
  <si>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</si>
  <si>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</si>
  <si>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</si>
  <si>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</si>
  <si>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</si>
  <si>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</si>
  <si>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</si>
  <si>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</si>
  <si>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</si>
  <si>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</si>
  <si>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</si>
  <si>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</si>
  <si>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</si>
  <si>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</si>
  <si>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</si>
  <si>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</si>
  <si>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</si>
  <si>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</si>
  <si>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</si>
  <si>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</si>
  <si>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</si>
  <si>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</si>
  <si>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</si>
  <si>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</si>
  <si>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</si>
  <si>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</si>
  <si>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</si>
  <si>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</si>
  <si>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</si>
  <si>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</si>
  <si>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</si>
  <si>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</si>
  <si>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</si>
  <si>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</si>
  <si>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</si>
  <si>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</si>
  <si>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</si>
  <si>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</si>
  <si>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</si>
  <si>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</si>
  <si>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</si>
  <si>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</si>
  <si>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</si>
  <si>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</si>
  <si>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</si>
  <si>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</si>
  <si>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</si>
  <si>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</si>
  <si>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</si>
  <si>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</si>
  <si>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</si>
  <si>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</si>
  <si>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</si>
  <si>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</si>
  <si>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</si>
  <si>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</si>
  <si>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</si>
  <si>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</si>
  <si>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</si>
  <si>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</si>
  <si>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</si>
  <si>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</si>
  <si>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</si>
  <si>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</si>
  <si>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</si>
  <si>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</si>
  <si>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</si>
  <si>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</si>
  <si>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</si>
  <si>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</si>
  <si>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</si>
  <si>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</si>
  <si>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</si>
  <si>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</si>
  <si>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</si>
  <si>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</si>
  <si>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</si>
  <si>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</si>
  <si>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</si>
  <si>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</si>
  <si>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</si>
  <si>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</si>
  <si>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</si>
  <si>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</si>
  <si>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</si>
  <si>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</si>
  <si>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</si>
  <si>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</si>
  <si>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</si>
  <si>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</si>
  <si>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</si>
  <si>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</si>
  <si>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</si>
  <si>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</si>
  <si>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</si>
  <si>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</si>
  <si>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</si>
  <si>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</si>
  <si>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</si>
  <si>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</si>
  <si>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</si>
  <si>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</si>
  <si>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</si>
  <si>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</si>
  <si>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</si>
  <si>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</si>
  <si>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</si>
  <si>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</si>
  <si>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</si>
  <si>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</si>
  <si>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</si>
  <si>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</si>
  <si>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</si>
  <si>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</si>
  <si>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</si>
  <si>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</si>
  <si>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</si>
  <si>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</si>
  <si>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</si>
  <si>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</si>
  <si>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</si>
  <si>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</si>
  <si>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</si>
  <si>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</si>
  <si>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</si>
  <si>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</si>
  <si>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</si>
  <si>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</si>
  <si>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</si>
  <si>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</si>
  <si>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</si>
  <si>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</si>
  <si>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</si>
  <si>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</si>
  <si>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</si>
  <si>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</si>
  <si>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</si>
  <si>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</si>
  <si>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</si>
  <si>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</si>
  <si>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</si>
  <si>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</si>
  <si>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</si>
  <si>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</si>
  <si>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</si>
  <si>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</si>
  <si>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</si>
  <si>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</si>
  <si>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</si>
  <si>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</si>
  <si>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</si>
  <si>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</si>
  <si>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</si>
  <si>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</si>
  <si>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</si>
  <si>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</si>
  <si>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</si>
  <si>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</si>
  <si>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</si>
  <si>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</si>
  <si>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</si>
  <si>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</si>
  <si>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</si>
  <si>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</si>
  <si>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</si>
  <si>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</si>
  <si>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</si>
  <si>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</si>
  <si>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</si>
  <si>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</si>
  <si>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</si>
  <si>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</si>
  <si>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</si>
  <si>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</si>
  <si>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</si>
  <si>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</si>
  <si>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</si>
  <si>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</si>
  <si>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</si>
  <si>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</si>
  <si>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</si>
  <si>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</si>
  <si>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</si>
  <si>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</si>
  <si>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</si>
  <si>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</si>
  <si>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</si>
  <si>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</si>
  <si>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</si>
  <si>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</si>
  <si>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</si>
  <si>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</si>
  <si>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</si>
  <si>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</si>
  <si>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</si>
  <si>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</si>
  <si>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</si>
  <si>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</si>
  <si>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</si>
  <si>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</si>
  <si>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</si>
  <si>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</si>
  <si>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</si>
  <si>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</si>
  <si>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</si>
  <si>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</si>
  <si>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</si>
  <si>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</si>
  <si>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</si>
  <si>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</si>
  <si>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</si>
  <si>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</si>
  <si>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</si>
  <si>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</si>
  <si>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</si>
  <si>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</si>
  <si>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</si>
  <si>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</si>
  <si>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</si>
  <si>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</si>
  <si>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</si>
  <si>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</si>
  <si>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</si>
  <si>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</si>
  <si>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</si>
  <si>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</si>
  <si>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</si>
  <si>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</si>
  <si>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</si>
  <si>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</si>
  <si>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</si>
  <si>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</si>
  <si>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</si>
  <si>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</si>
  <si>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</si>
  <si>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</si>
  <si>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</si>
  <si>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</si>
  <si>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</si>
  <si>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</si>
  <si>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</si>
  <si>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</si>
  <si>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</si>
  <si>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</si>
  <si>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</si>
  <si>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</si>
  <si>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</si>
  <si>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</si>
  <si>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</si>
  <si>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</si>
  <si>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</si>
  <si>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</si>
  <si>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</si>
  <si>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</si>
  <si>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</si>
  <si>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</si>
  <si>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</si>
  <si>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</si>
  <si>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</si>
  <si>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</si>
  <si>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</si>
  <si>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</si>
  <si>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</si>
  <si>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</si>
  <si>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</si>
  <si>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</si>
  <si>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</si>
  <si>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</si>
  <si>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</si>
  <si>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</si>
  <si>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</si>
  <si>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</si>
  <si>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</si>
  <si>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</si>
  <si>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</si>
  <si>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</si>
  <si>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</si>
  <si>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</si>
  <si>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</si>
  <si>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</si>
  <si>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</si>
  <si>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</si>
  <si>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</si>
  <si>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</si>
  <si>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</si>
  <si>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</si>
  <si>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</si>
  <si>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</si>
  <si>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</si>
  <si>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</si>
  <si>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</si>
  <si>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</si>
  <si>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</si>
  <si>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</si>
  <si>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</si>
  <si>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</si>
  <si>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</si>
  <si>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</si>
  <si>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</si>
  <si>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</si>
  <si>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</si>
  <si>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</si>
  <si>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</si>
  <si>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</si>
  <si>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</si>
  <si>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</si>
  <si>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</si>
  <si>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</si>
  <si>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</si>
  <si>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</si>
  <si>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</si>
  <si>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</si>
  <si>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</si>
  <si>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</si>
  <si>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</si>
  <si>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</si>
  <si>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</si>
  <si>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</si>
  <si>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</si>
  <si>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</si>
  <si>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</si>
  <si>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</si>
  <si>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</si>
  <si>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</si>
  <si>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</si>
  <si>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</si>
  <si>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</si>
  <si>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</si>
  <si>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</si>
  <si>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</si>
  <si>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</si>
  <si>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</si>
  <si>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</si>
  <si>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</si>
  <si>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</si>
  <si>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</si>
  <si>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</si>
  <si>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</si>
  <si>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</si>
  <si>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</si>
  <si>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</si>
  <si>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</si>
  <si>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</si>
  <si>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</si>
  <si>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</si>
  <si>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</si>
  <si>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</si>
  <si>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</si>
  <si>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</si>
  <si>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</si>
  <si>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</si>
  <si>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</si>
  <si>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</si>
  <si>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</si>
  <si>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</si>
  <si>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</si>
  <si>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</si>
  <si>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</si>
  <si>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</si>
  <si>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</si>
  <si>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</si>
  <si>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</si>
  <si>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</si>
  <si>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</si>
  <si>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</si>
  <si>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</si>
  <si>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</si>
  <si>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</si>
  <si>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</si>
  <si>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</si>
  <si>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</si>
  <si>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</si>
  <si>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</si>
  <si>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</si>
  <si>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</si>
  <si>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</si>
  <si>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</si>
  <si>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</si>
  <si>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</si>
  <si>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</si>
  <si>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</si>
  <si>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</si>
  <si>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</si>
  <si>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</si>
  <si>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</si>
  <si>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</si>
  <si>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</si>
  <si>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</si>
  <si>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</si>
  <si>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</si>
  <si>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</si>
  <si>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</si>
  <si>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</si>
  <si>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</si>
  <si>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</si>
  <si>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</si>
  <si>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</si>
  <si>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</si>
  <si>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</si>
  <si>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</si>
  <si>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</si>
  <si>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</si>
  <si>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</si>
  <si>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</si>
  <si>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</si>
  <si>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</si>
  <si>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</si>
  <si>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</si>
  <si>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</si>
  <si>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</si>
  <si>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</si>
  <si>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</si>
  <si>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</si>
  <si>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</si>
  <si>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</si>
  <si>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</si>
  <si>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</si>
  <si>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</si>
  <si>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</si>
  <si>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</si>
  <si>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</si>
  <si>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</si>
  <si>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</si>
  <si>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</si>
  <si>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</si>
  <si>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</si>
  <si>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</si>
  <si>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</si>
  <si>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</si>
  <si>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</si>
  <si>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</si>
  <si>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</si>
  <si>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</si>
  <si>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</si>
  <si>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</si>
  <si>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</si>
  <si>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</si>
  <si>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</si>
  <si>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</si>
  <si>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</si>
  <si>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</si>
  <si>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</si>
  <si>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</si>
  <si>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</si>
  <si>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</si>
  <si>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</si>
  <si>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</si>
  <si>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</si>
  <si>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</si>
  <si>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</si>
  <si>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</si>
  <si>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</si>
  <si>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</si>
  <si>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</si>
  <si>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</si>
  <si>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</si>
  <si>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</si>
  <si>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</si>
  <si>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</si>
  <si>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</si>
  <si>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</si>
  <si>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</si>
  <si>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</si>
  <si>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</si>
  <si>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</si>
  <si>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</si>
  <si>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</si>
  <si>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</si>
  <si>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</si>
  <si>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</si>
  <si>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</si>
  <si>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</si>
  <si>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</si>
  <si>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</si>
  <si>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</si>
  <si>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</si>
  <si>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</si>
  <si>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</si>
  <si>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</si>
  <si>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</si>
  <si>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</si>
  <si>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</si>
  <si>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</si>
  <si>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</si>
  <si>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</si>
  <si>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</si>
  <si>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</si>
  <si>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</si>
  <si>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</si>
  <si>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</si>
  <si>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</si>
  <si>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</si>
  <si>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</si>
  <si>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</si>
  <si>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</si>
  <si>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</si>
  <si>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</si>
  <si>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</si>
  <si>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</si>
  <si>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</si>
  <si>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</si>
  <si>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</si>
  <si>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</si>
  <si>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</si>
  <si>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</si>
  <si>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</si>
  <si>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</si>
  <si>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</si>
  <si>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</si>
  <si>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</si>
  <si>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</si>
  <si>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</si>
  <si>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</si>
  <si>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</si>
  <si>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</si>
  <si>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</si>
  <si>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</si>
  <si>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</si>
  <si>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</si>
  <si>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</si>
  <si>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</si>
  <si>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</si>
  <si>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</si>
  <si>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</si>
  <si>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</si>
  <si>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</si>
  <si>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</si>
  <si>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</si>
  <si>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</si>
  <si>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</si>
  <si>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</si>
  <si>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</si>
  <si>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</si>
  <si>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</si>
  <si>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</si>
  <si>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</si>
  <si>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</si>
  <si>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</si>
  <si>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</si>
  <si>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</si>
  <si>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</si>
  <si>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</si>
  <si>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</si>
  <si>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</si>
  <si>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</si>
  <si>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</si>
  <si>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</si>
  <si>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</si>
  <si>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</si>
  <si>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</si>
  <si>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</si>
  <si>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</si>
  <si>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</si>
  <si>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</si>
  <si>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</si>
  <si>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</si>
  <si>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</si>
  <si>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</si>
  <si>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</si>
  <si>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</si>
  <si>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</si>
  <si>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</si>
  <si>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</si>
  <si>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</si>
  <si>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</si>
  <si>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</si>
  <si>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</si>
  <si>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</si>
  <si>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</si>
  <si>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</si>
  <si>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</si>
  <si>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</si>
  <si>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</si>
  <si>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</si>
  <si>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</si>
  <si>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</si>
  <si>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</si>
  <si>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</si>
  <si>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</si>
  <si>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</si>
  <si>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</si>
  <si>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</si>
  <si>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</si>
  <si>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</si>
  <si>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</si>
  <si>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</si>
  <si>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</si>
  <si>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</si>
  <si>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</si>
  <si>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</si>
  <si>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</si>
  <si>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</si>
  <si>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</si>
  <si>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</si>
  <si>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</si>
  <si>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</si>
  <si>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</si>
  <si>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</si>
  <si>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</si>
  <si>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</si>
  <si>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</si>
  <si>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</si>
  <si>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</si>
  <si>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</si>
  <si>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</si>
  <si>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</si>
  <si>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</si>
  <si>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</si>
  <si>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</si>
  <si>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</si>
  <si>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</si>
  <si>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</si>
  <si>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</si>
  <si>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</si>
  <si>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</si>
  <si>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</si>
  <si>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</si>
  <si>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</si>
  <si>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</si>
  <si>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</si>
  <si>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</si>
  <si>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</si>
  <si>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</si>
  <si>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</si>
  <si>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</si>
  <si>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</si>
  <si>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</si>
  <si>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</si>
  <si>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</si>
  <si>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</si>
  <si>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</si>
  <si>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</si>
  <si>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</si>
  <si>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</si>
  <si>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</si>
  <si>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</si>
  <si>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</si>
  <si>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</si>
  <si>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</si>
  <si>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</si>
  <si>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</si>
  <si>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</si>
  <si>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</si>
  <si>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</si>
  <si>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</si>
  <si>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</si>
  <si>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</si>
  <si>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</si>
  <si>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</si>
  <si>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</si>
  <si>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</si>
  <si>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</si>
  <si>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</si>
  <si>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</si>
  <si>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</si>
  <si>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</si>
  <si>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</si>
  <si>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</si>
  <si>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</si>
  <si>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</si>
  <si>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</si>
  <si>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</si>
  <si>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</si>
  <si>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</si>
  <si>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</si>
  <si>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</si>
  <si>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</si>
  <si>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</si>
  <si>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</si>
  <si>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</si>
  <si>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</si>
  <si>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</si>
  <si>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</si>
  <si>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</si>
  <si>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</si>
  <si>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</si>
  <si>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</si>
  <si>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</si>
  <si>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</si>
  <si>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</si>
  <si>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</si>
  <si>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</si>
  <si>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</si>
  <si>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</si>
  <si>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</si>
  <si>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</si>
  <si>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</si>
  <si>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</si>
  <si>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</si>
  <si>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</si>
  <si>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</si>
  <si>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</si>
  <si>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</si>
  <si>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</si>
  <si>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</si>
  <si>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</si>
  <si>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</si>
  <si>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</si>
  <si>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</si>
  <si>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</si>
  <si>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</si>
  <si>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</si>
  <si>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</si>
  <si>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</si>
  <si>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</si>
  <si>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</si>
  <si>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</si>
  <si>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</si>
  <si>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</si>
  <si>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</si>
  <si>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</si>
  <si>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</si>
  <si>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</si>
  <si>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</si>
  <si>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</si>
  <si>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</si>
  <si>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</si>
  <si>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</si>
  <si>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</si>
  <si>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</si>
  <si>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</si>
  <si>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</si>
  <si>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</si>
  <si>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</si>
  <si>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</si>
  <si>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</si>
  <si>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</si>
  <si>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</si>
  <si>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</si>
  <si>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</si>
  <si>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</si>
  <si>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</si>
  <si>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</si>
  <si>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</si>
  <si>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</si>
  <si>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</si>
  <si>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</si>
  <si>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</si>
  <si>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</si>
  <si>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</si>
  <si>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</si>
  <si>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</si>
  <si>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</si>
  <si>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</si>
  <si>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</si>
  <si>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</si>
  <si>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</si>
  <si>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</si>
  <si>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</si>
  <si>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</si>
  <si>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</si>
  <si>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</si>
  <si>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</si>
  <si>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</si>
  <si>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</si>
  <si>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</si>
  <si>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</si>
  <si>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</si>
  <si>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</si>
  <si>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</si>
  <si>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</si>
  <si>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</si>
  <si>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</si>
  <si>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</si>
  <si>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</si>
  <si>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</si>
  <si>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</si>
  <si>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</si>
  <si>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</si>
  <si>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</si>
  <si>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</si>
  <si>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</si>
  <si>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</si>
  <si>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</si>
  <si>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</si>
  <si>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</si>
  <si>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</si>
  <si>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</si>
  <si>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</si>
  <si>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</si>
  <si>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</si>
  <si>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</si>
  <si>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</si>
  <si>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</si>
  <si>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</si>
  <si>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</si>
  <si>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</si>
  <si>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</si>
  <si>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</si>
  <si>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</si>
  <si>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</si>
  <si>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</si>
  <si>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</si>
  <si>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</si>
  <si>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</si>
  <si>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</si>
  <si>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</si>
  <si>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</si>
  <si>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</si>
  <si>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</si>
  <si>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</si>
  <si>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</si>
  <si>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</si>
  <si>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</si>
  <si>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</si>
  <si>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</si>
  <si>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</si>
  <si>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</si>
  <si>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</si>
  <si>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</si>
  <si>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</si>
  <si>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</si>
  <si>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</si>
  <si>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</si>
  <si>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</si>
  <si>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</si>
  <si>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</si>
  <si>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</si>
  <si>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</si>
  <si>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</si>
  <si>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</si>
  <si>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</si>
  <si>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</si>
  <si>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</si>
  <si>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</si>
  <si>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</si>
  <si>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</si>
  <si>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</si>
  <si>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</si>
  <si>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</si>
  <si>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</si>
  <si>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</si>
  <si>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</si>
  <si>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</si>
  <si>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</si>
  <si>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</si>
  <si>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</si>
  <si>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</si>
  <si>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</si>
  <si>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</si>
  <si>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</si>
  <si>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</si>
  <si>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</si>
  <si>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</si>
  <si>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</si>
  <si>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</si>
  <si>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</si>
  <si>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</si>
  <si>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</si>
  <si>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</si>
  <si>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</si>
  <si>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</si>
  <si>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</si>
  <si>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</si>
  <si>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</si>
  <si>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</si>
  <si>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</si>
  <si>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</si>
  <si>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</si>
  <si>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</si>
  <si>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</si>
  <si>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</si>
  <si>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</si>
  <si>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</si>
  <si>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</si>
  <si>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</si>
  <si>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</si>
  <si>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</si>
  <si>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</si>
  <si>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</si>
  <si>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</si>
  <si>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</si>
  <si>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</si>
  <si>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</si>
  <si>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</si>
  <si>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</si>
  <si>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</si>
  <si>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</si>
  <si>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</si>
  <si>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</si>
  <si>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</si>
  <si>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</si>
  <si>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</si>
  <si>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</si>
  <si>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</si>
  <si>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</si>
  <si>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</si>
  <si>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</si>
  <si>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</si>
  <si>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</si>
  <si>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</si>
  <si>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</si>
  <si>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</si>
  <si>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</si>
  <si>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</si>
  <si>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</si>
  <si>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</si>
  <si>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</si>
  <si>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</si>
  <si>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</si>
  <si>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</si>
  <si>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</si>
  <si>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</si>
  <si>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</si>
  <si>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</si>
  <si>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</si>
  <si>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</si>
  <si>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</si>
  <si>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</si>
  <si>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</si>
  <si>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</si>
  <si>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</si>
  <si>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</si>
  <si>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</si>
  <si>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</si>
  <si>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</si>
  <si>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</si>
  <si>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</si>
  <si>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</si>
  <si>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</si>
  <si>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</si>
  <si>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</si>
  <si>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</si>
  <si>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</si>
  <si>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</si>
  <si>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</si>
  <si>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</si>
  <si>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</si>
  <si>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</si>
  <si>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</si>
  <si>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</si>
  <si>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</si>
  <si>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</si>
  <si>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</si>
  <si>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</si>
  <si>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</si>
  <si>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</si>
  <si>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</si>
  <si>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</si>
  <si>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</si>
  <si>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</si>
  <si>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</si>
  <si>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</si>
  <si>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</si>
  <si>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</si>
  <si>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</si>
  <si>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</si>
  <si>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</si>
  <si>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</si>
  <si>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</si>
  <si>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</si>
  <si>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</si>
  <si>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</si>
  <si>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</si>
  <si>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</si>
  <si>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</si>
  <si>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</si>
  <si>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</si>
  <si>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</si>
  <si>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</si>
  <si>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</si>
  <si>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</si>
  <si>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</si>
  <si>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</si>
  <si>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</si>
  <si>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</si>
  <si>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</si>
  <si>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</si>
  <si>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</si>
  <si>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</si>
  <si>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</si>
  <si>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</si>
  <si>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</si>
  <si>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</si>
  <si>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</si>
  <si>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</si>
  <si>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</si>
  <si>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</si>
  <si>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</si>
  <si>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</si>
  <si>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</si>
  <si>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</si>
  <si>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</si>
  <si>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</si>
  <si>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</si>
  <si>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</si>
  <si>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</si>
  <si>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</si>
  <si>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</si>
  <si>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</si>
  <si>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</si>
  <si>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</si>
  <si>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</si>
  <si>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</si>
  <si>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</si>
  <si>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</si>
  <si>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</si>
  <si>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</si>
  <si>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</si>
  <si>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</si>
  <si>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</si>
  <si>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</si>
  <si>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</si>
  <si>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</si>
  <si>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</si>
  <si>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</si>
  <si>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</si>
  <si>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</si>
  <si>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</si>
  <si>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</si>
  <si>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</si>
  <si>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</si>
  <si>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</si>
  <si>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</si>
  <si>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</si>
  <si>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</si>
  <si>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</si>
  <si>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</si>
  <si>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</si>
  <si>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</si>
  <si>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</si>
  <si>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</si>
  <si>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</si>
  <si>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</si>
  <si>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</si>
  <si>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</si>
  <si>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</si>
  <si>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</si>
  <si>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</si>
  <si>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</si>
  <si>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</si>
  <si>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</si>
  <si>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</si>
  <si>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</si>
  <si>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</si>
  <si>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</si>
  <si>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</si>
  <si>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</si>
  <si>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</si>
  <si>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</si>
  <si>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</si>
  <si>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</si>
  <si>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</si>
  <si>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</si>
  <si>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</si>
  <si>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</si>
  <si>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</si>
  <si>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</si>
  <si>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</si>
  <si>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</si>
  <si>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</si>
  <si>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</si>
  <si>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</si>
  <si>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</si>
  <si>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</si>
  <si>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</si>
  <si>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</si>
  <si>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</si>
  <si>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</si>
  <si>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</si>
  <si>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</si>
  <si>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</si>
  <si>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</si>
  <si>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</si>
  <si>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</si>
  <si>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</si>
  <si>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</si>
  <si>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</si>
  <si>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</si>
  <si>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</si>
  <si>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</si>
  <si>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</si>
  <si>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</si>
  <si>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</si>
  <si>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</si>
  <si>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</si>
  <si>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</si>
  <si>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</si>
  <si>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</si>
  <si>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</si>
  <si>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</si>
  <si>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</si>
  <si>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</si>
  <si>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</si>
  <si>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</si>
  <si>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</si>
  <si>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</si>
  <si>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</si>
  <si>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</si>
  <si>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</si>
  <si>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</si>
  <si>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</si>
  <si>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</si>
  <si>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</si>
  <si>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</si>
  <si>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</si>
  <si>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</si>
  <si>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</si>
  <si>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</si>
  <si>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</si>
  <si>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</si>
  <si>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</si>
  <si>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</si>
  <si>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</si>
  <si>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</si>
  <si>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</si>
  <si>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</si>
  <si>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</si>
  <si>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</si>
  <si>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</si>
  <si>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</si>
  <si>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</si>
  <si>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</si>
  <si>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</si>
  <si>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</si>
  <si>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</si>
  <si>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</si>
  <si>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</si>
  <si>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</si>
  <si>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</si>
  <si>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</si>
  <si>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</si>
  <si>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</si>
  <si>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</si>
  <si>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</si>
  <si>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</si>
  <si>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</si>
  <si>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</si>
  <si>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</si>
  <si>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</si>
  <si>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</si>
  <si>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</si>
  <si>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</si>
  <si>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</si>
  <si>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</si>
  <si>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</si>
  <si>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</si>
  <si>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</si>
  <si>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</si>
  <si>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</si>
  <si>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</si>
  <si>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</si>
  <si>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</si>
  <si>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</si>
  <si>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</si>
  <si>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</si>
  <si>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</si>
  <si>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</si>
  <si>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</si>
  <si>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</si>
  <si>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</si>
  <si>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</si>
  <si>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</si>
  <si>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</si>
  <si>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</si>
  <si>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</si>
  <si>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</si>
  <si>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</si>
  <si>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</si>
  <si>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</si>
  <si>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</si>
  <si>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</si>
  <si>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</si>
  <si>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</si>
  <si>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</si>
  <si>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</si>
  <si>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</si>
  <si>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</si>
  <si>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</si>
  <si>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</si>
  <si>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</si>
  <si>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</si>
  <si>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</si>
  <si>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</si>
  <si>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</si>
  <si>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</si>
  <si>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</si>
  <si>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</si>
  <si>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</si>
  <si>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</si>
  <si>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</si>
  <si>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</si>
  <si>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</si>
  <si>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</si>
  <si>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</si>
  <si>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</si>
  <si>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</si>
  <si>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</si>
  <si>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</si>
  <si>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</si>
  <si>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</si>
  <si>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</si>
  <si>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</si>
  <si>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</si>
  <si>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</si>
  <si>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</si>
  <si>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</si>
  <si>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</si>
  <si>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</si>
  <si>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</si>
  <si>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</si>
  <si>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</si>
  <si>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</si>
  <si>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</si>
  <si>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</si>
  <si>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</si>
  <si>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</si>
  <si>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</si>
  <si>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</si>
  <si>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</si>
  <si>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</si>
  <si>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</si>
  <si>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</si>
  <si>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</si>
  <si>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</si>
  <si>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</si>
  <si>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</si>
  <si>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</si>
  <si>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</si>
  <si>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</si>
  <si>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</si>
  <si>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</si>
  <si>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</si>
  <si>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</si>
  <si>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</si>
  <si>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</si>
  <si>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</si>
  <si>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</si>
  <si>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</si>
  <si>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</si>
  <si>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</si>
  <si>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</si>
  <si>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</si>
  <si>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</si>
  <si>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</si>
  <si>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</si>
  <si>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</si>
  <si>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</si>
  <si>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</si>
  <si>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</si>
  <si>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</si>
  <si>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</si>
  <si>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</si>
  <si>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</si>
  <si>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</si>
  <si>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</si>
  <si>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</si>
  <si>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</si>
  <si>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</si>
  <si>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</si>
  <si>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</si>
  <si>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</si>
  <si>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</si>
  <si>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</si>
  <si>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</si>
  <si>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</si>
  <si>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</si>
  <si>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</si>
  <si>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</si>
  <si>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</si>
  <si>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</si>
  <si>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</si>
  <si>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</si>
  <si>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</si>
  <si>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</si>
  <si>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</si>
  <si>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</si>
  <si>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</si>
  <si>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</si>
  <si>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</si>
  <si>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</si>
  <si>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</si>
  <si>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</si>
  <si>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</si>
  <si>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</si>
  <si>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</si>
  <si>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</si>
  <si>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</si>
  <si>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</si>
  <si>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</si>
  <si>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</si>
  <si>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</si>
  <si>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</si>
  <si>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</si>
  <si>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</si>
  <si>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</si>
  <si>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</si>
  <si>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</si>
  <si>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</si>
  <si>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</si>
  <si>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</si>
  <si>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</si>
  <si>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</si>
  <si>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</si>
  <si>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</si>
  <si>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</si>
  <si>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</si>
  <si>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</si>
  <si>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</si>
  <si>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</si>
  <si>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</si>
  <si>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</si>
  <si>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</si>
  <si>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</si>
  <si>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</si>
  <si>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</si>
  <si>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</si>
  <si>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</si>
  <si>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</si>
  <si>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</si>
  <si>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</si>
  <si>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</si>
  <si>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</si>
  <si>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</si>
  <si>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</si>
  <si>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</si>
  <si>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</si>
  <si>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</si>
  <si>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</si>
  <si>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</si>
  <si>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</si>
  <si>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</si>
  <si>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</si>
  <si>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</si>
  <si>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</si>
  <si>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</si>
  <si>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</si>
  <si>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</si>
  <si>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</si>
  <si>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</si>
  <si>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</si>
  <si>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</si>
  <si>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</si>
  <si>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</si>
  <si>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</si>
  <si>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</si>
  <si>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</si>
  <si>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</si>
  <si>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</si>
  <si>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</si>
  <si>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</si>
  <si>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</si>
  <si>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</si>
  <si>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</si>
  <si>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</si>
  <si>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</si>
  <si>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</si>
  <si>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</si>
  <si>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</si>
  <si>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</si>
  <si>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</si>
  <si>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</si>
  <si>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</si>
  <si>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</si>
  <si>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</si>
  <si>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</si>
  <si>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</si>
  <si>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</si>
  <si>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</si>
  <si>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</si>
  <si>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</si>
  <si>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</si>
  <si>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</si>
  <si>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</si>
  <si>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</si>
  <si>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</si>
  <si>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</si>
  <si>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</si>
  <si>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</si>
  <si>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</si>
  <si>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</si>
  <si>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</si>
  <si>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</si>
  <si>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</si>
  <si>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</si>
  <si>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</si>
  <si>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</si>
  <si>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</si>
  <si>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</si>
  <si>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</si>
  <si>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</si>
  <si>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</si>
  <si>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</si>
  <si>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</si>
  <si>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</si>
  <si>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</si>
  <si>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</si>
  <si>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</si>
  <si>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</si>
  <si>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</si>
  <si>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</si>
  <si>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</si>
  <si>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</si>
  <si>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</si>
  <si>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</si>
  <si>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</si>
  <si>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</si>
  <si>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</si>
  <si>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</si>
  <si>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</si>
  <si>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</si>
  <si>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</si>
  <si>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</si>
  <si>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</si>
  <si>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</si>
  <si>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</si>
  <si>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</si>
  <si>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</si>
  <si>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</si>
  <si>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</si>
  <si>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</si>
  <si>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</si>
  <si>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</si>
  <si>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</si>
  <si>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</si>
  <si>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</si>
  <si>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</si>
  <si>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</si>
  <si>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</si>
  <si>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</si>
  <si>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</si>
  <si>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</si>
  <si>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</si>
  <si>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</si>
  <si>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</si>
  <si>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</si>
  <si>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</si>
  <si>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</si>
  <si>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</si>
  <si>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</si>
  <si>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</si>
  <si>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</si>
  <si>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</si>
  <si>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</si>
  <si>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</si>
  <si>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</si>
  <si>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</si>
  <si>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</si>
  <si>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</si>
  <si>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</si>
  <si>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</si>
  <si>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</si>
  <si>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</si>
  <si>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</si>
  <si>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</si>
  <si>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</si>
  <si>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</si>
  <si>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</si>
  <si>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</si>
  <si>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</si>
  <si>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</si>
  <si>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</si>
  <si>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</si>
  <si>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</si>
  <si>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</si>
  <si>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</si>
  <si>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</si>
  <si>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</si>
  <si>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</si>
  <si>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</si>
  <si>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</si>
  <si>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</si>
  <si>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</si>
  <si>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</si>
  <si>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</si>
  <si>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</si>
  <si>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</si>
  <si>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</si>
  <si>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</si>
  <si>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</si>
  <si>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</si>
  <si>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</si>
  <si>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</si>
  <si>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</si>
  <si>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</si>
  <si>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</si>
  <si>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</si>
  <si>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</si>
  <si>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</si>
  <si>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</si>
  <si>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</si>
  <si>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</si>
  <si>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</si>
  <si>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</si>
  <si>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</si>
  <si>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</si>
  <si>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</si>
  <si>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</si>
  <si>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</si>
  <si>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</si>
  <si>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</si>
  <si>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</si>
  <si>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</si>
  <si>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</si>
  <si>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</si>
  <si>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</si>
  <si>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</si>
  <si>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</si>
  <si>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</si>
  <si>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</si>
  <si>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</si>
  <si>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</si>
  <si>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</si>
  <si>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</si>
  <si>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</si>
  <si>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</si>
  <si>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</si>
  <si>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</si>
  <si>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</si>
  <si>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</si>
  <si>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</si>
  <si>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</si>
  <si>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</si>
  <si>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</si>
  <si>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</si>
  <si>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</si>
  <si>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</si>
  <si>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</si>
  <si>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</si>
  <si>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</si>
  <si>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</si>
  <si>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</si>
  <si>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</si>
  <si>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</si>
  <si>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</si>
  <si>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</si>
  <si>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</si>
  <si>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</si>
  <si>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</si>
  <si>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</si>
  <si>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</si>
  <si>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</si>
  <si>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</si>
  <si>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</si>
  <si>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</si>
  <si>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</si>
  <si>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</si>
  <si>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</si>
  <si>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</si>
  <si>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</si>
  <si>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</si>
  <si>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</si>
  <si>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</si>
  <si>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</si>
  <si>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</si>
  <si>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</si>
  <si>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</si>
  <si>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</si>
  <si>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</si>
  <si>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</si>
  <si>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</si>
  <si>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</si>
  <si>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</si>
  <si>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</si>
  <si>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</si>
  <si>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</si>
  <si>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</si>
  <si>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</si>
  <si>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</si>
  <si>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</si>
  <si>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</si>
  <si>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</si>
  <si>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</si>
  <si>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</si>
  <si>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</si>
  <si>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</si>
  <si>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</si>
  <si>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</si>
  <si>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</si>
  <si>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</si>
  <si>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</si>
  <si>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</si>
  <si>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</si>
  <si>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</si>
  <si>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</si>
  <si>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</si>
  <si>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</si>
  <si>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</si>
  <si>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</si>
  <si>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</si>
  <si>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</si>
  <si>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</si>
  <si>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</si>
  <si>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</si>
  <si>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</si>
  <si>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</si>
  <si>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</si>
  <si>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</si>
  <si>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</si>
  <si>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</si>
  <si>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</si>
  <si>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</si>
  <si>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</si>
  <si>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</si>
  <si>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</si>
  <si>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</si>
  <si>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</si>
  <si>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</si>
  <si>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</si>
  <si>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</si>
  <si>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</si>
  <si>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</si>
  <si>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</si>
  <si>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</si>
  <si>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</si>
  <si>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</si>
  <si>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</si>
  <si>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</si>
  <si>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</si>
  <si>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</si>
  <si>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</si>
  <si>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</si>
  <si>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</si>
  <si>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</si>
  <si>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</si>
  <si>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</si>
  <si>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</si>
  <si>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</si>
  <si>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</si>
  <si>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</si>
  <si>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</si>
  <si>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</si>
  <si>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</si>
  <si>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</si>
  <si>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</si>
  <si>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</si>
  <si>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</si>
  <si>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</si>
  <si>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</si>
  <si>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</si>
  <si>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</si>
  <si>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</si>
  <si>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</si>
  <si>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</si>
  <si>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</si>
  <si>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</si>
  <si>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</si>
  <si>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</si>
  <si>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</si>
  <si>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</si>
  <si>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</si>
  <si>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</si>
  <si>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</si>
  <si>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</si>
  <si>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</si>
  <si>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</si>
  <si>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</si>
  <si>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</si>
  <si>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</si>
  <si>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</si>
  <si>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</si>
  <si>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</si>
  <si>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</si>
  <si>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</si>
  <si>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</si>
  <si>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</si>
  <si>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</si>
  <si>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</si>
  <si>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</si>
  <si>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</si>
  <si>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</si>
  <si>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</si>
  <si>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</si>
  <si>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</si>
  <si>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</si>
  <si>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</si>
  <si>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</si>
  <si>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</si>
  <si>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</si>
  <si>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</si>
  <si>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</si>
  <si>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</si>
  <si>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</si>
  <si>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</si>
  <si>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</si>
  <si>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</si>
  <si>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</si>
  <si>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</si>
  <si>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</si>
  <si>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</si>
  <si>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</si>
  <si>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</si>
  <si>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</si>
  <si>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</si>
  <si>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</si>
  <si>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</si>
  <si>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</si>
  <si>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</si>
  <si>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</si>
  <si>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</si>
  <si>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</si>
  <si>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</si>
  <si>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</si>
  <si>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</si>
  <si>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</si>
  <si>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</si>
  <si>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</si>
  <si>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</si>
  <si>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</si>
  <si>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</si>
  <si>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</si>
  <si>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</si>
  <si>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</si>
  <si>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</si>
  <si>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</si>
  <si>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</si>
  <si>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</si>
  <si>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</si>
  <si>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</si>
  <si>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</si>
  <si>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</si>
  <si>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</si>
  <si>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</si>
  <si>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</si>
  <si>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</si>
  <si>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</si>
  <si>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</si>
  <si>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</si>
  <si>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</si>
  <si>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</si>
  <si>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</si>
  <si>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</si>
  <si>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</si>
  <si>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</si>
  <si>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</si>
  <si>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</si>
  <si>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</si>
  <si>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</si>
  <si>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</si>
  <si>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</si>
  <si>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</si>
  <si>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</si>
  <si>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</si>
  <si>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</si>
  <si>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</si>
  <si>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</si>
  <si>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</si>
  <si>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</si>
  <si>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</si>
  <si>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</si>
  <si>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</si>
  <si>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</si>
  <si>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</si>
  <si>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</si>
  <si>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</si>
  <si>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</si>
  <si>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</si>
  <si>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</si>
  <si>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</si>
  <si>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</si>
  <si>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</si>
  <si>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</si>
  <si>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</si>
  <si>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</si>
  <si>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</si>
  <si>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</si>
  <si>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</si>
  <si>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</si>
  <si>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</si>
  <si>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</si>
  <si>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</si>
  <si>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</si>
  <si>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</si>
  <si>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</si>
  <si>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</si>
  <si>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</si>
  <si>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</si>
  <si>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</si>
  <si>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</si>
  <si>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</si>
  <si>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</si>
  <si>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</si>
  <si>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</si>
  <si>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</si>
  <si>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</si>
  <si>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</si>
  <si>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</si>
  <si>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</si>
  <si>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</si>
  <si>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</si>
  <si>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</si>
  <si>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</si>
  <si>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</si>
  <si>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</si>
  <si>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</si>
  <si>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</si>
  <si>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</si>
  <si>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</si>
  <si>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</si>
  <si>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</si>
  <si>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</si>
  <si>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</si>
  <si>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</si>
  <si>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</si>
  <si>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</si>
  <si>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</si>
  <si>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</si>
  <si>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</si>
  <si>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</si>
  <si>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</si>
  <si>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</si>
  <si>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</si>
  <si>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</si>
  <si>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</si>
  <si>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</si>
  <si>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</si>
  <si>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</si>
  <si>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</si>
  <si>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</si>
  <si>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</si>
  <si>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</si>
  <si>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</si>
  <si>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</si>
  <si>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</si>
  <si>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</si>
  <si>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</si>
  <si>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</si>
  <si>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</si>
  <si>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</si>
  <si>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</si>
  <si>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</si>
  <si>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</si>
  <si>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</si>
  <si>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</si>
  <si>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</si>
  <si>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</si>
  <si>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</si>
  <si>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</si>
  <si>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</si>
  <si>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</si>
  <si>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</si>
  <si>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</si>
  <si>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</si>
  <si>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</si>
  <si>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</si>
  <si>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</si>
  <si>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</si>
  <si>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</si>
  <si>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</si>
  <si>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</si>
  <si>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</si>
  <si>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</si>
  <si>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</si>
  <si>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</si>
  <si>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</si>
  <si>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</si>
  <si>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</si>
  <si>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</si>
  <si>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</si>
  <si>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</si>
  <si>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</si>
  <si>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</si>
  <si>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</si>
  <si>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</si>
  <si>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</si>
  <si>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</si>
  <si>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</si>
  <si>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</si>
  <si>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</si>
  <si>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</si>
  <si>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</si>
  <si>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</si>
  <si>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</si>
  <si>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</si>
  <si>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</si>
  <si>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</si>
  <si>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</si>
  <si>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</si>
  <si>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</si>
  <si>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</si>
  <si>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</si>
  <si>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</si>
  <si>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</si>
  <si>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</si>
  <si>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</si>
  <si>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</si>
  <si>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</si>
  <si>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</si>
  <si>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</si>
  <si>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</si>
  <si>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</si>
  <si>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</si>
  <si>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</si>
  <si>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</si>
  <si>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</si>
  <si>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</si>
  <si>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</si>
  <si>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</si>
  <si>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</si>
  <si>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</si>
  <si>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</si>
  <si>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</si>
  <si>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</si>
  <si>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</si>
  <si>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</si>
  <si>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</si>
  <si>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</si>
  <si>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</si>
  <si>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</si>
  <si>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</si>
  <si>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</si>
  <si>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</si>
  <si>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</si>
  <si>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</si>
  <si>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</si>
  <si>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</si>
  <si>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</si>
  <si>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</si>
  <si>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</si>
  <si>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</si>
  <si>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</si>
  <si>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</si>
  <si>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</si>
  <si>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</si>
  <si>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</si>
  <si>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</si>
  <si>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</si>
  <si>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</si>
  <si>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</si>
  <si>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</si>
  <si>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</si>
  <si>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</si>
  <si>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</si>
  <si>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</si>
  <si>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</si>
  <si>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</si>
  <si>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</si>
  <si>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</si>
  <si>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</si>
  <si>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</si>
  <si>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</si>
  <si>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</si>
  <si>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</si>
  <si>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</si>
  <si>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</si>
  <si>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</si>
  <si>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</si>
  <si>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</si>
  <si>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</si>
  <si>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</si>
  <si>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</si>
  <si>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</si>
  <si>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</si>
  <si>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</si>
  <si>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</si>
  <si>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</si>
  <si>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</si>
  <si>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</si>
  <si>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</si>
  <si>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</si>
  <si>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</si>
  <si>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</si>
  <si>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</si>
  <si>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</si>
  <si>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</si>
  <si>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</si>
  <si>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</si>
  <si>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</si>
  <si>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</si>
  <si>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</si>
  <si>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</si>
  <si>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</si>
  <si>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</si>
  <si>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</si>
  <si>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</si>
  <si>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</si>
  <si>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</si>
  <si>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</si>
  <si>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</si>
  <si>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</si>
  <si>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</si>
  <si>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</si>
  <si>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</si>
  <si>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</si>
  <si>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</si>
  <si>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</si>
  <si>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</si>
  <si>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</si>
  <si>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</si>
  <si>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</si>
  <si>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</si>
  <si>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</si>
  <si>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</si>
  <si>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</si>
  <si>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</si>
  <si>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</si>
  <si>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</si>
  <si>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</si>
  <si>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</si>
  <si>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</si>
  <si>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</si>
  <si>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</si>
  <si>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</si>
  <si>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</si>
  <si>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</si>
  <si>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</si>
  <si>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</si>
  <si>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</si>
  <si>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</si>
  <si>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</si>
  <si>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</si>
  <si>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</si>
  <si>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</si>
  <si>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</si>
  <si>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</si>
  <si>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</si>
  <si>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</si>
  <si>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</si>
  <si>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</si>
  <si>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</si>
  <si>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</si>
  <si>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</si>
  <si>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</si>
  <si>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</si>
  <si>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</si>
  <si>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</si>
  <si>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</si>
  <si>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</si>
  <si>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</si>
  <si>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</si>
  <si>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</si>
  <si>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</si>
  <si>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</si>
  <si>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</si>
  <si>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</si>
  <si>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</si>
  <si>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</si>
  <si>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</si>
  <si>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</si>
  <si>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</si>
  <si>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</si>
  <si>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</si>
  <si>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</si>
  <si>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</si>
  <si>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</si>
  <si>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</si>
  <si>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</si>
  <si>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</si>
  <si>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</si>
  <si>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</si>
  <si>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</si>
  <si>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</si>
  <si>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</si>
  <si>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</si>
  <si>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</si>
  <si>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</si>
  <si>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</si>
  <si>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</si>
  <si>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</si>
  <si>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</si>
  <si>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</si>
  <si>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</si>
  <si>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</si>
  <si>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</si>
  <si>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</si>
  <si>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</si>
  <si>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</si>
  <si>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</si>
  <si>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</si>
  <si>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</si>
  <si>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</si>
  <si>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</si>
  <si>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</si>
  <si>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</si>
  <si>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</si>
  <si>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</si>
  <si>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</si>
  <si>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</si>
  <si>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</si>
  <si>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</si>
  <si>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</si>
  <si>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</si>
  <si>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</si>
  <si>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</si>
  <si>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</si>
  <si>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</si>
  <si>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</si>
  <si>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</si>
  <si>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</si>
  <si>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</si>
  <si>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</si>
  <si>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</si>
  <si>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</si>
  <si>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</si>
  <si>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</si>
  <si>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</si>
  <si>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</si>
  <si>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</si>
  <si>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</si>
  <si>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</si>
  <si>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</si>
  <si>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</si>
  <si>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</si>
  <si>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</si>
  <si>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</si>
  <si>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</si>
  <si>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</si>
  <si>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</si>
  <si>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</si>
  <si>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</si>
  <si>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</si>
  <si>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</si>
  <si>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</si>
  <si>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</si>
  <si>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</si>
  <si>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</si>
  <si>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</si>
  <si>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</si>
  <si>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</si>
  <si>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</si>
  <si>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</si>
  <si>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</si>
  <si>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</si>
  <si>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</si>
  <si>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</si>
  <si>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</si>
  <si>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</si>
  <si>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</si>
  <si>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</si>
  <si>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</si>
  <si>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</si>
  <si>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</si>
  <si>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</si>
  <si>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</si>
  <si>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</si>
  <si>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</si>
  <si>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</si>
  <si>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</si>
  <si>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</si>
  <si>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</si>
  <si>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</si>
  <si>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</si>
  <si>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</si>
  <si>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</si>
  <si>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</si>
  <si>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</si>
  <si>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</si>
  <si>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</si>
  <si>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</si>
  <si>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</si>
  <si>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</si>
  <si>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</si>
  <si>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</si>
  <si>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</si>
  <si>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</si>
  <si>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</si>
  <si>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</si>
  <si>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</si>
  <si>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</si>
  <si>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</si>
  <si>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</si>
  <si>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</si>
  <si>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</si>
  <si>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</si>
  <si>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</si>
  <si>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</si>
  <si>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</si>
  <si>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</si>
  <si>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</si>
  <si>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</si>
  <si>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</si>
  <si>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</si>
  <si>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</si>
  <si>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</si>
  <si>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</si>
  <si>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</si>
  <si>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</si>
  <si>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</si>
  <si>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</si>
  <si>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</si>
  <si>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</si>
  <si>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</si>
  <si>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</si>
  <si>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</si>
  <si>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</si>
  <si>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</si>
  <si>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</si>
  <si>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</si>
  <si>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</si>
  <si>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</si>
  <si>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</si>
  <si>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</si>
  <si>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</si>
  <si>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</si>
  <si>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</si>
  <si>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</si>
  <si>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</si>
  <si>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</si>
  <si>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</si>
  <si>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</si>
  <si>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</si>
  <si>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</si>
  <si>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</si>
  <si>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</si>
  <si>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</si>
  <si>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</si>
  <si>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</si>
  <si>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</si>
  <si>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</si>
  <si>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</si>
  <si>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</si>
  <si>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</si>
  <si>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</si>
  <si>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</si>
  <si>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</si>
  <si>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</si>
  <si>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</si>
  <si>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</si>
  <si>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</si>
  <si>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</si>
  <si>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</si>
  <si>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</si>
  <si>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</si>
  <si>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</si>
  <si>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</si>
  <si>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</si>
  <si>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</si>
  <si>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</si>
  <si>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</si>
  <si>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</si>
  <si>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</si>
  <si>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</si>
  <si>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</si>
  <si>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</si>
  <si>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</si>
  <si>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</si>
  <si>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</si>
  <si>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</si>
  <si>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</si>
  <si>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</si>
  <si>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</si>
  <si>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</si>
  <si>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</si>
  <si>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</si>
  <si>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</si>
  <si>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</si>
  <si>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</si>
  <si>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</si>
  <si>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</si>
  <si>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</si>
  <si>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</si>
  <si>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</si>
  <si>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</si>
  <si>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</si>
  <si>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</si>
  <si>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</si>
  <si>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</si>
  <si>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</si>
  <si>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</si>
  <si>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</si>
  <si>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</si>
  <si>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</si>
  <si>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</si>
  <si>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</si>
  <si>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</si>
  <si>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</si>
  <si>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</si>
  <si>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</si>
  <si>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</si>
  <si>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</si>
  <si>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</si>
  <si>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</si>
  <si>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</si>
  <si>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</si>
  <si>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</si>
  <si>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</si>
  <si>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</si>
  <si>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</si>
  <si>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</si>
  <si>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</si>
  <si>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</si>
  <si>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</si>
  <si>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</si>
  <si>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</si>
  <si>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</si>
  <si>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</si>
  <si>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</si>
  <si>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</si>
  <si>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</si>
  <si>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</si>
  <si>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</si>
  <si>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</si>
  <si>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</si>
  <si>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</si>
  <si>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</si>
  <si>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</si>
  <si>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</si>
  <si>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</si>
  <si>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</si>
  <si>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</si>
  <si>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</si>
  <si>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</si>
  <si>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</si>
  <si>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</si>
  <si>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</si>
  <si>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</si>
  <si>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</si>
  <si>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</si>
  <si>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</si>
  <si>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</si>
  <si>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</si>
  <si>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</si>
  <si>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</si>
  <si>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</si>
  <si>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</si>
  <si>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</si>
  <si>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</si>
  <si>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</si>
  <si>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</si>
  <si>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</si>
  <si>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</si>
  <si>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</si>
  <si>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</si>
  <si>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</si>
  <si>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</si>
  <si>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</si>
  <si>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</si>
  <si>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</si>
  <si>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</si>
  <si>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</si>
  <si>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</si>
  <si>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</si>
  <si>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</si>
  <si>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</si>
  <si>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</si>
  <si>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</si>
  <si>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</si>
  <si>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</si>
  <si>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</si>
  <si>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</si>
  <si>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</si>
  <si>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</si>
  <si>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</si>
  <si>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</si>
  <si>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</si>
  <si>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</si>
  <si>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</si>
  <si>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</si>
  <si>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</si>
  <si>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</si>
  <si>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</si>
  <si>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</si>
  <si>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</si>
  <si>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</si>
  <si>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</si>
  <si>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</si>
  <si>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</si>
  <si>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</si>
  <si>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</si>
  <si>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</si>
  <si>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</si>
  <si>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</si>
  <si>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</si>
  <si>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</si>
  <si>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</si>
  <si>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</si>
  <si>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</si>
  <si>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</si>
  <si>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</si>
  <si>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</si>
  <si>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</si>
  <si>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</si>
  <si>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</si>
  <si>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</si>
  <si>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</si>
  <si>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</si>
  <si>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</si>
  <si>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</si>
  <si>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</si>
  <si>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</si>
  <si>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</si>
  <si>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</si>
  <si>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</si>
  <si>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</si>
  <si>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</si>
  <si>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</si>
  <si>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</si>
  <si>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</si>
  <si>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</si>
  <si>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</si>
  <si>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</si>
  <si>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</si>
  <si>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</si>
  <si>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</si>
  <si>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</si>
  <si>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</si>
  <si>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</si>
  <si>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</si>
  <si>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</si>
  <si>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</si>
  <si>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</si>
  <si>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</si>
  <si>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</si>
  <si>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</si>
  <si>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</si>
  <si>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</si>
  <si>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</si>
  <si>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</si>
  <si>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</si>
  <si>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</si>
  <si>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</si>
  <si>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</si>
  <si>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</si>
  <si>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</si>
  <si>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</si>
  <si>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</si>
  <si>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</si>
  <si>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</si>
  <si>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</si>
  <si>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</si>
  <si>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</si>
  <si>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</si>
  <si>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</si>
  <si>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</si>
  <si>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</si>
  <si>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</si>
  <si>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</si>
  <si>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</si>
  <si>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</si>
  <si>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</si>
  <si>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</si>
  <si>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</si>
  <si>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</si>
  <si>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</si>
  <si>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</si>
  <si>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</si>
  <si>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</si>
  <si>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</si>
  <si>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</si>
  <si>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</si>
  <si>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</si>
  <si>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</si>
  <si>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</si>
  <si>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</si>
  <si>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</si>
  <si>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</si>
  <si>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</si>
  <si>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</si>
  <si>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</si>
  <si>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</si>
  <si>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</si>
  <si>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</si>
  <si>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</si>
  <si>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</si>
  <si>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</si>
  <si>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</si>
  <si>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</si>
  <si>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</si>
  <si>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</si>
  <si>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</si>
  <si>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</si>
  <si>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</si>
  <si>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</si>
  <si>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</si>
  <si>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</si>
  <si>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</si>
  <si>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</si>
  <si>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</si>
  <si>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</si>
  <si>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</si>
  <si>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</si>
  <si>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</si>
  <si>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</si>
  <si>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</si>
  <si>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</si>
  <si>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</si>
  <si>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</si>
  <si>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</si>
  <si>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</si>
  <si>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</si>
  <si>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</si>
  <si>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</si>
  <si>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</si>
  <si>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</si>
  <si>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</si>
  <si>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</si>
  <si>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</si>
  <si>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</si>
  <si>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</si>
  <si>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</si>
  <si>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</si>
  <si>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</si>
  <si>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</si>
  <si>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</si>
  <si>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</si>
  <si>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</si>
  <si>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</si>
  <si>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</si>
  <si>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</si>
  <si>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</si>
  <si>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</si>
  <si>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</si>
  <si>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</si>
  <si>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</si>
  <si>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</si>
  <si>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</si>
  <si>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</si>
  <si>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</si>
  <si>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</si>
  <si>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</si>
  <si>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</si>
  <si>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</si>
  <si>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</si>
  <si>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</si>
  <si>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</si>
  <si>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</si>
  <si>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</si>
  <si>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</si>
  <si>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</si>
  <si>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</si>
  <si>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</si>
  <si>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</si>
  <si>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</si>
  <si>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</si>
  <si>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</si>
  <si>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</si>
  <si>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</si>
  <si>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</si>
  <si>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</si>
  <si>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</si>
  <si>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</si>
  <si>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</si>
  <si>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</si>
  <si>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</si>
  <si>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</si>
  <si>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</si>
  <si>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</si>
  <si>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</si>
  <si>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</si>
  <si>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</si>
  <si>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</si>
  <si>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</si>
  <si>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</si>
  <si>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</si>
  <si>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</si>
  <si>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</si>
  <si>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</si>
  <si>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</si>
  <si>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</si>
  <si>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</si>
  <si>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</si>
  <si>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</si>
  <si>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</si>
  <si>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</si>
  <si>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</si>
  <si>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</si>
  <si>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</si>
  <si>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</si>
  <si>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</si>
  <si>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</si>
  <si>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</si>
  <si>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</si>
  <si>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</si>
  <si>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</si>
  <si>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</si>
  <si>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</si>
  <si>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</si>
  <si>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</si>
  <si>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</si>
  <si>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</si>
  <si>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</si>
  <si>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</si>
  <si>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</si>
  <si>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</si>
  <si>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</si>
  <si>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</si>
  <si>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</si>
  <si>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</si>
  <si>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</si>
  <si>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</si>
  <si>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</si>
  <si>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</si>
  <si>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</si>
  <si>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</si>
  <si>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</si>
  <si>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</si>
  <si>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</si>
  <si>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</si>
  <si>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</si>
  <si>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</si>
  <si>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</si>
  <si>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</si>
  <si>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</si>
  <si>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</si>
  <si>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</si>
  <si>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</si>
  <si>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</si>
  <si>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</si>
  <si>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</si>
  <si>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</si>
  <si>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</si>
  <si>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</si>
  <si>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</si>
  <si>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</si>
  <si>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</si>
  <si>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</si>
  <si>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</si>
  <si>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</si>
  <si>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</si>
  <si>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</si>
  <si>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</si>
  <si>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</si>
  <si>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</si>
  <si>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</si>
  <si>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</si>
  <si>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</si>
  <si>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</si>
  <si>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</si>
  <si>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</si>
  <si>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</si>
  <si>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</si>
  <si>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</si>
  <si>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</si>
  <si>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</si>
  <si>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</si>
  <si>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</si>
  <si>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</si>
  <si>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</si>
  <si>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</si>
  <si>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</si>
  <si>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</si>
  <si>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</si>
  <si>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</si>
  <si>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</si>
  <si>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</si>
  <si>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</si>
  <si>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</si>
  <si>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</si>
  <si>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</si>
  <si>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</si>
  <si>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</si>
  <si>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</si>
  <si>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</si>
  <si>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</si>
  <si>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</si>
  <si>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</si>
  <si>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</si>
  <si>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</si>
  <si>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</si>
  <si>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</si>
  <si>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</si>
  <si>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</si>
  <si>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</si>
  <si>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</si>
  <si>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</si>
  <si>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</si>
  <si>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</si>
  <si>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</si>
  <si>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</si>
  <si>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</si>
  <si>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</si>
  <si>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</si>
  <si>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</si>
  <si>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</si>
  <si>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</si>
  <si>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</si>
  <si>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</si>
  <si>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</si>
  <si>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</si>
  <si>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</si>
  <si>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</si>
  <si>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</si>
  <si>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</si>
  <si>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</si>
  <si>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</si>
  <si>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</si>
  <si>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</si>
  <si>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</si>
  <si>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</si>
  <si>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</si>
  <si>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</si>
  <si>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</si>
  <si>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</si>
  <si>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</si>
  <si>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</si>
  <si>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</si>
  <si>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</si>
  <si>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</si>
  <si>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</si>
  <si>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</si>
  <si>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</si>
  <si>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</si>
  <si>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</si>
  <si>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</si>
  <si>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</si>
  <si>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</si>
  <si>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</si>
  <si>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</si>
  <si>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</si>
  <si>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</si>
  <si>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</si>
  <si>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</si>
  <si>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</si>
  <si>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</si>
  <si>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</si>
  <si>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</si>
  <si>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</si>
  <si>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</si>
  <si>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</si>
  <si>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</si>
  <si>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</si>
  <si>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</si>
  <si>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</si>
  <si>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</si>
  <si>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</si>
  <si>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</si>
  <si>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</si>
  <si>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</si>
  <si>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</si>
  <si>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</si>
  <si>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</si>
  <si>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</si>
  <si>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</si>
  <si>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</si>
  <si>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</si>
  <si>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</si>
  <si>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</si>
  <si>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</si>
  <si>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</si>
  <si>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</si>
  <si>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</si>
  <si>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</si>
  <si>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</si>
  <si>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</si>
  <si>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</si>
  <si>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</si>
  <si>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</si>
  <si>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</si>
  <si>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</si>
  <si>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</si>
  <si>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</si>
  <si>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</si>
  <si>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</si>
  <si>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</si>
  <si>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</si>
  <si>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</si>
  <si>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</si>
  <si>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</si>
  <si>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</si>
  <si>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</si>
  <si>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</si>
  <si>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</si>
  <si>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</si>
  <si>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</si>
  <si>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</si>
  <si>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</si>
  <si>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</si>
  <si>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</si>
  <si>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</si>
  <si>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</si>
  <si>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</si>
  <si>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</si>
  <si>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</si>
  <si>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</si>
  <si>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</si>
  <si>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</si>
  <si>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</si>
  <si>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</si>
  <si>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</si>
  <si>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</si>
  <si>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</si>
  <si>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</si>
  <si>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</si>
  <si>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</si>
  <si>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</si>
  <si>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</si>
  <si>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</si>
  <si>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</si>
  <si>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</si>
  <si>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</si>
  <si>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</si>
  <si>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</si>
  <si>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</si>
  <si>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</si>
  <si>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</si>
  <si>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</si>
  <si>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</si>
  <si>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</si>
  <si>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</si>
  <si>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</si>
  <si>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</si>
  <si>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</si>
  <si>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</si>
  <si>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</si>
  <si>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</si>
  <si>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</si>
  <si>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</si>
  <si>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</si>
  <si>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</si>
  <si>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</si>
  <si>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</si>
  <si>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</si>
  <si>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</si>
  <si>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</si>
  <si>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</si>
  <si>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</si>
  <si>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</si>
  <si>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</si>
  <si>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</si>
  <si>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</si>
  <si>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</si>
  <si>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</si>
  <si>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</si>
  <si>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</si>
  <si>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</si>
  <si>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</si>
  <si>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</si>
  <si>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</si>
  <si>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</si>
  <si>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</si>
  <si>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</si>
  <si>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</si>
  <si>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</si>
  <si>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</si>
  <si>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</si>
  <si>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</si>
  <si>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</si>
  <si>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</si>
  <si>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</si>
  <si>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</si>
  <si>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</si>
  <si>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</si>
  <si>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</si>
  <si>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</si>
  <si>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</si>
  <si>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</si>
  <si>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</si>
  <si>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</si>
  <si>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</si>
  <si>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</si>
  <si>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</si>
  <si>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</si>
  <si>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</si>
  <si>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</si>
  <si>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</si>
  <si>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</si>
  <si>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</si>
  <si>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</si>
  <si>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</si>
  <si>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</si>
  <si>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</si>
  <si>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</si>
  <si>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</si>
  <si>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</si>
  <si>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</si>
  <si>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</si>
  <si>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</si>
  <si>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</si>
  <si>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</si>
  <si>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</si>
  <si>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</si>
  <si>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</si>
  <si>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</si>
  <si>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</si>
  <si>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</si>
  <si>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</si>
  <si>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</si>
  <si>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</si>
  <si>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</si>
  <si>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</si>
  <si>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</si>
  <si>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</si>
  <si>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</si>
  <si>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</si>
  <si>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</si>
  <si>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</si>
  <si>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</si>
  <si>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</si>
  <si>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</si>
  <si>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</si>
  <si>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</si>
  <si>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</si>
  <si>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</si>
  <si>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</si>
  <si>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</si>
  <si>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</si>
  <si>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</si>
  <si>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</si>
  <si>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</si>
  <si>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</si>
  <si>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</si>
  <si>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</si>
  <si>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</si>
  <si>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</si>
  <si>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</si>
  <si>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</si>
  <si>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</si>
  <si>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</si>
  <si>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</si>
  <si>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</si>
  <si>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</si>
  <si>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</si>
  <si>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</si>
  <si>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</si>
  <si>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</si>
  <si>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</si>
  <si>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</si>
  <si>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</si>
  <si>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</si>
  <si>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</si>
  <si>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</si>
  <si>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</si>
  <si>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</si>
  <si>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</si>
  <si>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</si>
  <si>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</si>
  <si>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</si>
  <si>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</si>
  <si>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</si>
  <si>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</si>
  <si>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</si>
  <si>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</si>
  <si>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</si>
  <si>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</si>
  <si>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</si>
  <si>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</si>
  <si>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</si>
  <si>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</si>
  <si>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</si>
  <si>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</si>
  <si>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</si>
  <si>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</si>
  <si>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</si>
  <si>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</si>
  <si>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</si>
  <si>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</si>
  <si>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</si>
  <si>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</si>
  <si>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</si>
  <si>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</si>
  <si>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</si>
  <si>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</si>
  <si>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</si>
  <si>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</si>
  <si>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</si>
  <si>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</si>
  <si>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</si>
  <si>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</si>
  <si>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</si>
  <si>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</si>
  <si>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</si>
  <si>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</si>
  <si>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</si>
  <si>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</si>
  <si>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</si>
  <si>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</si>
  <si>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</si>
  <si>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</si>
  <si>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</si>
  <si>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</si>
  <si>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</si>
  <si>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</si>
  <si>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</si>
  <si>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</si>
  <si>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</si>
  <si>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</si>
  <si>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</si>
  <si>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</si>
  <si>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</si>
  <si>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</si>
  <si>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</si>
  <si>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</si>
  <si>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</si>
  <si>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</si>
  <si>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</si>
  <si>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</si>
  <si>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</si>
  <si>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</si>
  <si>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</si>
  <si>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</si>
  <si>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</si>
  <si>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</si>
  <si>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</si>
  <si>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</si>
  <si>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</si>
  <si>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</si>
  <si>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</si>
  <si>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</si>
  <si>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</si>
  <si>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</si>
  <si>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</si>
  <si>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</si>
  <si>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</si>
  <si>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</si>
  <si>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</si>
  <si>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</si>
  <si>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</si>
  <si>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</si>
  <si>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</si>
  <si>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</si>
  <si>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</si>
  <si>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</si>
  <si>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</si>
  <si>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</si>
  <si>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</si>
  <si>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</si>
  <si>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</si>
  <si>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</si>
  <si>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</si>
  <si>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</si>
  <si>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</si>
  <si>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</si>
  <si>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</si>
  <si>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</si>
  <si>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</si>
  <si>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</si>
  <si>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</si>
  <si>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</si>
  <si>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</si>
  <si>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</si>
  <si>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</si>
  <si>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</si>
  <si>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</si>
  <si>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</si>
  <si>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</si>
  <si>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</si>
  <si>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</si>
  <si>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</si>
  <si>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</si>
  <si>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</si>
  <si>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</si>
  <si>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</si>
  <si>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</si>
  <si>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</si>
  <si>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</si>
  <si>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</si>
  <si>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</si>
  <si>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</si>
  <si>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</si>
  <si>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</si>
  <si>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</si>
  <si>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</si>
  <si>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</si>
  <si>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</si>
  <si>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</si>
  <si>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</si>
  <si>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</si>
  <si>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</si>
  <si>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</si>
  <si>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</si>
  <si>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</si>
  <si>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</si>
  <si>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</si>
  <si>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</si>
  <si>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</si>
  <si>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</si>
  <si>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</si>
  <si>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</si>
  <si>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</si>
  <si>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</si>
  <si>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</si>
  <si>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</si>
  <si>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</si>
  <si>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</si>
  <si>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</si>
  <si>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</si>
  <si>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</si>
  <si>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</si>
  <si>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</si>
  <si>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</si>
  <si>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</si>
  <si>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</si>
  <si>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</si>
  <si>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</si>
  <si>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</si>
  <si>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</si>
  <si>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</si>
  <si>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</si>
  <si>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</si>
  <si>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</si>
  <si>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</si>
  <si>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</si>
  <si>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</si>
  <si>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</si>
  <si>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</si>
  <si>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</si>
  <si>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</si>
  <si>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</si>
  <si>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</si>
  <si>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</si>
  <si>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</si>
  <si>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</si>
  <si>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</si>
  <si>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</si>
  <si>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</si>
  <si>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</si>
  <si>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</si>
  <si>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</si>
  <si>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</si>
  <si>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</si>
  <si>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</si>
  <si>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</si>
  <si>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</si>
  <si>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</si>
  <si>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</si>
  <si>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</si>
  <si>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</si>
  <si>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</si>
  <si>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</si>
  <si>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</si>
  <si>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</si>
  <si>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</si>
  <si>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</si>
  <si>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</si>
  <si>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</si>
  <si>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</si>
  <si>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</si>
  <si>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</si>
  <si>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</si>
  <si>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</si>
  <si>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</si>
  <si>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</si>
  <si>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</si>
  <si>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</si>
  <si>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</si>
  <si>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</si>
  <si>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</si>
  <si>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</si>
  <si>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</si>
  <si>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</si>
  <si>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</si>
  <si>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</si>
  <si>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</si>
  <si>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</si>
  <si>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</si>
  <si>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</si>
  <si>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</si>
  <si>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</si>
  <si>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</si>
  <si>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</si>
  <si>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</si>
  <si>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</si>
  <si>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</si>
  <si>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</si>
  <si>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</si>
  <si>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</si>
  <si>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</si>
  <si>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</si>
  <si>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</si>
  <si>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</si>
  <si>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</si>
  <si>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</si>
  <si>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</si>
  <si>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</si>
  <si>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</si>
  <si>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</si>
  <si>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</si>
  <si>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</si>
  <si>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</si>
  <si>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</si>
  <si>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</si>
  <si>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</si>
  <si>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</si>
  <si>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</si>
  <si>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</si>
  <si>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</si>
  <si>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</si>
  <si>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</si>
  <si>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</si>
  <si>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</si>
  <si>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</si>
  <si>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</si>
  <si>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</si>
  <si>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</si>
  <si>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</si>
  <si>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</si>
  <si>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</si>
  <si>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</si>
  <si>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</si>
  <si>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</si>
  <si>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</si>
  <si>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</si>
  <si>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</si>
  <si>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</si>
  <si>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</si>
  <si>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</si>
  <si>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</si>
  <si>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</si>
  <si>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</si>
  <si>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</si>
  <si>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</si>
  <si>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</si>
  <si>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</si>
  <si>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</si>
  <si>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</si>
  <si>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</si>
  <si>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</si>
  <si>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</si>
  <si>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</si>
  <si>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</si>
  <si>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</si>
  <si>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</si>
  <si>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</si>
  <si>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</si>
  <si>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</si>
  <si>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</si>
  <si>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</si>
  <si>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</si>
  <si>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</si>
  <si>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</si>
  <si>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</si>
  <si>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</si>
  <si>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</si>
  <si>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</si>
  <si>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</si>
  <si>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</si>
  <si>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</si>
  <si>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</si>
  <si>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</si>
  <si>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</si>
  <si>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</si>
  <si>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</si>
  <si>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</si>
  <si>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</si>
  <si>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</si>
  <si>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</si>
  <si>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</si>
  <si>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</si>
  <si>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</si>
  <si>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</si>
  <si>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</si>
  <si>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</si>
  <si>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</si>
  <si>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</si>
  <si>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</si>
  <si>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</si>
  <si>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</si>
  <si>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</si>
  <si>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</si>
  <si>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</si>
  <si>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</si>
  <si>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</si>
  <si>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</si>
  <si>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</si>
  <si>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</si>
  <si>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</si>
  <si>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</si>
  <si>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</si>
  <si>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</si>
  <si>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</si>
  <si>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</si>
  <si>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</si>
  <si>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</si>
  <si>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</si>
  <si>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</si>
  <si>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</si>
  <si>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</si>
  <si>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</si>
  <si>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</si>
  <si>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</si>
  <si>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</si>
  <si>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</si>
  <si>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</si>
  <si>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</si>
  <si>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</si>
  <si>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</si>
  <si>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</si>
  <si>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</si>
  <si>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</si>
  <si>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</si>
  <si>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</si>
  <si>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</si>
  <si>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</si>
  <si>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</si>
  <si>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</si>
  <si>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</si>
  <si>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</si>
  <si>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</si>
  <si>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</si>
  <si>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</si>
  <si>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</si>
  <si>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</si>
  <si>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</si>
  <si>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</si>
  <si>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</si>
  <si>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</si>
  <si>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</si>
  <si>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</si>
  <si>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</si>
  <si>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</si>
  <si>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</si>
  <si>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</si>
  <si>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</si>
  <si>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</si>
  <si>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</si>
  <si>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</si>
  <si>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</si>
  <si>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</si>
  <si>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</si>
  <si>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</si>
  <si>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</si>
  <si>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</si>
  <si>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</si>
  <si>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</si>
  <si>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</si>
  <si>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</si>
  <si>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</si>
  <si>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</si>
  <si>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</si>
  <si>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</si>
  <si>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</si>
  <si>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</si>
  <si>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</si>
  <si>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</si>
  <si>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</si>
  <si>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</si>
  <si>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</si>
  <si>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</si>
  <si>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</si>
  <si>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</si>
  <si>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</si>
  <si>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</si>
  <si>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</si>
  <si>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</si>
  <si>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</si>
  <si>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</si>
  <si>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</si>
  <si>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</si>
  <si>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</si>
  <si>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</si>
  <si>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</si>
  <si>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</si>
  <si>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</si>
  <si>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</si>
  <si>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</si>
  <si>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</si>
  <si>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</si>
  <si>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</si>
  <si>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</si>
  <si>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</si>
  <si>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</si>
  <si>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</si>
  <si>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</si>
  <si>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</si>
  <si>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</si>
  <si>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</si>
  <si>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</si>
  <si>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</si>
  <si>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</si>
  <si>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</si>
  <si>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</si>
  <si>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</si>
  <si>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</si>
  <si>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</si>
  <si>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</si>
  <si>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</si>
  <si>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</si>
  <si>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</si>
  <si>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</si>
  <si>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</si>
  <si>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</si>
  <si>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</si>
  <si>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</si>
  <si>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</si>
  <si>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</si>
  <si>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</si>
  <si>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</si>
  <si>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</si>
  <si>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</si>
  <si>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</si>
  <si>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</si>
  <si>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</si>
  <si>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</si>
  <si>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</si>
  <si>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</si>
  <si>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</si>
  <si>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</si>
  <si>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</si>
  <si>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</si>
  <si>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</si>
  <si>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</si>
  <si>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</si>
  <si>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</si>
  <si>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</si>
  <si>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</si>
  <si>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</si>
  <si>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</si>
  <si>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</si>
  <si>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</si>
  <si>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</si>
  <si>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</si>
  <si>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</si>
  <si>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</si>
  <si>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</si>
  <si>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</si>
  <si>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</si>
  <si>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</si>
  <si>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</si>
  <si>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</si>
  <si>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</si>
  <si>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</si>
  <si>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</si>
  <si>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</si>
  <si>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</si>
  <si>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</si>
  <si>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</si>
  <si>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</si>
  <si>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</si>
  <si>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</si>
  <si>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</si>
  <si>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</si>
  <si>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</si>
  <si>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</si>
  <si>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</si>
  <si>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</si>
  <si>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</si>
  <si>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</si>
  <si>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</si>
  <si>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</si>
  <si>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</si>
  <si>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</si>
  <si>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</si>
  <si>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</si>
  <si>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</si>
  <si>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</si>
  <si>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</si>
  <si>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</si>
  <si>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</si>
  <si>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</si>
  <si>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</si>
  <si>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</si>
  <si>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</si>
  <si>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</si>
  <si>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</si>
  <si>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</si>
  <si>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</si>
  <si>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</si>
  <si>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</si>
  <si>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</si>
  <si>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</si>
  <si>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</si>
  <si>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</si>
  <si>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</si>
  <si>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</si>
  <si>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</si>
  <si>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</si>
  <si>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</si>
  <si>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</si>
  <si>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</si>
  <si>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</si>
  <si>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</si>
  <si>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</si>
  <si>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</si>
  <si>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</si>
  <si>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</si>
  <si>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</si>
  <si>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</si>
  <si>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</si>
  <si>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</si>
  <si>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</si>
  <si>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</si>
  <si>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</si>
  <si>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</si>
  <si>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</si>
  <si>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</si>
  <si>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</si>
  <si>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</si>
  <si>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</si>
  <si>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</si>
  <si>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</si>
  <si>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</si>
  <si>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</si>
  <si>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</si>
  <si>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</si>
  <si>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</si>
  <si>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</si>
  <si>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</si>
  <si>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</si>
  <si>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</si>
  <si>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</si>
  <si>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</si>
  <si>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</si>
  <si>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</si>
  <si>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</si>
  <si>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</si>
  <si>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</si>
  <si>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</si>
  <si>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</si>
  <si>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</si>
  <si>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</si>
  <si>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</si>
  <si>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</si>
  <si>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</si>
  <si>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</si>
  <si>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</si>
  <si>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</si>
  <si>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</si>
  <si>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</si>
  <si>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</si>
  <si>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</si>
  <si>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</si>
  <si>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</si>
  <si>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</si>
  <si>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</si>
  <si>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</si>
  <si>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</si>
  <si>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</si>
  <si>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</si>
  <si>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</si>
  <si>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</si>
  <si>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</si>
  <si>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</si>
  <si>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</si>
  <si>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</si>
  <si>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</si>
  <si>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</si>
  <si>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</si>
  <si>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</si>
  <si>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</si>
  <si>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</si>
  <si>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</si>
  <si>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</si>
  <si>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</si>
  <si>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</si>
  <si>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</si>
  <si>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</si>
  <si>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</si>
  <si>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</si>
  <si>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</si>
  <si>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</si>
  <si>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</si>
  <si>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</si>
  <si>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</si>
  <si>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</si>
  <si>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</si>
  <si>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</si>
  <si>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</si>
  <si>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</si>
  <si>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</si>
  <si>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</si>
  <si>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</si>
  <si>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</si>
  <si>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</si>
  <si>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</si>
  <si>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</si>
  <si>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</si>
  <si>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</si>
  <si>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</si>
  <si>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</si>
  <si>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</si>
  <si>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</si>
  <si>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</si>
  <si>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</si>
  <si>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</si>
  <si>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</si>
  <si>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</si>
  <si>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</si>
  <si>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</si>
  <si>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</si>
  <si>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</si>
  <si>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</si>
  <si>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</si>
  <si>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</si>
  <si>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</si>
  <si>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</si>
  <si>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</si>
  <si>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</si>
  <si>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</si>
  <si>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</si>
  <si>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</si>
  <si>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</si>
  <si>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</si>
  <si>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</si>
  <si>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</si>
  <si>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</si>
  <si>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</si>
  <si>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</si>
  <si>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</si>
  <si>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</si>
  <si>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</si>
  <si>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</si>
  <si>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</si>
  <si>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</si>
  <si>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</si>
  <si>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</si>
  <si>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</si>
  <si>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</si>
  <si>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</si>
  <si>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</si>
  <si>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</si>
  <si>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</si>
  <si>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</si>
  <si>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</si>
  <si>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</si>
  <si>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</si>
  <si>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</si>
  <si>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</si>
  <si>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</si>
  <si>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</si>
  <si>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</si>
  <si>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</si>
  <si>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</si>
  <si>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</si>
  <si>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</si>
  <si>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</si>
  <si>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</si>
  <si>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</si>
  <si>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</si>
  <si>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</si>
  <si>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</si>
  <si>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</si>
  <si>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</si>
  <si>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</si>
  <si>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</si>
  <si>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</si>
  <si>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</si>
  <si>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</si>
  <si>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</si>
  <si>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</si>
  <si>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</si>
  <si>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</si>
  <si>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</si>
  <si>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</si>
  <si>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</si>
  <si>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</si>
  <si>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</si>
  <si>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</si>
  <si>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</si>
  <si>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</si>
  <si>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</si>
  <si>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</si>
  <si>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</si>
  <si>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</si>
  <si>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</si>
  <si>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</si>
  <si>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</si>
  <si>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</si>
  <si>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</si>
  <si>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</si>
  <si>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</si>
  <si>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</si>
  <si>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</si>
  <si>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</si>
  <si>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</si>
  <si>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</si>
  <si>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</si>
  <si>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</si>
  <si>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</si>
  <si>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</si>
  <si>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</si>
  <si>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</si>
  <si>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</si>
  <si>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</si>
  <si>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</si>
  <si>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</si>
  <si>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</si>
  <si>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</si>
  <si>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</si>
  <si>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</si>
  <si>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</si>
  <si>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</si>
  <si>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</si>
  <si>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</si>
  <si>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</si>
  <si>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</si>
  <si>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</si>
  <si>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</si>
  <si>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</si>
  <si>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</si>
  <si>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</si>
  <si>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</si>
  <si>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</si>
  <si>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</si>
  <si>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</si>
  <si>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</si>
  <si>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</si>
  <si>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</si>
  <si>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</si>
  <si>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</si>
  <si>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</si>
  <si>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</si>
  <si>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</si>
  <si>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</si>
  <si>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</si>
  <si>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</si>
  <si>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</si>
  <si>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</si>
  <si>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</si>
  <si>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</si>
  <si>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</si>
  <si>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</si>
  <si>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</si>
  <si>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</si>
  <si>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</si>
  <si>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</si>
  <si>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</si>
  <si>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</si>
  <si>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</si>
  <si>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</si>
  <si>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</si>
  <si>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</si>
  <si>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</si>
  <si>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</si>
  <si>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</si>
  <si>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</si>
  <si>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</si>
  <si>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</si>
  <si>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</si>
  <si>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</si>
  <si>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</si>
  <si>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</si>
  <si>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</si>
  <si>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</si>
  <si>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</si>
  <si>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</si>
  <si>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</si>
  <si>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</si>
  <si>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</si>
  <si>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</si>
  <si>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</si>
  <si>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</si>
  <si>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</si>
  <si>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</si>
  <si>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</si>
  <si>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</si>
  <si>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</si>
  <si>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</si>
  <si>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</si>
  <si>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</si>
  <si>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</si>
  <si>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</si>
  <si>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</si>
  <si>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</si>
  <si>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</si>
  <si>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</si>
  <si>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</si>
  <si>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</si>
  <si>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</si>
  <si>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</si>
  <si>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</si>
  <si>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</si>
  <si>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</si>
  <si>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</si>
  <si>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</si>
  <si>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</si>
  <si>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</si>
  <si>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</si>
  <si>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</si>
  <si>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</si>
  <si>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</si>
  <si>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</si>
  <si>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</si>
  <si>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</si>
  <si>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</si>
  <si>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</si>
  <si>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</si>
  <si>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</si>
  <si>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</si>
  <si>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</si>
  <si>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</si>
  <si>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</si>
  <si>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</si>
  <si>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</si>
  <si>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</si>
  <si>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</si>
  <si>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</si>
  <si>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</si>
  <si>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</si>
  <si>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</si>
  <si>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</si>
  <si>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</si>
  <si>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</si>
  <si>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</si>
  <si>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</si>
  <si>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</si>
  <si>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</si>
  <si>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</si>
  <si>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</si>
  <si>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</si>
  <si>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</si>
  <si>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</si>
  <si>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</si>
  <si>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</si>
  <si>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</si>
  <si>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</si>
  <si>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</si>
  <si>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</si>
  <si>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</si>
  <si>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</si>
  <si>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</si>
  <si>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</si>
  <si>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</si>
  <si>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</si>
  <si>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</si>
  <si>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</si>
  <si>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</si>
  <si>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</si>
  <si>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</si>
  <si>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</si>
  <si>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</si>
  <si>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</si>
  <si>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</si>
  <si>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</si>
  <si>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</si>
  <si>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</si>
  <si>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</si>
  <si>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</si>
  <si>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</si>
  <si>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</si>
  <si>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</si>
  <si>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</si>
  <si>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</si>
  <si>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</si>
  <si>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</si>
  <si>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</si>
  <si>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</si>
  <si>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</si>
  <si>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</si>
  <si>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</si>
  <si>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</si>
  <si>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</si>
  <si>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</si>
  <si>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</si>
  <si>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</si>
  <si>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</si>
  <si>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</si>
  <si>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</si>
  <si>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</si>
  <si>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</si>
  <si>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</si>
  <si>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</si>
  <si>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</si>
  <si>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</si>
  <si>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</si>
  <si>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</si>
  <si>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</si>
  <si>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</si>
  <si>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</si>
  <si>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</si>
  <si>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</si>
  <si>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</si>
  <si>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</si>
  <si>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</si>
  <si>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</si>
  <si>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</si>
  <si>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</si>
  <si>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</si>
  <si>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</si>
  <si>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</si>
  <si>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</si>
  <si>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</si>
  <si>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</si>
  <si>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</si>
  <si>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</si>
  <si>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</si>
  <si>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</si>
  <si>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</si>
  <si>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</si>
  <si>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</si>
  <si>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</si>
  <si>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</si>
  <si>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</si>
  <si>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</si>
  <si>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</si>
  <si>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</si>
  <si>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</si>
  <si>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</si>
  <si>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</si>
  <si>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</si>
  <si>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</si>
  <si>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</si>
  <si>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</si>
  <si>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</si>
  <si>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</si>
  <si>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</si>
  <si>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</si>
  <si>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</si>
  <si>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</si>
  <si>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</si>
  <si>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</si>
  <si>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</si>
  <si>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</si>
  <si>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</si>
  <si>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</si>
  <si>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</si>
  <si>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</si>
  <si>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</si>
  <si>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</si>
  <si>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</si>
  <si>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</si>
  <si>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</si>
  <si>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</si>
  <si>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</si>
  <si>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</si>
  <si>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</si>
  <si>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</si>
  <si>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</si>
  <si>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</si>
  <si>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</si>
  <si>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</si>
  <si>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</si>
  <si>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</si>
  <si>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</si>
  <si>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</si>
  <si>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</si>
  <si>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</si>
  <si>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</si>
  <si>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</si>
  <si>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</si>
  <si>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</si>
  <si>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</si>
  <si>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</si>
  <si>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</si>
  <si>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</si>
  <si>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</si>
  <si>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</si>
  <si>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</si>
  <si>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</si>
  <si>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</si>
  <si>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</si>
  <si>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</si>
  <si>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</si>
  <si>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</si>
  <si>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</si>
  <si>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</si>
  <si>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</si>
  <si>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</si>
  <si>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</si>
  <si>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</si>
  <si>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</si>
  <si>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</si>
  <si>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</si>
  <si>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</si>
  <si>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</si>
  <si>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</si>
  <si>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</si>
  <si>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</si>
  <si>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</si>
  <si>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</si>
  <si>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</si>
  <si>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</si>
  <si>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</si>
  <si>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</si>
  <si>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</si>
  <si>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</si>
  <si>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</si>
  <si>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</si>
  <si>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</si>
  <si>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</si>
  <si>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</si>
  <si>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</si>
  <si>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</si>
  <si>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</si>
  <si>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</si>
  <si>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</si>
  <si>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</si>
  <si>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</si>
  <si>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</si>
  <si>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</si>
  <si>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</si>
  <si>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</si>
  <si>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</si>
  <si>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</si>
  <si>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</si>
  <si>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</si>
  <si>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</si>
  <si>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</si>
  <si>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</si>
  <si>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</si>
  <si>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</si>
  <si>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</si>
  <si>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</si>
  <si>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</si>
  <si>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</si>
  <si>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</si>
  <si>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</si>
  <si>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</si>
  <si>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</si>
  <si>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</si>
  <si>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</si>
  <si>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</si>
  <si>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</si>
  <si>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</si>
  <si>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</si>
  <si>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</si>
  <si>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</si>
  <si>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</si>
  <si>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</si>
  <si>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</si>
  <si>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</si>
  <si>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</si>
  <si>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</si>
  <si>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</si>
  <si>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</si>
  <si>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</si>
  <si>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</si>
  <si>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</si>
  <si>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</si>
  <si>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</si>
  <si>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</si>
  <si>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</si>
  <si>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</si>
  <si>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</si>
  <si>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</si>
  <si>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</si>
  <si>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</si>
  <si>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</si>
  <si>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</si>
  <si>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</si>
  <si>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</si>
  <si>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</si>
  <si>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</si>
  <si>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</si>
  <si>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</si>
  <si>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</si>
  <si>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</si>
  <si>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</si>
  <si>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</si>
  <si>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</si>
  <si>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</si>
  <si>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</si>
  <si>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</si>
  <si>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</si>
  <si>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</si>
  <si>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</si>
  <si>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</si>
  <si>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</si>
  <si>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</si>
  <si>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</si>
  <si>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</si>
  <si>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</si>
  <si>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</si>
  <si>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</si>
  <si>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</si>
  <si>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</si>
  <si>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</si>
  <si>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</si>
  <si>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</si>
  <si>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</si>
  <si>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</si>
  <si>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</si>
  <si>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</si>
  <si>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</si>
  <si>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</si>
  <si>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</si>
  <si>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</si>
  <si>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</si>
  <si>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</si>
  <si>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</si>
  <si>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</si>
  <si>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</si>
  <si>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</si>
  <si>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</si>
  <si>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</si>
  <si>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</si>
  <si>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</si>
  <si>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</si>
  <si>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</si>
  <si>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</si>
  <si>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</si>
  <si>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</si>
  <si>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</si>
  <si>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</si>
  <si>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</si>
  <si>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</si>
  <si>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</si>
  <si>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</si>
  <si>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</si>
  <si>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</si>
  <si>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</si>
  <si>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</si>
  <si>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</si>
  <si>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</si>
  <si>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</si>
  <si>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</si>
  <si>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</si>
  <si>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</si>
  <si>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</si>
  <si>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</si>
  <si>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</si>
  <si>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</si>
  <si>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</si>
  <si>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</si>
  <si>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</si>
  <si>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</si>
  <si>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</si>
  <si>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</si>
  <si>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</si>
  <si>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</si>
  <si>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</si>
  <si>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</si>
  <si>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</si>
  <si>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</si>
  <si>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</si>
  <si>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</si>
  <si>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</si>
  <si>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</si>
  <si>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</si>
  <si>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</si>
  <si>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</si>
  <si>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</si>
  <si>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</si>
  <si>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</si>
  <si>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</si>
  <si>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</si>
  <si>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</si>
  <si>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</si>
  <si>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</si>
  <si>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</si>
  <si>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</si>
  <si>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</si>
  <si>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</si>
  <si>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</si>
  <si>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</si>
  <si>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</si>
  <si>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</si>
  <si>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</si>
  <si>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</si>
  <si>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</si>
  <si>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</si>
  <si>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</si>
  <si>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</si>
  <si>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</si>
  <si>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</si>
  <si>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</si>
  <si>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</si>
  <si>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</si>
  <si>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</si>
  <si>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</si>
  <si>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</si>
  <si>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</si>
  <si>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</si>
  <si>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</si>
  <si>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</si>
  <si>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</si>
  <si>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</si>
  <si>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</si>
  <si>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</si>
  <si>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</si>
  <si>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</si>
  <si>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</si>
  <si>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</si>
  <si>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</si>
  <si>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</si>
  <si>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</si>
  <si>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</si>
  <si>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</si>
  <si>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</si>
  <si>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</si>
  <si>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</si>
  <si>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</si>
  <si>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</si>
  <si>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</si>
  <si>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</si>
  <si>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</si>
  <si>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</si>
  <si>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</si>
  <si>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</si>
  <si>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</si>
  <si>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</si>
  <si>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</si>
  <si>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</si>
  <si>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</si>
  <si>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</si>
  <si>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</si>
  <si>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</si>
  <si>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</si>
  <si>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</si>
  <si>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</si>
  <si>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</si>
  <si>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</si>
  <si>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</si>
  <si>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</si>
  <si>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</si>
  <si>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</si>
  <si>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</si>
  <si>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</si>
  <si>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</si>
  <si>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</si>
  <si>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</si>
  <si>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</si>
  <si>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</si>
  <si>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</si>
  <si>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</si>
  <si>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</si>
  <si>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</si>
  <si>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</si>
  <si>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</si>
  <si>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</si>
  <si>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</si>
  <si>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</si>
  <si>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</si>
  <si>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</si>
  <si>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</si>
  <si>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</si>
  <si>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</si>
  <si>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</si>
  <si>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</si>
  <si>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</si>
  <si>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</si>
  <si>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</si>
  <si>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</si>
  <si>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</si>
  <si>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</si>
  <si>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</si>
  <si>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</si>
  <si>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</si>
  <si>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</si>
  <si>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</si>
  <si>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</si>
  <si>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</si>
  <si>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</si>
  <si>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</si>
  <si>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</si>
  <si>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</si>
  <si>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</si>
  <si>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</si>
  <si>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</si>
  <si>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</si>
  <si>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</si>
  <si>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</si>
  <si>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</si>
  <si>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</si>
  <si>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</si>
  <si>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</si>
  <si>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</si>
  <si>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</si>
  <si>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</si>
  <si>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</si>
  <si>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</si>
  <si>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</si>
  <si>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</si>
  <si>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</si>
  <si>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</si>
  <si>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</si>
  <si>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</si>
  <si>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</si>
  <si>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</si>
  <si>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</si>
  <si>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</si>
  <si>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</si>
  <si>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</si>
  <si>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</si>
  <si>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</si>
  <si>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</si>
  <si>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</si>
  <si>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</si>
  <si>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</si>
  <si>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</si>
  <si>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</si>
  <si>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</si>
  <si>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</si>
  <si>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</si>
  <si>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</si>
  <si>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</si>
  <si>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</si>
  <si>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</si>
  <si>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</si>
  <si>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</si>
  <si>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</si>
  <si>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</si>
  <si>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</si>
  <si>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</si>
  <si>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</si>
  <si>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</si>
  <si>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</si>
  <si>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</si>
  <si>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</si>
  <si>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</si>
  <si>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</si>
  <si>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</si>
  <si>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</si>
  <si>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</si>
  <si>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</si>
  <si>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</si>
  <si>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</si>
  <si>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</si>
  <si>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</si>
  <si>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</si>
  <si>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</si>
  <si>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</si>
  <si>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</si>
  <si>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</si>
  <si>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</si>
  <si>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</si>
  <si>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</si>
  <si>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</si>
  <si>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</si>
  <si>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</si>
  <si>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</si>
  <si>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</si>
  <si>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</si>
  <si>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</si>
  <si>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</si>
  <si>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</si>
  <si>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</si>
  <si>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</si>
  <si>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</si>
  <si>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</si>
  <si>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</si>
  <si>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</si>
  <si>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</si>
  <si>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</si>
  <si>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</si>
  <si>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</si>
  <si>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</si>
  <si>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</si>
  <si>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</si>
  <si>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</si>
  <si>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</si>
  <si>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</si>
  <si>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</si>
  <si>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</si>
  <si>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</si>
  <si>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</si>
  <si>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</si>
  <si>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</si>
  <si>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</si>
  <si>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</si>
  <si>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</si>
  <si>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</si>
  <si>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</si>
  <si>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</si>
  <si>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</si>
  <si>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</si>
  <si>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</si>
  <si>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</si>
  <si>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</si>
  <si>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</si>
  <si>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</si>
  <si>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</si>
  <si>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</si>
  <si>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</si>
  <si>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</si>
  <si>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</si>
  <si>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</si>
  <si>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</si>
  <si>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</si>
  <si>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</si>
  <si>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</si>
  <si>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</si>
  <si>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</si>
  <si>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</si>
  <si>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</si>
  <si>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</si>
  <si>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</si>
  <si>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</si>
  <si>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</si>
  <si>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</si>
  <si>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</si>
  <si>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</si>
  <si>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</si>
  <si>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</si>
  <si>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</si>
  <si>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</si>
  <si>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</si>
  <si>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</si>
  <si>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</si>
  <si>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</si>
  <si>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</si>
  <si>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</si>
  <si>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</si>
  <si>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</si>
  <si>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</si>
  <si>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</si>
  <si>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</si>
  <si>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</si>
  <si>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</si>
  <si>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</si>
  <si>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</si>
  <si>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</si>
  <si>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</si>
  <si>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</si>
  <si>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</si>
  <si>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</si>
  <si>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</si>
  <si>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</si>
  <si>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</si>
  <si>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</si>
  <si>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</si>
  <si>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</si>
  <si>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</si>
  <si>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</si>
  <si>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</si>
  <si>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</si>
  <si>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</si>
  <si>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</si>
  <si>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</si>
  <si>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</si>
  <si>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</si>
  <si>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</si>
  <si>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</si>
  <si>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</si>
  <si>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</si>
  <si>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</si>
  <si>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</si>
  <si>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</si>
  <si>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</si>
  <si>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</si>
  <si>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</si>
  <si>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</si>
  <si>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</si>
  <si>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</si>
  <si>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</si>
  <si>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</si>
  <si>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</si>
  <si>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</si>
  <si>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</si>
  <si>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</si>
  <si>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</si>
  <si>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</si>
  <si>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</si>
  <si>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</si>
  <si>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</si>
  <si>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</si>
  <si>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</si>
  <si>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</si>
  <si>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</si>
  <si>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</si>
  <si>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</si>
  <si>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</si>
  <si>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</si>
  <si>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</si>
  <si>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</si>
  <si>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</si>
  <si>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</si>
  <si>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</si>
  <si>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</si>
  <si>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</si>
  <si>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</si>
  <si>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</si>
  <si>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</si>
  <si>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</si>
  <si>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</si>
  <si>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</si>
  <si>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</si>
  <si>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</si>
  <si>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</si>
  <si>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</si>
  <si>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</si>
  <si>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</si>
  <si>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</si>
  <si>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</si>
  <si>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</si>
  <si>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</si>
  <si>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</si>
  <si>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</si>
  <si>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</si>
  <si>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</si>
  <si>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</si>
  <si>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</si>
  <si>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</si>
  <si>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</si>
  <si>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</si>
  <si>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</si>
  <si>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</si>
  <si>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</si>
  <si>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</si>
  <si>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</si>
  <si>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</si>
  <si>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</si>
  <si>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</si>
  <si>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</si>
  <si>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</si>
  <si>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</si>
  <si>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</si>
  <si>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</si>
  <si>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</si>
  <si>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</si>
  <si>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</si>
  <si>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</si>
  <si>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</si>
  <si>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</si>
  <si>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</si>
  <si>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</si>
  <si>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</si>
  <si>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</si>
  <si>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</si>
  <si>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</si>
  <si>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</si>
  <si>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</si>
  <si>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</si>
  <si>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</si>
  <si>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</si>
  <si>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</si>
  <si>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</si>
  <si>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</si>
  <si>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</si>
  <si>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</si>
  <si>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</si>
  <si>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</si>
  <si>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</si>
  <si>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</si>
  <si>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</si>
  <si>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</si>
  <si>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</si>
  <si>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</si>
  <si>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</si>
  <si>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</si>
  <si>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</si>
  <si>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</si>
  <si>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</si>
  <si>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</si>
  <si>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</si>
  <si>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</si>
  <si>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</si>
  <si>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</si>
  <si>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</si>
  <si>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</si>
  <si>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</si>
  <si>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</si>
  <si>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</si>
  <si>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</si>
  <si>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</si>
  <si>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</si>
  <si>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</si>
  <si>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</si>
  <si>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</si>
  <si>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</si>
  <si>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</si>
  <si>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</si>
  <si>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</si>
  <si>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</si>
  <si>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</si>
  <si>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</si>
  <si>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</si>
  <si>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</si>
  <si>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</si>
  <si>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</si>
  <si>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</si>
  <si>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</si>
  <si>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</si>
  <si>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</si>
  <si>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</si>
  <si>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</si>
  <si>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</si>
  <si>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</si>
  <si>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</si>
  <si>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</si>
  <si>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</si>
  <si>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</si>
  <si>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</si>
  <si>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</si>
  <si>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</si>
  <si>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</si>
  <si>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</si>
  <si>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</si>
  <si>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</si>
  <si>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</si>
  <si>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</si>
  <si>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</si>
  <si>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</si>
  <si>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</si>
  <si>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</si>
  <si>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</si>
  <si>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</si>
  <si>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</si>
  <si>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</si>
  <si>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</si>
  <si>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</si>
  <si>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</si>
  <si>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</si>
  <si>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</si>
  <si>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</si>
  <si>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</si>
  <si>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</si>
  <si>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</si>
  <si>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</si>
  <si>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</si>
  <si>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</si>
  <si>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</si>
  <si>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</si>
  <si>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</si>
  <si>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</si>
  <si>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</si>
  <si>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</si>
  <si>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</si>
  <si>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</si>
  <si>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</si>
  <si>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</si>
  <si>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</si>
  <si>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</si>
  <si>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</si>
  <si>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</si>
  <si>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</si>
  <si>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</si>
  <si>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</si>
  <si>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</si>
  <si>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</si>
  <si>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</si>
  <si>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</si>
  <si>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</si>
  <si>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</si>
  <si>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</si>
  <si>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</si>
  <si>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</si>
  <si>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</si>
  <si>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</si>
  <si>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</si>
  <si>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</si>
  <si>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</si>
  <si>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</si>
  <si>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</si>
  <si>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</si>
  <si>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</si>
  <si>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</si>
  <si>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</si>
  <si>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</si>
  <si>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</si>
  <si>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</si>
  <si>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</si>
  <si>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</si>
  <si>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</si>
  <si>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</si>
  <si>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</si>
  <si>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</si>
  <si>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</si>
  <si>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</si>
  <si>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</si>
  <si>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</si>
  <si>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</si>
  <si>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</si>
  <si>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</si>
  <si>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</si>
  <si>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</si>
  <si>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</si>
  <si>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</si>
  <si>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</si>
  <si>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</si>
  <si>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</si>
  <si>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</si>
  <si>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</si>
  <si>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</si>
  <si>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</si>
  <si>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</si>
  <si>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</si>
  <si>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</si>
  <si>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</si>
  <si>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</si>
  <si>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</si>
  <si>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</si>
  <si>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</si>
  <si>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</si>
  <si>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</si>
  <si>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</si>
  <si>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</si>
  <si>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</si>
  <si>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</si>
  <si>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</si>
  <si>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</si>
  <si>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</si>
  <si>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</si>
  <si>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</si>
  <si>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</si>
  <si>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</si>
  <si>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</si>
  <si>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</si>
  <si>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</si>
  <si>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</si>
  <si>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</si>
  <si>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</si>
  <si>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</si>
  <si>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</si>
  <si>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</si>
  <si>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</si>
  <si>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</si>
  <si>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</si>
  <si>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</si>
  <si>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</si>
  <si>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</si>
  <si>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</si>
  <si>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</si>
  <si>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</si>
  <si>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</si>
  <si>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</si>
  <si>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</si>
  <si>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</si>
  <si>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</si>
  <si>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</si>
  <si>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</si>
  <si>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</si>
  <si>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</si>
  <si>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</si>
  <si>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</si>
  <si>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</si>
  <si>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</si>
  <si>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</si>
  <si>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</si>
  <si>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</si>
  <si>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</si>
  <si>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</si>
  <si>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</si>
  <si>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</si>
  <si>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</si>
  <si>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</si>
  <si>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</si>
  <si>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</si>
  <si>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</si>
  <si>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</si>
  <si>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</si>
  <si>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</si>
  <si>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</si>
  <si>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</si>
  <si>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</si>
  <si>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</si>
  <si>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</si>
  <si>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</si>
  <si>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</si>
  <si>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</si>
  <si>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</si>
  <si>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</si>
  <si>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</si>
  <si>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</si>
  <si>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</si>
  <si>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</si>
  <si>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</si>
  <si>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</si>
  <si>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</si>
  <si>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</si>
  <si>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</si>
  <si>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</si>
  <si>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</si>
  <si>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</si>
  <si>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</si>
  <si>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</si>
  <si>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</si>
  <si>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</si>
  <si>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</si>
  <si>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</si>
  <si>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</si>
  <si>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</si>
  <si>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</si>
  <si>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</si>
  <si>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</si>
  <si>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</si>
  <si>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</si>
  <si>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</si>
  <si>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</si>
  <si>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</si>
  <si>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</si>
  <si>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</si>
  <si>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</si>
  <si>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</si>
  <si>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</si>
  <si>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</si>
  <si>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</si>
  <si>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</si>
  <si>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</si>
  <si>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</si>
  <si>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</si>
  <si>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</si>
  <si>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</si>
  <si>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</si>
  <si>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</si>
  <si>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</si>
  <si>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</si>
  <si>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</si>
  <si>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</si>
  <si>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</si>
  <si>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</si>
  <si>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</si>
  <si>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</si>
  <si>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</si>
  <si>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</si>
  <si>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</si>
  <si>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</si>
  <si>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</si>
  <si>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</si>
  <si>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</si>
  <si>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</si>
  <si>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</si>
  <si>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</si>
  <si>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</si>
  <si>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</si>
  <si>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</si>
  <si>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</si>
  <si>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</si>
  <si>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</si>
  <si>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</si>
  <si>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</si>
  <si>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</si>
  <si>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</si>
  <si>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</si>
  <si>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</si>
  <si>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</si>
  <si>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</si>
  <si>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</si>
  <si>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</si>
  <si>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</si>
  <si>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</si>
  <si>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</si>
  <si>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</si>
  <si>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</si>
  <si>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</si>
  <si>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</si>
  <si>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</si>
  <si>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</si>
  <si>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</si>
  <si>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</si>
  <si>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</si>
  <si>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</si>
  <si>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</si>
  <si>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</si>
  <si>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</si>
  <si>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</si>
  <si>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</si>
  <si>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</si>
  <si>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</si>
  <si>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</si>
  <si>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</si>
  <si>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</si>
  <si>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</si>
  <si>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</si>
  <si>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</si>
  <si>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</si>
  <si>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</si>
  <si>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</si>
  <si>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</si>
  <si>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</si>
  <si>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</si>
  <si>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</si>
  <si>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</si>
  <si>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</si>
  <si>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</si>
  <si>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</si>
  <si>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</si>
  <si>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</si>
  <si>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</si>
  <si>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</si>
  <si>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</si>
  <si>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</si>
  <si>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</si>
  <si>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</si>
  <si>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</si>
  <si>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</si>
  <si>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</si>
  <si>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</si>
  <si>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</si>
  <si>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</si>
  <si>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</si>
  <si>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</si>
  <si>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</si>
  <si>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</si>
  <si>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</si>
  <si>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</si>
  <si>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</si>
  <si>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</si>
  <si>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</si>
  <si>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</si>
  <si>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</si>
  <si>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</si>
  <si>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</si>
  <si>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</si>
  <si>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</si>
  <si>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</si>
  <si>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</si>
  <si>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</si>
  <si>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</si>
  <si>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</si>
  <si>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</si>
  <si>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</si>
  <si>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</si>
  <si>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</si>
  <si>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</si>
  <si>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</si>
  <si>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</si>
  <si>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</si>
  <si>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</si>
  <si>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</si>
  <si>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</si>
  <si>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</si>
  <si>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</si>
  <si>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</si>
  <si>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</si>
  <si>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</si>
  <si>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</si>
  <si>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</si>
  <si>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</si>
  <si>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</si>
  <si>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</si>
  <si>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</si>
  <si>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</si>
  <si>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</si>
  <si>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</si>
  <si>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</si>
  <si>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</si>
  <si>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</si>
  <si>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</si>
  <si>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</si>
  <si>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</si>
  <si>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</si>
  <si>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</si>
  <si>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</si>
  <si>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</si>
  <si>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</si>
  <si>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</si>
  <si>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</si>
  <si>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</si>
  <si>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</si>
  <si>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</si>
  <si>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</si>
  <si>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</si>
  <si>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</si>
  <si>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</si>
  <si>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</si>
  <si>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</si>
  <si>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</si>
  <si>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</si>
  <si>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</si>
  <si>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</si>
  <si>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</si>
  <si>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</si>
  <si>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</si>
  <si>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</si>
  <si>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</si>
  <si>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</si>
  <si>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</si>
  <si>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</si>
  <si>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</si>
  <si>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</si>
  <si>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</si>
  <si>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</si>
  <si>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</si>
  <si>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</si>
  <si>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</si>
  <si>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</si>
  <si>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</si>
  <si>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</si>
  <si>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</si>
  <si>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</si>
  <si>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</si>
  <si>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</si>
  <si>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</si>
  <si>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</si>
  <si>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</si>
  <si>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</si>
  <si>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</si>
  <si>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</si>
  <si>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</si>
  <si>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</si>
  <si>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</si>
  <si>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</si>
  <si>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</si>
  <si>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</si>
  <si>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</si>
  <si>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</si>
  <si>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</si>
  <si>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</si>
  <si>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</si>
  <si>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</si>
  <si>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</si>
  <si>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</si>
  <si>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</si>
  <si>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</si>
  <si>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</si>
  <si>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</si>
  <si>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</si>
  <si>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</si>
  <si>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</si>
  <si>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</si>
  <si>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</si>
  <si>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</si>
  <si>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</si>
  <si>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</si>
  <si>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</si>
  <si>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</si>
  <si>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</si>
  <si>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</si>
  <si>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</si>
  <si>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</si>
  <si>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</si>
  <si>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</si>
  <si>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</si>
  <si>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</si>
  <si>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</si>
  <si>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</si>
  <si>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</si>
  <si>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</si>
  <si>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</si>
  <si>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</si>
  <si>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</si>
  <si>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</si>
  <si>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</si>
  <si>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</si>
  <si>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</si>
  <si>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</si>
  <si>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</si>
  <si>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</si>
  <si>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</si>
  <si>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</si>
  <si>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</si>
  <si>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</si>
  <si>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</si>
  <si>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</si>
  <si>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</si>
  <si>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</si>
  <si>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</si>
  <si>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</si>
  <si>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</si>
  <si>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</si>
  <si>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</si>
  <si>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</si>
  <si>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</si>
  <si>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</si>
  <si>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</si>
  <si>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</si>
  <si>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</si>
  <si>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</si>
  <si>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</si>
  <si>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</si>
  <si>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</si>
  <si>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</si>
  <si>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</si>
  <si>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</si>
  <si>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</si>
  <si>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</si>
  <si>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</si>
  <si>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</si>
  <si>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</si>
  <si>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</si>
  <si>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</si>
  <si>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</si>
  <si>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</si>
  <si>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</si>
  <si>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</si>
  <si>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</si>
  <si>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</si>
  <si>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</si>
  <si>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</si>
  <si>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</si>
  <si>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</si>
  <si>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</si>
  <si>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</si>
  <si>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</si>
  <si>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</si>
  <si>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</si>
  <si>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</si>
  <si>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</si>
  <si>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</si>
  <si>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</si>
  <si>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</si>
  <si>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</si>
  <si>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</si>
  <si>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</si>
  <si>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</si>
  <si>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</si>
  <si>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</si>
  <si>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</si>
  <si>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</si>
  <si>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</si>
  <si>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</si>
  <si>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</si>
  <si>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</si>
  <si>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</si>
  <si>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</si>
  <si>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</si>
  <si>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</si>
  <si>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</si>
  <si>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</si>
  <si>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</si>
  <si>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</si>
  <si>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</si>
  <si>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</si>
  <si>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</si>
  <si>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</si>
  <si>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</si>
  <si>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</si>
  <si>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</si>
  <si>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</si>
  <si>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</si>
  <si>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</si>
  <si>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</si>
  <si>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</si>
  <si>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</si>
  <si>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</si>
  <si>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</si>
  <si>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</si>
  <si>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</si>
  <si>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</si>
  <si>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</si>
  <si>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</si>
  <si>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</si>
  <si>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</si>
  <si>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</si>
  <si>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</si>
  <si>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</si>
  <si>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</si>
  <si>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</si>
  <si>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</si>
  <si>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</si>
  <si>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</si>
  <si>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</si>
  <si>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</si>
  <si>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</si>
  <si>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</si>
  <si>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</si>
  <si>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</si>
  <si>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</si>
  <si>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</si>
  <si>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</si>
  <si>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</si>
  <si>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</si>
  <si>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</si>
  <si>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</si>
  <si>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</si>
  <si>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</si>
  <si>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</si>
  <si>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</si>
  <si>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</si>
  <si>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</si>
  <si>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</si>
  <si>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</si>
  <si>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</si>
  <si>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</si>
  <si>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</si>
  <si>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</si>
  <si>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</si>
  <si>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</si>
  <si>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</si>
  <si>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</si>
  <si>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</si>
  <si>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</si>
  <si>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</si>
  <si>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</si>
  <si>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</si>
  <si>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</si>
  <si>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</si>
  <si>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</si>
  <si>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</si>
  <si>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</si>
  <si>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</si>
  <si>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</si>
  <si>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</si>
  <si>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</si>
  <si>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</si>
  <si>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</si>
  <si>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</si>
  <si>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</si>
  <si>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</si>
  <si>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</si>
  <si>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</si>
  <si>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</si>
  <si>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</si>
  <si>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</si>
  <si>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</si>
  <si>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</si>
  <si>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</si>
  <si>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</si>
  <si>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</si>
  <si>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</si>
  <si>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</si>
  <si>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</si>
  <si>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</si>
  <si>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</si>
  <si>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</si>
  <si>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</si>
  <si>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</si>
  <si>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</si>
  <si>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</si>
  <si>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</si>
  <si>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</si>
  <si>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</si>
  <si>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</si>
  <si>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</si>
  <si>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</si>
  <si>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</si>
  <si>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</si>
  <si>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</si>
  <si>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</si>
  <si>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</si>
  <si>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</si>
  <si>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</si>
  <si>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</si>
  <si>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</si>
  <si>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</si>
  <si>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</si>
  <si>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</si>
  <si>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</si>
  <si>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</si>
  <si>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</si>
  <si>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</si>
  <si>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</si>
  <si>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</si>
  <si>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</si>
  <si>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</si>
  <si>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</si>
  <si>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</si>
  <si>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</si>
  <si>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</si>
  <si>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</si>
  <si>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</si>
  <si>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</si>
  <si>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</si>
  <si>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</si>
  <si>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</si>
  <si>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</si>
  <si>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</si>
  <si>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</si>
  <si>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</si>
  <si>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</si>
  <si>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</si>
  <si>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</si>
  <si>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</si>
  <si>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</si>
  <si>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</si>
  <si>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</si>
  <si>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</si>
  <si>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</si>
  <si>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</si>
  <si>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</si>
  <si>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</si>
  <si>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</si>
  <si>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</si>
  <si>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</si>
  <si>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</si>
  <si>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</si>
  <si>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</si>
  <si>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</si>
  <si>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</si>
  <si>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</si>
  <si>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</si>
  <si>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</si>
  <si>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</si>
  <si>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</si>
  <si>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</si>
  <si>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</si>
  <si>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</si>
  <si>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</si>
  <si>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</si>
  <si>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</si>
  <si>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</si>
  <si>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</si>
  <si>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</si>
  <si>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</si>
  <si>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</si>
  <si>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</si>
  <si>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</si>
  <si>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</si>
  <si>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</si>
  <si>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</si>
  <si>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</si>
  <si>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</si>
  <si>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</si>
  <si>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</si>
  <si>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</si>
  <si>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</si>
  <si>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</si>
  <si>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</si>
  <si>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</si>
  <si>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</si>
  <si>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</si>
  <si>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</si>
  <si>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</si>
  <si>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</si>
  <si>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</si>
  <si>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</si>
  <si>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</si>
  <si>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</si>
  <si>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</si>
  <si>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</si>
  <si>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</si>
  <si>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</si>
  <si>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</si>
  <si>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</si>
  <si>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</si>
  <si>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</si>
  <si>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</si>
  <si>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</si>
  <si>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</si>
  <si>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</si>
  <si>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</si>
  <si>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</si>
  <si>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</si>
  <si>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</si>
  <si>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</si>
  <si>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</si>
  <si>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</si>
  <si>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</si>
  <si>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</si>
  <si>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</si>
  <si>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</si>
  <si>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</si>
  <si>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</si>
  <si>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</si>
  <si>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</si>
  <si>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</si>
  <si>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</si>
  <si>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</si>
  <si>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</si>
  <si>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</si>
  <si>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</si>
  <si>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</si>
  <si>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</si>
  <si>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</si>
  <si>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</si>
  <si>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</si>
  <si>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</si>
  <si>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</si>
  <si>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</si>
  <si>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</si>
  <si>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</si>
  <si>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</si>
  <si>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</si>
  <si>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</si>
  <si>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</si>
  <si>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</si>
  <si>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</si>
  <si>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</si>
  <si>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</si>
  <si>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</si>
  <si>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</si>
  <si>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</si>
  <si>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</si>
  <si>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</si>
  <si>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</si>
  <si>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</si>
  <si>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</si>
  <si>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</si>
  <si>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</si>
  <si>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</si>
  <si>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</si>
  <si>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</si>
  <si>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</si>
  <si>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</si>
  <si>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</si>
  <si>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</si>
  <si>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</si>
  <si>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</si>
  <si>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</si>
  <si>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</si>
  <si>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</si>
  <si>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</si>
  <si>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</si>
  <si>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</si>
  <si>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</si>
  <si>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</si>
  <si>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</si>
  <si>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</si>
  <si>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</si>
  <si>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</si>
  <si>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</si>
  <si>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</si>
  <si>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</si>
  <si>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</si>
  <si>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</si>
  <si>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</si>
  <si>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</si>
  <si>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</si>
  <si>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</si>
  <si>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</si>
  <si>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</si>
  <si>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</si>
  <si>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</si>
  <si>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</si>
  <si>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</si>
  <si>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</si>
  <si>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</si>
  <si>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</si>
  <si>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</si>
  <si>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</si>
  <si>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</si>
  <si>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</si>
  <si>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</si>
  <si>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</si>
  <si>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</si>
  <si>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</si>
  <si>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</si>
  <si>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</si>
  <si>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</si>
  <si>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</si>
  <si>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</si>
  <si>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</si>
  <si>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</si>
  <si>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</si>
  <si>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</si>
  <si>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</si>
  <si>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</si>
  <si>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</si>
  <si>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</si>
  <si>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</si>
  <si>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</si>
  <si>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</si>
  <si>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</si>
  <si>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</si>
  <si>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</si>
  <si>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</si>
  <si>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</si>
  <si>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</si>
  <si>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</si>
  <si>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</si>
  <si>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</si>
  <si>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</si>
  <si>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</si>
  <si>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</si>
  <si>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</si>
  <si>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</si>
  <si>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</si>
  <si>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</si>
  <si>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</si>
  <si>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</si>
  <si>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</si>
  <si>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</si>
  <si>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</si>
  <si>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</si>
  <si>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</si>
  <si>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</si>
  <si>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</si>
  <si>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</si>
  <si>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</si>
  <si>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</si>
  <si>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</si>
  <si>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</si>
  <si>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</si>
  <si>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</si>
  <si>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</si>
  <si>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</si>
  <si>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</si>
  <si>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</si>
  <si>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</si>
  <si>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</si>
  <si>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</si>
  <si>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</si>
  <si>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</si>
  <si>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</si>
  <si>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</si>
  <si>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</si>
  <si>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</si>
  <si>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</si>
  <si>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</si>
  <si>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</si>
  <si>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</si>
  <si>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</si>
  <si>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</si>
  <si>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</si>
  <si>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</si>
  <si>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</si>
  <si>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</si>
  <si>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</si>
  <si>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</si>
  <si>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</si>
  <si>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</si>
  <si>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</si>
  <si>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</si>
  <si>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</si>
  <si>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</si>
  <si>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</si>
  <si>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</si>
  <si>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</si>
  <si>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</si>
  <si>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</si>
  <si>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</si>
  <si>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</si>
  <si>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</si>
  <si>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</si>
  <si>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</si>
  <si>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</si>
  <si>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</si>
  <si>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</si>
  <si>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</si>
  <si>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</si>
  <si>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</si>
  <si>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</si>
  <si>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</si>
  <si>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</si>
  <si>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</si>
  <si>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</si>
  <si>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</si>
  <si>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</si>
  <si>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</si>
  <si>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</si>
  <si>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</si>
  <si>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</si>
  <si>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</si>
  <si>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</si>
  <si>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</si>
  <si>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</si>
  <si>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</si>
  <si>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</si>
  <si>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</si>
  <si>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</si>
  <si>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</si>
  <si>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</si>
  <si>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</si>
  <si>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</si>
  <si>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</si>
  <si>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</si>
  <si>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</si>
  <si>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</si>
  <si>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</si>
  <si>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</si>
  <si>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</si>
  <si>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</si>
  <si>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</si>
  <si>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</si>
  <si>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</si>
  <si>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</si>
  <si>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</si>
  <si>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</si>
  <si>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</si>
  <si>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</si>
  <si>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</si>
  <si>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</si>
  <si>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</si>
  <si>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</si>
  <si>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</si>
  <si>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</si>
  <si>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</si>
  <si>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</si>
  <si>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</si>
  <si>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</si>
  <si>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</si>
  <si>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</si>
  <si>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</si>
  <si>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</si>
  <si>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</si>
  <si>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</si>
  <si>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</si>
  <si>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</si>
  <si>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</si>
  <si>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</si>
  <si>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</si>
  <si>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</si>
  <si>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</si>
  <si>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</si>
  <si>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</si>
  <si>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</si>
  <si>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</si>
  <si>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</si>
  <si>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</si>
  <si>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</si>
  <si>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</si>
  <si>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</si>
  <si>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</si>
  <si>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</si>
  <si>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</si>
  <si>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</si>
  <si>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</si>
  <si>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</si>
  <si>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</si>
  <si>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</si>
  <si>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</si>
  <si>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</si>
  <si>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</si>
  <si>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</si>
  <si>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</si>
  <si>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</si>
  <si>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</si>
  <si>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</si>
  <si>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</si>
  <si>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</si>
  <si>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</si>
  <si>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</si>
  <si>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</si>
  <si>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</si>
  <si>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</si>
  <si>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</si>
  <si>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</si>
  <si>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</si>
  <si>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</si>
  <si>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</si>
  <si>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</si>
  <si>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</si>
  <si>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</si>
  <si>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</si>
  <si>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</si>
  <si>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</si>
  <si>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</si>
  <si>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</si>
  <si>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</si>
  <si>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</si>
  <si>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</si>
  <si>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</si>
  <si>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</si>
  <si>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</si>
  <si>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</si>
  <si>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</si>
  <si>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</si>
  <si>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</si>
  <si>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</si>
  <si>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</si>
  <si>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</si>
  <si>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</si>
  <si>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</si>
  <si>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</si>
  <si>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</si>
  <si>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</si>
  <si>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</si>
  <si>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</si>
  <si>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</si>
  <si>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</si>
  <si>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</si>
  <si>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</si>
  <si>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</si>
  <si>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</si>
  <si>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</si>
  <si>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</si>
  <si>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</si>
  <si>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</si>
  <si>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</si>
  <si>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</si>
  <si>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</si>
  <si>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</si>
  <si>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</si>
  <si>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</si>
  <si>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</si>
  <si>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</si>
  <si>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</si>
  <si>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</si>
  <si>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</si>
  <si>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</si>
  <si>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</si>
  <si>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</si>
  <si>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</si>
  <si>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</si>
  <si>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</si>
  <si>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</si>
  <si>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</si>
  <si>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</si>
  <si>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</si>
  <si>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</si>
  <si>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</si>
  <si>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</si>
  <si>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</si>
  <si>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</si>
  <si>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</si>
  <si>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</si>
  <si>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</si>
  <si>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</si>
  <si>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</si>
  <si>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</si>
  <si>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</si>
  <si>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</si>
  <si>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</si>
  <si>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</si>
  <si>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</si>
  <si>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</si>
  <si>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</si>
  <si>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</si>
  <si>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</si>
  <si>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</si>
  <si>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</si>
  <si>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</si>
  <si>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</si>
  <si>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</si>
  <si>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</si>
  <si>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</si>
  <si>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</si>
  <si>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</si>
  <si>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</si>
  <si>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</si>
  <si>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</si>
  <si>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</si>
  <si>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</si>
  <si>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</si>
  <si>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</si>
  <si>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</si>
  <si>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</si>
  <si>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</si>
  <si>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</si>
  <si>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</si>
  <si>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</si>
  <si>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</si>
  <si>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</si>
  <si>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</si>
  <si>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</si>
  <si>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</si>
  <si>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</si>
  <si>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</si>
  <si>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</si>
  <si>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</si>
  <si>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</si>
  <si>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</si>
  <si>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</si>
  <si>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</si>
  <si>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</si>
  <si>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</si>
  <si>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</si>
  <si>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</si>
  <si>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</si>
  <si>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</si>
  <si>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</si>
  <si>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</si>
  <si>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</si>
  <si>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</si>
  <si>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</si>
  <si>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</si>
  <si>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</si>
  <si>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</si>
  <si>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</si>
  <si>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</si>
  <si>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</si>
  <si>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</si>
  <si>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</si>
  <si>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</si>
  <si>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</si>
  <si>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</si>
  <si>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</si>
  <si>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</si>
  <si>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</si>
  <si>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</si>
  <si>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</si>
  <si>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</si>
  <si>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</si>
  <si>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</si>
  <si>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</si>
  <si>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</si>
  <si>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</si>
  <si>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</si>
  <si>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</si>
  <si>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</si>
  <si>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</si>
  <si>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</si>
  <si>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</si>
  <si>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</si>
  <si>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</si>
  <si>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</si>
  <si>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</si>
  <si>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</si>
  <si>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</si>
  <si>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</si>
  <si>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</si>
  <si>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</si>
  <si>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</si>
  <si>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</si>
  <si>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</si>
  <si>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</si>
  <si>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</si>
  <si>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</si>
  <si>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</si>
  <si>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</si>
  <si>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</si>
  <si>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</si>
  <si>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</si>
  <si>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</si>
  <si>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</si>
  <si>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</si>
  <si>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</si>
  <si>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</si>
  <si>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</si>
  <si>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</si>
  <si>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</si>
  <si>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</si>
  <si>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</si>
  <si>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</si>
  <si>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</si>
  <si>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</si>
  <si>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</si>
  <si>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</si>
  <si>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</si>
  <si>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</si>
  <si>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</si>
  <si>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</si>
  <si>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</si>
  <si>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</si>
  <si>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</si>
  <si>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</si>
  <si>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</si>
  <si>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</si>
  <si>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</si>
  <si>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</si>
  <si>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</si>
  <si>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</si>
  <si>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</si>
  <si>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</si>
  <si>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</si>
  <si>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</si>
  <si>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</si>
  <si>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</si>
  <si>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</si>
  <si>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</si>
  <si>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</si>
  <si>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</si>
  <si>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</si>
  <si>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</si>
  <si>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</si>
  <si>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</si>
  <si>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</si>
  <si>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</si>
  <si>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</si>
  <si>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</si>
  <si>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</si>
  <si>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</si>
  <si>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</si>
  <si>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</si>
  <si>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</si>
  <si>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</si>
  <si>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</si>
  <si>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</si>
  <si>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</si>
  <si>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</si>
  <si>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</si>
  <si>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</si>
  <si>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</si>
  <si>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</si>
  <si>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</si>
  <si>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</si>
  <si>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</si>
  <si>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</si>
  <si>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</si>
  <si>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</si>
  <si>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</si>
  <si>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</si>
  <si>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</si>
  <si>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</si>
  <si>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</si>
  <si>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</si>
  <si>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</si>
  <si>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</si>
  <si>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</si>
  <si>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</si>
  <si>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</si>
  <si>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</si>
  <si>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</si>
  <si>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</si>
  <si>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</si>
  <si>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</si>
  <si>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</si>
  <si>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</si>
  <si>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</si>
  <si>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</si>
  <si>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</si>
  <si>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</si>
  <si>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</si>
  <si>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</si>
  <si>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</si>
  <si>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</si>
  <si>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</si>
  <si>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</si>
  <si>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</si>
  <si>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</si>
  <si>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</si>
  <si>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</si>
  <si>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</si>
  <si>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</si>
  <si>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</si>
  <si>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</si>
  <si>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</si>
  <si>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</si>
  <si>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</si>
  <si>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</si>
  <si>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</si>
  <si>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</si>
  <si>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</si>
  <si>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</si>
  <si>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</si>
  <si>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</si>
  <si>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</si>
  <si>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</si>
  <si>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</si>
  <si>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</si>
  <si>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</si>
  <si>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</si>
  <si>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</si>
  <si>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</si>
  <si>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</si>
  <si>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</si>
  <si>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</si>
  <si>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</si>
  <si>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</si>
  <si>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</si>
  <si>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</si>
  <si>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</si>
  <si>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</si>
  <si>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</si>
  <si>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</si>
  <si>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</si>
  <si>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</si>
  <si>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</si>
  <si>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</si>
  <si>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</si>
  <si>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</si>
  <si>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</si>
  <si>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</si>
  <si>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</si>
  <si>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</si>
  <si>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</si>
  <si>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</si>
  <si>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</si>
  <si>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</si>
  <si>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</si>
  <si>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</si>
  <si>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</si>
  <si>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</si>
  <si>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</si>
  <si>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</si>
  <si>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</si>
  <si>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</si>
  <si>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</si>
  <si>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</si>
  <si>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</si>
  <si>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</si>
  <si>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</si>
  <si>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</si>
  <si>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</si>
  <si>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</si>
  <si>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</si>
  <si>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</si>
  <si>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</si>
  <si>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</si>
  <si>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</si>
  <si>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</si>
  <si>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</si>
  <si>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</si>
  <si>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</si>
  <si>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</si>
  <si>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</si>
  <si>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</si>
  <si>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</si>
  <si>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</si>
  <si>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</si>
  <si>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</si>
  <si>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</si>
  <si>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</si>
  <si>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</si>
  <si>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</si>
  <si>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</si>
  <si>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</si>
  <si>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</si>
  <si>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</si>
  <si>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</si>
  <si>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</si>
  <si>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</si>
  <si>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</si>
  <si>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</si>
  <si>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</si>
  <si>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</si>
  <si>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</si>
  <si>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</si>
  <si>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</si>
  <si>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</si>
  <si>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</si>
  <si>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</si>
  <si>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</si>
  <si>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</si>
  <si>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</si>
  <si>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</si>
  <si>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</si>
  <si>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</si>
  <si>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</si>
  <si>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</si>
  <si>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</si>
  <si>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</si>
  <si>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</si>
  <si>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</si>
  <si>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</si>
  <si>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</si>
  <si>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</si>
  <si>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</si>
  <si>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</si>
  <si>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</si>
  <si>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</si>
  <si>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</si>
  <si>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</si>
  <si>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</si>
  <si>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</si>
  <si>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</si>
  <si>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</si>
  <si>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</si>
  <si>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</si>
  <si>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</si>
  <si>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</si>
  <si>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</si>
  <si>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</si>
  <si>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</si>
  <si>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</si>
  <si>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</si>
  <si>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</si>
  <si>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</si>
  <si>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</si>
  <si>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</si>
  <si>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</si>
  <si>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</si>
  <si>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</si>
  <si>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</si>
  <si>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</si>
  <si>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</si>
  <si>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</si>
  <si>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</si>
  <si>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</si>
  <si>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</si>
  <si>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</si>
  <si>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</si>
  <si>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</si>
  <si>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</si>
  <si>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</si>
  <si>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</si>
  <si>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</si>
  <si>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</si>
  <si>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</si>
  <si>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</si>
  <si>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</si>
  <si>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</si>
  <si>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</si>
  <si>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</si>
  <si>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</si>
  <si>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</si>
  <si>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</si>
  <si>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</si>
  <si>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</si>
  <si>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</si>
  <si>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</si>
  <si>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</si>
  <si>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</si>
  <si>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</si>
  <si>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</si>
  <si>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</si>
  <si>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</si>
  <si>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</si>
  <si>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</si>
  <si>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</si>
  <si>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</si>
  <si>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</si>
  <si>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</si>
  <si>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</si>
  <si>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</si>
  <si>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</si>
  <si>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</si>
  <si>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</si>
  <si>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</si>
  <si>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</si>
  <si>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</si>
  <si>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</si>
  <si>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</si>
  <si>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</si>
  <si>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</si>
  <si>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</si>
  <si>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</si>
  <si>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</si>
  <si>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</si>
  <si>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</si>
  <si>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</si>
  <si>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</si>
  <si>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</si>
  <si>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</si>
  <si>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</si>
  <si>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</si>
  <si>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</si>
  <si>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</si>
  <si>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</si>
  <si>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</si>
  <si>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</si>
  <si>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</si>
  <si>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</si>
  <si>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</si>
  <si>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</si>
  <si>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</si>
  <si>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</si>
  <si>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</si>
  <si>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</si>
  <si>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</si>
  <si>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</si>
  <si>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</si>
  <si>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</si>
  <si>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</si>
  <si>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</si>
  <si>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</si>
  <si>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</si>
  <si>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</si>
  <si>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</si>
  <si>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</si>
  <si>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</si>
  <si>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</si>
  <si>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</si>
  <si>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</si>
  <si>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</si>
  <si>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</si>
  <si>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</si>
  <si>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</si>
  <si>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</si>
  <si>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</si>
  <si>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</si>
  <si>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</si>
  <si>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</si>
  <si>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</si>
  <si>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</si>
  <si>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</si>
  <si>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</si>
  <si>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</si>
  <si>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</si>
  <si>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</si>
  <si>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</si>
  <si>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</si>
  <si>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</si>
  <si>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</si>
  <si>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</si>
  <si>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</si>
  <si>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</si>
  <si>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</si>
  <si>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</si>
  <si>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</si>
  <si>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</si>
  <si>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</si>
  <si>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</si>
  <si>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</si>
  <si>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</si>
  <si>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</si>
  <si>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</si>
  <si>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</si>
  <si>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</si>
  <si>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</si>
  <si>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</si>
  <si>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</si>
  <si>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</si>
  <si>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</si>
  <si>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</si>
  <si>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</si>
  <si>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</si>
  <si>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</si>
  <si>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</si>
  <si>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</si>
  <si>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</si>
  <si>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</si>
  <si>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</si>
  <si>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</si>
  <si>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</si>
  <si>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</si>
  <si>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</si>
  <si>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</si>
  <si>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</si>
  <si>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</si>
  <si>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</si>
  <si>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</si>
  <si>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</si>
  <si>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</si>
  <si>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</si>
  <si>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</si>
  <si>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</si>
  <si>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</si>
  <si>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</si>
  <si>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</si>
  <si>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</si>
  <si>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</si>
  <si>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</si>
  <si>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</si>
  <si>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</si>
  <si>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</si>
  <si>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</si>
  <si>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</si>
  <si>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</si>
  <si>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</si>
  <si>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</si>
  <si>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</si>
  <si>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</si>
  <si>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</si>
  <si>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</si>
  <si>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</si>
  <si>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</si>
  <si>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</si>
  <si>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</si>
  <si>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</si>
  <si>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</si>
  <si>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</si>
  <si>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</si>
  <si>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</si>
  <si>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</si>
  <si>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</si>
  <si>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</si>
  <si>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</si>
  <si>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</si>
  <si>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</si>
  <si>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</si>
  <si>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</si>
  <si>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</si>
  <si>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</si>
  <si>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</si>
  <si>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</si>
  <si>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</si>
  <si>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</si>
  <si>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</si>
  <si>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</si>
  <si>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</si>
  <si>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</si>
  <si>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</si>
  <si>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</si>
  <si>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</si>
  <si>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</si>
  <si>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</si>
  <si>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</si>
  <si>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</si>
  <si>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</si>
  <si>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</si>
  <si>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</si>
  <si>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</si>
  <si>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</si>
  <si>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</si>
  <si>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</si>
  <si>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</si>
  <si>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</si>
  <si>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</si>
  <si>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</si>
  <si>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</si>
  <si>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</si>
  <si>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</si>
  <si>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</si>
  <si>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</si>
  <si>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</si>
  <si>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</si>
  <si>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</si>
  <si>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</si>
  <si>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</si>
  <si>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</si>
  <si>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</si>
  <si>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</si>
  <si>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</si>
  <si>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</si>
  <si>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</si>
  <si>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</si>
  <si>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</si>
  <si>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</si>
  <si>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</si>
  <si>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</si>
  <si>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</si>
  <si>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</si>
  <si>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</si>
  <si>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</si>
  <si>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</si>
  <si>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</si>
  <si>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</si>
  <si>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</si>
  <si>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</si>
  <si>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</si>
  <si>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</si>
  <si>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</si>
  <si>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</si>
  <si>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</si>
  <si>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</si>
  <si>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</si>
  <si>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</si>
  <si>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</si>
  <si>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</si>
  <si>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</si>
  <si>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</si>
  <si>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</si>
  <si>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</si>
  <si>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</si>
  <si>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</si>
  <si>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</si>
  <si>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</si>
  <si>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</si>
  <si>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</si>
  <si>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</si>
  <si>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</si>
  <si>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</si>
  <si>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</si>
  <si>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</si>
  <si>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</si>
  <si>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</si>
  <si>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</si>
  <si>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</si>
  <si>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</si>
  <si>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</si>
  <si>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</si>
  <si>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</si>
  <si>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</si>
  <si>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</si>
  <si>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</si>
  <si>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</si>
  <si>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</si>
  <si>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</si>
  <si>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</si>
  <si>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</si>
  <si>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</si>
  <si>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</si>
  <si>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</si>
  <si>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</si>
  <si>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</si>
  <si>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</si>
  <si>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</si>
  <si>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</si>
  <si>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</si>
  <si>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</si>
  <si>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</si>
  <si>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</si>
  <si>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</si>
  <si>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</si>
  <si>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</si>
  <si>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</si>
  <si>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</si>
  <si>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</si>
  <si>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</si>
  <si>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</si>
  <si>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</si>
  <si>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</si>
  <si>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</si>
  <si>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</si>
  <si>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</si>
  <si>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</si>
  <si>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</si>
  <si>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</si>
  <si>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</si>
  <si>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</si>
  <si>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</si>
  <si>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</si>
  <si>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</si>
  <si>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</si>
  <si>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</si>
  <si>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</si>
  <si>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</si>
  <si>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</si>
  <si>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</si>
  <si>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</si>
  <si>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</si>
  <si>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</si>
  <si>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</si>
  <si>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</si>
  <si>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</si>
  <si>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</si>
  <si>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</si>
  <si>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</si>
  <si>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</si>
  <si>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</si>
  <si>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</si>
  <si>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</si>
  <si>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</si>
  <si>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</si>
  <si>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</si>
  <si>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</si>
  <si>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</si>
  <si>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</si>
  <si>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</si>
  <si>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</si>
  <si>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</si>
  <si>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</si>
  <si>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</si>
  <si>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</si>
  <si>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</si>
  <si>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</si>
  <si>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</si>
  <si>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</si>
  <si>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</si>
  <si>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</si>
  <si>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</si>
  <si>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</si>
  <si>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</si>
  <si>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</si>
  <si>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</si>
  <si>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</si>
  <si>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</si>
  <si>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</si>
  <si>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</si>
  <si>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</si>
  <si>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</si>
  <si>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</si>
  <si>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</si>
  <si>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</si>
  <si>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</si>
  <si>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</si>
  <si>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</si>
  <si>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</si>
  <si>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</si>
  <si>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</si>
  <si>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</si>
  <si>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</si>
  <si>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</si>
  <si>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</si>
  <si>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</si>
  <si>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</si>
  <si>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</si>
  <si>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</si>
  <si>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</si>
  <si>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</si>
  <si>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</si>
  <si>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</si>
  <si>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</si>
  <si>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</si>
  <si>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</si>
  <si>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</si>
  <si>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</si>
  <si>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</si>
  <si>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</si>
  <si>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</si>
  <si>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</si>
  <si>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</si>
  <si>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</si>
  <si>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</si>
  <si>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</si>
  <si>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</si>
  <si>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</si>
  <si>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</si>
  <si>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</si>
  <si>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</si>
  <si>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</si>
  <si>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</si>
  <si>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</si>
  <si>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</si>
  <si>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</si>
  <si>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</si>
  <si>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</si>
  <si>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</si>
  <si>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</si>
  <si>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</si>
  <si>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</si>
  <si>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</si>
  <si>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</si>
  <si>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</si>
  <si>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</si>
  <si>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</si>
  <si>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</si>
  <si>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</si>
  <si>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</si>
  <si>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</si>
  <si>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</si>
  <si>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</si>
  <si>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</si>
  <si>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</si>
  <si>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</si>
  <si>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</si>
  <si>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</si>
  <si>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</si>
  <si>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</si>
  <si>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</si>
  <si>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</si>
  <si>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</si>
  <si>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</si>
  <si>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</si>
  <si>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</si>
  <si>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</si>
  <si>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</si>
  <si>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</si>
  <si>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</si>
  <si>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</si>
  <si>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</si>
  <si>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</si>
  <si>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</si>
  <si>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</si>
  <si>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</si>
  <si>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</si>
  <si>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</si>
  <si>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</si>
  <si>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</si>
  <si>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</si>
  <si>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</si>
  <si>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</si>
  <si>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</si>
  <si>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</si>
  <si>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</si>
  <si>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</si>
  <si>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</si>
  <si>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</si>
  <si>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</si>
  <si>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</si>
  <si>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</si>
  <si>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</si>
  <si>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</si>
  <si>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</si>
  <si>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</si>
  <si>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</si>
  <si>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</si>
  <si>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</si>
  <si>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</si>
  <si>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</si>
  <si>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</si>
  <si>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</si>
  <si>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</si>
  <si>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</si>
  <si>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</si>
  <si>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</si>
  <si>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</si>
  <si>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</si>
  <si>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</si>
  <si>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</si>
  <si>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</si>
  <si>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</si>
  <si>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</si>
  <si>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</si>
  <si>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</si>
  <si>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</si>
  <si>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</si>
  <si>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</si>
  <si>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</si>
  <si>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</si>
  <si>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</si>
  <si>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</si>
  <si>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</si>
  <si>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</si>
  <si>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</si>
  <si>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</si>
  <si>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</si>
  <si>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</si>
  <si>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</si>
  <si>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</si>
  <si>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</si>
  <si>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</si>
  <si>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</si>
  <si>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</si>
  <si>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</si>
  <si>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</si>
  <si>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</si>
  <si>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</si>
  <si>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</si>
  <si>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</si>
  <si>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</si>
  <si>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</si>
  <si>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</si>
  <si>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</si>
  <si>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</si>
  <si>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</si>
  <si>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</si>
  <si>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</si>
  <si>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</si>
  <si>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</si>
  <si>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</si>
  <si>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</si>
  <si>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</si>
  <si>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</si>
  <si>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</si>
  <si>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</si>
  <si>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</si>
  <si>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</si>
  <si>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</si>
  <si>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</si>
  <si>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</si>
  <si>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</si>
  <si>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</si>
  <si>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</si>
  <si>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</si>
  <si>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</si>
  <si>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</si>
  <si>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</si>
  <si>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</si>
  <si>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</si>
  <si>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</si>
  <si>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</si>
  <si>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</si>
  <si>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</si>
  <si>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</si>
  <si>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</si>
  <si>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</si>
  <si>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</si>
  <si>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</si>
  <si>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</si>
  <si>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</si>
  <si>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</si>
  <si>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</si>
  <si>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</si>
  <si>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</si>
  <si>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</si>
  <si>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</si>
  <si>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</si>
  <si>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</si>
  <si>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</si>
  <si>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</si>
  <si>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</si>
  <si>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</si>
  <si>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</si>
  <si>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</si>
  <si>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</si>
  <si>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</si>
  <si>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</si>
  <si>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</si>
  <si>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</si>
  <si>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</si>
  <si>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</si>
  <si>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</si>
  <si>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</si>
  <si>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</si>
  <si>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</si>
  <si>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</si>
  <si>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</si>
  <si>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</si>
  <si>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</si>
  <si>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</si>
  <si>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</si>
  <si>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</si>
  <si>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</si>
  <si>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</si>
  <si>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</si>
  <si>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</si>
  <si>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</si>
  <si>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</si>
  <si>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</si>
  <si>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</si>
  <si>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</si>
  <si>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</si>
  <si>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</si>
  <si>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</si>
  <si>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</si>
  <si>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</si>
  <si>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</si>
  <si>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</si>
  <si>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</si>
  <si>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</si>
  <si>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</si>
  <si>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</si>
  <si>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</si>
  <si>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</si>
  <si>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</si>
  <si>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</si>
  <si>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</si>
  <si>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</si>
  <si>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</si>
  <si>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</si>
  <si>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</si>
  <si>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</si>
  <si>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</si>
  <si>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</si>
  <si>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</si>
  <si>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</si>
  <si>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</si>
  <si>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</si>
  <si>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</si>
  <si>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</si>
  <si>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</si>
  <si>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</si>
  <si>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</si>
  <si>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</si>
  <si>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</si>
  <si>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</si>
  <si>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</si>
  <si>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</si>
  <si>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</si>
  <si>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</si>
  <si>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</si>
  <si>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</si>
  <si>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</si>
  <si>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</si>
  <si>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</si>
  <si>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</si>
  <si>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</si>
  <si>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</si>
  <si>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</si>
  <si>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</si>
  <si>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</si>
  <si>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</si>
  <si>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</si>
  <si>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</si>
  <si>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</si>
  <si>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</si>
  <si>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</si>
  <si>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</si>
  <si>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</si>
  <si>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</si>
  <si>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</si>
  <si>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</si>
  <si>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</si>
  <si>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</si>
  <si>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</si>
  <si>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</si>
  <si>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</si>
  <si>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</si>
  <si>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</si>
  <si>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</si>
  <si>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</si>
  <si>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</si>
  <si>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</si>
  <si>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</si>
  <si>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</si>
  <si>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</si>
  <si>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</si>
  <si>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</si>
  <si>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</si>
  <si>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</si>
  <si>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</si>
  <si>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</si>
  <si>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</si>
  <si>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</si>
  <si>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</si>
  <si>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</si>
  <si>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</si>
  <si>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</si>
  <si>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</si>
  <si>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</si>
  <si>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</si>
  <si>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</si>
  <si>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</si>
  <si>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</si>
  <si>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</si>
  <si>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</si>
  <si>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</si>
  <si>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</si>
  <si>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</si>
  <si>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</si>
  <si>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</si>
  <si>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</si>
  <si>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</si>
  <si>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</si>
  <si>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</si>
  <si>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</si>
  <si>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</si>
  <si>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</si>
  <si>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</si>
  <si>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</si>
  <si>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</si>
  <si>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</si>
  <si>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</si>
  <si>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</si>
  <si>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</si>
  <si>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</si>
  <si>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</si>
  <si>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</si>
  <si>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</si>
  <si>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</si>
  <si>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</si>
  <si>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</si>
  <si>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</si>
  <si>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</si>
  <si>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</si>
  <si>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</si>
  <si>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</si>
  <si>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</si>
  <si>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</si>
  <si>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</si>
  <si>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</si>
  <si>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</si>
  <si>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</si>
  <si>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</si>
  <si>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</si>
  <si>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</si>
  <si>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</si>
  <si>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</si>
  <si>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</si>
  <si>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</si>
  <si>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</si>
  <si>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</si>
  <si>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</si>
  <si>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</si>
  <si>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</si>
  <si>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</si>
  <si>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</si>
  <si>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</si>
  <si>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</si>
  <si>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</si>
  <si>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</si>
  <si>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</si>
  <si>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</si>
  <si>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</si>
  <si>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</si>
  <si>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</si>
  <si>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</si>
  <si>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</si>
  <si>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</si>
  <si>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</si>
  <si>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</si>
  <si>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</si>
  <si>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</si>
  <si>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</si>
  <si>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</si>
  <si>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</si>
  <si>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</si>
  <si>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</si>
  <si>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</si>
  <si>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</si>
  <si>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</si>
  <si>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</si>
  <si>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</si>
  <si>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</si>
  <si>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</si>
  <si>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</si>
  <si>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</si>
  <si>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</si>
  <si>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</si>
  <si>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</si>
  <si>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</si>
  <si>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</si>
  <si>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</si>
  <si>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</si>
  <si>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</si>
  <si>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</si>
  <si>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</si>
  <si>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</si>
  <si>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</si>
  <si>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</si>
  <si>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</si>
  <si>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</si>
  <si>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</si>
  <si>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</si>
  <si>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</si>
  <si>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</si>
  <si>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</si>
  <si>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</si>
  <si>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</si>
  <si>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</si>
  <si>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</si>
  <si>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</si>
  <si>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</si>
  <si>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</si>
  <si>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</si>
  <si>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</si>
  <si>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</si>
  <si>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</si>
  <si>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</si>
  <si>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</si>
  <si>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</si>
  <si>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</si>
  <si>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</si>
  <si>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</si>
  <si>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</si>
  <si>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</si>
  <si>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</si>
  <si>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</si>
  <si>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</si>
  <si>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</si>
  <si>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</si>
  <si>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</si>
  <si>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</si>
  <si>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</si>
  <si>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</si>
  <si>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</si>
  <si>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</si>
  <si>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</si>
  <si>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</si>
  <si>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</si>
  <si>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</si>
  <si>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</si>
  <si>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</si>
  <si>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</si>
  <si>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</si>
  <si>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</si>
  <si>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</si>
  <si>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</si>
  <si>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</si>
  <si>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</si>
  <si>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</si>
  <si>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</si>
  <si>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</si>
  <si>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</si>
  <si>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</si>
  <si>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</si>
  <si>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</si>
  <si>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</si>
  <si>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</si>
  <si>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</si>
  <si>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</si>
  <si>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</si>
  <si>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</si>
  <si>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</si>
  <si>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</si>
  <si>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</si>
  <si>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</si>
  <si>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</si>
  <si>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</si>
  <si>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</si>
  <si>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</si>
  <si>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</si>
  <si>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</si>
  <si>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</si>
  <si>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</si>
  <si>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</si>
  <si>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</si>
  <si>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</si>
  <si>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</si>
  <si>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</si>
  <si>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</si>
  <si>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</si>
  <si>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</si>
  <si>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</si>
  <si>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</si>
  <si>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</si>
  <si>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</si>
  <si>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</si>
  <si>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</si>
  <si>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</si>
  <si>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</si>
  <si>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</si>
  <si>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</si>
  <si>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</si>
  <si>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</si>
  <si>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</si>
  <si>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</si>
  <si>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</si>
  <si>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</si>
  <si>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</si>
  <si>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</si>
  <si>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</si>
  <si>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</si>
  <si>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</si>
  <si>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</si>
  <si>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</si>
  <si>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</si>
  <si>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</si>
  <si>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</si>
  <si>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</si>
  <si>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</si>
  <si>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</si>
  <si>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</si>
  <si>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</si>
  <si>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</si>
  <si>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</si>
  <si>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</si>
  <si>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</si>
  <si>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</si>
  <si>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</si>
  <si>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</si>
  <si>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</si>
  <si>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</si>
  <si>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</si>
  <si>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</si>
  <si>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</si>
  <si>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</si>
  <si>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</si>
  <si>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</si>
  <si>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</si>
  <si>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</si>
  <si>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</si>
  <si>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</si>
  <si>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</si>
  <si>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</si>
  <si>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</si>
  <si>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</si>
  <si>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</si>
  <si>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</si>
  <si>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</si>
  <si>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</si>
  <si>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</si>
  <si>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</si>
  <si>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</si>
  <si>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</si>
  <si>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</si>
  <si>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</si>
  <si>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</si>
  <si>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</si>
  <si>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</si>
  <si>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</si>
  <si>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</si>
  <si>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</si>
  <si>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</si>
  <si>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</si>
  <si>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</si>
  <si>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</si>
  <si>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</si>
  <si>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</si>
  <si>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</si>
  <si>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</si>
  <si>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</si>
  <si>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</si>
  <si>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</si>
  <si>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</si>
  <si>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</si>
  <si>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</si>
  <si>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</si>
  <si>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</si>
  <si>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</si>
  <si>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</si>
  <si>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</si>
  <si>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</si>
  <si>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</si>
  <si>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</si>
  <si>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</si>
  <si>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</si>
  <si>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</si>
  <si>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</si>
  <si>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</si>
  <si>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</si>
  <si>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</si>
  <si>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</si>
  <si>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</si>
  <si>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</si>
  <si>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</si>
  <si>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</si>
  <si>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</si>
  <si>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</si>
  <si>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</si>
  <si>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</si>
  <si>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</si>
  <si>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</si>
  <si>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</si>
  <si>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</si>
  <si>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</si>
  <si>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</si>
  <si>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</si>
  <si>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</si>
  <si>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</si>
  <si>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</si>
  <si>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</si>
  <si>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</si>
  <si>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</si>
  <si>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</si>
  <si>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</si>
  <si>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</si>
  <si>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</si>
  <si>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</si>
  <si>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</si>
  <si>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</si>
  <si>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</si>
  <si>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</si>
  <si>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</si>
  <si>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</si>
  <si>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</si>
  <si>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</si>
  <si>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</si>
  <si>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</si>
  <si>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</si>
  <si>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</si>
  <si>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</si>
  <si>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</si>
  <si>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</si>
  <si>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</si>
  <si>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</si>
  <si>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</si>
  <si>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</si>
  <si>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</si>
  <si>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</si>
  <si>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</si>
  <si>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</si>
  <si>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</si>
  <si>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</si>
  <si>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</si>
  <si>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</si>
  <si>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</si>
  <si>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</si>
  <si>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</si>
  <si>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</si>
  <si>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</si>
  <si>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</si>
  <si>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</si>
  <si>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</si>
  <si>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</si>
  <si>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</si>
  <si>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</si>
  <si>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</si>
  <si>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</si>
  <si>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</si>
  <si>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</si>
  <si>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</si>
  <si>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</si>
  <si>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</si>
  <si>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</si>
  <si>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</si>
  <si>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</si>
  <si>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</si>
  <si>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</si>
  <si>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</si>
  <si>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</si>
  <si>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</si>
  <si>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</si>
  <si>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</si>
  <si>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</si>
  <si>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</si>
  <si>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</si>
  <si>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</si>
  <si>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</si>
  <si>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</si>
  <si>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</si>
  <si>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</si>
  <si>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</si>
  <si>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</si>
  <si>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</si>
  <si>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</si>
  <si>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</si>
  <si>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</si>
  <si>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</si>
  <si>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</si>
  <si>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</si>
  <si>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</si>
  <si>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</si>
  <si>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</si>
  <si>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</si>
  <si>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</si>
  <si>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</si>
  <si>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</si>
  <si>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</si>
  <si>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</si>
  <si>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</si>
  <si>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</si>
  <si>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</si>
  <si>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</si>
  <si>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</si>
  <si>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</si>
  <si>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</si>
  <si>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</si>
  <si>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</si>
  <si>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</si>
  <si>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</si>
  <si>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</si>
  <si>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</si>
  <si>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</si>
  <si>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</si>
  <si>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</si>
  <si>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</si>
  <si>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</si>
  <si>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</si>
  <si>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</si>
  <si>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</si>
  <si>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</si>
  <si>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</si>
  <si>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</si>
  <si>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</si>
  <si>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</si>
  <si>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</si>
  <si>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</si>
  <si>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</si>
  <si>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</si>
  <si>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</si>
  <si>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</si>
  <si>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</si>
  <si>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</si>
  <si>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</si>
  <si>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</si>
  <si>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</si>
  <si>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</si>
  <si>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</si>
  <si>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</si>
  <si>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</si>
  <si>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</si>
  <si>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</si>
  <si>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</si>
  <si>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</si>
  <si>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</si>
  <si>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</si>
  <si>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</si>
  <si>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</si>
  <si>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</si>
  <si>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</si>
  <si>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</si>
  <si>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</si>
  <si>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</si>
  <si>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</si>
  <si>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</si>
  <si>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</si>
  <si>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</si>
  <si>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</si>
  <si>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</si>
  <si>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</si>
  <si>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</si>
  <si>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</si>
  <si>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</si>
  <si>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</si>
  <si>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</si>
  <si>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</si>
  <si>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</si>
  <si>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</si>
  <si>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</si>
  <si>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</si>
  <si>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</si>
  <si>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</si>
  <si>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</si>
  <si>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</si>
  <si>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</si>
  <si>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</si>
  <si>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</si>
  <si>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</si>
  <si>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</si>
  <si>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</si>
  <si>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</si>
  <si>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</si>
  <si>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</si>
  <si>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</si>
  <si>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</si>
  <si>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</si>
  <si>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</si>
  <si>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</si>
  <si>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</si>
  <si>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</si>
  <si>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</si>
  <si>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</si>
  <si>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</si>
  <si>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</si>
  <si>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</si>
  <si>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</si>
  <si>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</si>
  <si>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</si>
  <si>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</si>
  <si>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</si>
  <si>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</si>
  <si>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</si>
  <si>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</si>
  <si>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</si>
  <si>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</si>
  <si>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</si>
  <si>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</si>
  <si>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</si>
  <si>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</si>
  <si>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</si>
  <si>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</si>
  <si>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</si>
  <si>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</si>
  <si>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</si>
  <si>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</si>
  <si>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</si>
  <si>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</si>
  <si>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</si>
  <si>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</si>
  <si>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</si>
  <si>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</si>
  <si>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</si>
  <si>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</si>
  <si>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</si>
  <si>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</si>
  <si>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</si>
  <si>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</si>
  <si>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</si>
  <si>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</si>
  <si>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</si>
  <si>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</si>
  <si>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</si>
  <si>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</si>
  <si>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</si>
  <si>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</si>
  <si>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</si>
  <si>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</si>
  <si>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</si>
  <si>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</si>
  <si>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</si>
  <si>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</si>
  <si>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</si>
  <si>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</si>
  <si>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</si>
  <si>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</si>
  <si>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</si>
  <si>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</si>
  <si>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</si>
  <si>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</si>
  <si>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</si>
  <si>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</si>
  <si>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</si>
  <si>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</si>
  <si>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</si>
  <si>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</si>
  <si>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</si>
  <si>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</si>
  <si>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</si>
  <si>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</si>
  <si>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</si>
  <si>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</si>
  <si>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</si>
  <si>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</si>
  <si>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</si>
  <si>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</si>
  <si>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</si>
  <si>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</si>
  <si>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</si>
  <si>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</si>
  <si>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</si>
  <si>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</si>
  <si>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</si>
  <si>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</si>
  <si>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</si>
  <si>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</si>
  <si>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</si>
  <si>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</si>
  <si>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</si>
  <si>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</si>
  <si>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</si>
  <si>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</si>
  <si>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</si>
  <si>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</si>
  <si>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</si>
  <si>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</si>
  <si>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</si>
  <si>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</si>
  <si>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</si>
  <si>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</si>
  <si>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</si>
  <si>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</si>
  <si>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</si>
  <si>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</si>
  <si>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</si>
  <si>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</si>
  <si>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</si>
  <si>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</si>
  <si>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</si>
  <si>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</si>
  <si>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</si>
  <si>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</si>
  <si>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</si>
  <si>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</si>
  <si>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</si>
  <si>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</si>
  <si>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</si>
  <si>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</si>
  <si>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</si>
  <si>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</si>
  <si>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</si>
  <si>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</si>
  <si>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</si>
  <si>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</si>
  <si>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</si>
  <si>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</si>
  <si>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</si>
  <si>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</si>
  <si>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</si>
  <si>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</si>
  <si>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</si>
  <si>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</si>
  <si>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</si>
  <si>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</si>
  <si>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</si>
  <si>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</si>
  <si>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</si>
  <si>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</si>
  <si>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</si>
  <si>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</si>
  <si>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</si>
  <si>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</si>
  <si>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</si>
  <si>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</si>
  <si>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</si>
  <si>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</si>
  <si>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</si>
  <si>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</si>
  <si>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</si>
  <si>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</si>
  <si>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</si>
  <si>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</si>
  <si>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</si>
  <si>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</si>
  <si>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</si>
  <si>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</si>
  <si>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</si>
  <si>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</si>
  <si>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</si>
  <si>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</si>
  <si>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</si>
  <si>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</si>
  <si>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</si>
  <si>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</si>
  <si>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</si>
  <si>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</si>
  <si>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</si>
  <si>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</si>
  <si>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</si>
  <si>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</si>
  <si>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</si>
  <si>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</si>
  <si>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</si>
  <si>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</si>
  <si>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</si>
  <si>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</si>
  <si>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</si>
  <si>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</si>
  <si>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</si>
  <si>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</si>
  <si>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</si>
  <si>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</si>
  <si>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</si>
  <si>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</si>
  <si>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</si>
  <si>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</si>
  <si>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</si>
  <si>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</si>
  <si>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</si>
  <si>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</si>
  <si>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</si>
  <si>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</si>
  <si>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</si>
  <si>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</si>
  <si>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</si>
  <si>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</si>
  <si>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</si>
  <si>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</si>
  <si>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</si>
  <si>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</si>
  <si>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</si>
  <si>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</si>
  <si>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</si>
  <si>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</si>
  <si>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</si>
  <si>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</si>
  <si>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</si>
  <si>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</si>
  <si>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</si>
  <si>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</si>
  <si>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</si>
  <si>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</si>
  <si>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</si>
  <si>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</si>
  <si>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</si>
  <si>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</si>
  <si>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</si>
  <si>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</si>
  <si>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</si>
  <si>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</si>
  <si>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</si>
  <si>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</si>
  <si>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</si>
  <si>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</si>
  <si>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</si>
  <si>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</si>
  <si>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</si>
  <si>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</si>
  <si>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</si>
  <si>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</si>
  <si>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</si>
  <si>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</si>
  <si>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</si>
  <si>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</si>
  <si>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</si>
  <si>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</si>
  <si>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</si>
  <si>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</si>
  <si>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</si>
  <si>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</si>
  <si>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</si>
  <si>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</si>
  <si>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</si>
  <si>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</si>
  <si>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</si>
  <si>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</si>
  <si>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</si>
  <si>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</si>
  <si>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</si>
  <si>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</si>
  <si>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</si>
  <si>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</si>
  <si>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</si>
  <si>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</si>
  <si>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</si>
  <si>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</si>
  <si>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</si>
  <si>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</si>
  <si>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</si>
  <si>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</si>
  <si>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</si>
  <si>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</si>
  <si>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</si>
  <si>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</si>
  <si>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</si>
  <si>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</si>
  <si>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</si>
  <si>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</si>
  <si>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</si>
  <si>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</si>
  <si>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</si>
  <si>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</si>
  <si>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</si>
  <si>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</si>
  <si>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</si>
  <si>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</si>
  <si>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</si>
  <si>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</si>
  <si>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</si>
  <si>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</si>
  <si>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</si>
  <si>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</si>
  <si>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</si>
  <si>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</si>
  <si>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</si>
  <si>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</si>
  <si>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</si>
  <si>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</si>
  <si>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</si>
  <si>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</si>
  <si>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</si>
  <si>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</si>
  <si>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</si>
  <si>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</si>
  <si>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</si>
  <si>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</si>
  <si>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</si>
  <si>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</si>
  <si>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</si>
  <si>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</si>
  <si>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</si>
  <si>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</si>
  <si>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</si>
  <si>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</si>
  <si>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</si>
  <si>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</si>
  <si>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</si>
  <si>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</si>
  <si>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</si>
  <si>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</si>
  <si>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</si>
  <si>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</si>
  <si>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</si>
  <si>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</si>
  <si>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</si>
  <si>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</si>
  <si>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</si>
  <si>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</si>
  <si>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</si>
  <si>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</si>
  <si>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</si>
  <si>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</si>
  <si>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</si>
  <si>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</si>
  <si>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</si>
  <si>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</si>
  <si>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</si>
  <si>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</si>
  <si>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</si>
  <si>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</si>
  <si>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</si>
  <si>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</si>
  <si>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</si>
  <si>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</si>
  <si>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</si>
  <si>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</si>
  <si>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</si>
  <si>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</si>
  <si>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</si>
  <si>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</si>
  <si>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</si>
  <si>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</si>
  <si>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</si>
  <si>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</si>
  <si>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</si>
  <si>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</si>
  <si>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</si>
  <si>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</si>
  <si>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</si>
  <si>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</si>
  <si>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</si>
  <si>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</si>
  <si>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</si>
  <si>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</si>
  <si>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</si>
  <si>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</si>
  <si>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</si>
  <si>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</si>
  <si>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</si>
  <si>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</si>
  <si>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</si>
  <si>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</si>
  <si>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</si>
  <si>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</si>
  <si>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</si>
  <si>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</si>
  <si>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</si>
  <si>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</si>
  <si>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</si>
  <si>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</si>
  <si>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</si>
  <si>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</si>
  <si>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</si>
  <si>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</si>
  <si>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</si>
  <si>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</si>
  <si>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</si>
  <si>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</si>
  <si>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</si>
  <si>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</si>
  <si>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</si>
  <si>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</si>
  <si>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</si>
  <si>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</si>
  <si>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</si>
  <si>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</si>
  <si>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</si>
  <si>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</si>
  <si>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</si>
  <si>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</si>
  <si>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</si>
  <si>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</si>
  <si>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</si>
  <si>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</si>
  <si>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</si>
  <si>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</si>
  <si>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</si>
  <si>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</si>
  <si>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</si>
  <si>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</si>
  <si>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</si>
  <si>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</si>
  <si>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</si>
  <si>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</si>
  <si>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</si>
  <si>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</si>
  <si>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</si>
  <si>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</si>
  <si>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</si>
  <si>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</si>
  <si>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</si>
  <si>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</si>
  <si>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</si>
  <si>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</si>
  <si>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</si>
  <si>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</si>
  <si>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</si>
  <si>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</si>
  <si>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</si>
  <si>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</si>
  <si>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</si>
  <si>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</si>
  <si>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</si>
  <si>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</si>
  <si>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</si>
  <si>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</si>
  <si>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</si>
  <si>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</si>
  <si>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</si>
  <si>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</si>
  <si>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</si>
  <si>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</si>
  <si>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</si>
  <si>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</si>
  <si>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</si>
  <si>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</si>
  <si>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</si>
  <si>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</si>
  <si>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</si>
  <si>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</si>
  <si>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</si>
  <si>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</si>
  <si>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</si>
  <si>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</si>
  <si>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</si>
  <si>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</si>
  <si>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</si>
  <si>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</si>
  <si>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</si>
  <si>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</si>
  <si>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</si>
  <si>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</si>
  <si>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</si>
  <si>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</si>
  <si>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</si>
  <si>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</si>
  <si>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</si>
  <si>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</si>
  <si>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</si>
  <si>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</si>
  <si>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</si>
  <si>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</si>
  <si>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</si>
  <si>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</si>
  <si>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</si>
  <si>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</si>
  <si>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</si>
  <si>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</si>
  <si>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</si>
  <si>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</si>
  <si>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</si>
  <si>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</si>
  <si>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</si>
  <si>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</si>
  <si>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</si>
  <si>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</si>
  <si>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</si>
  <si>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</si>
  <si>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</si>
  <si>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</si>
  <si>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</si>
  <si>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</si>
  <si>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</si>
  <si>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</si>
  <si>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</si>
  <si>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</si>
  <si>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</si>
  <si>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</si>
  <si>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</si>
  <si>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</si>
  <si>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</si>
  <si>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</si>
  <si>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</si>
  <si>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</si>
  <si>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</si>
  <si>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</si>
  <si>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</si>
  <si>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</si>
  <si>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</si>
  <si>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</si>
  <si>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</si>
  <si>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</si>
  <si>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</si>
  <si>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</si>
  <si>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</si>
  <si>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</si>
  <si>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</si>
  <si>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</si>
  <si>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</si>
  <si>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</si>
  <si>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</si>
  <si>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</si>
  <si>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</si>
  <si>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</si>
  <si>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</si>
  <si>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</si>
  <si>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</si>
  <si>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</si>
  <si>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</si>
  <si>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</si>
  <si>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</si>
  <si>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</si>
  <si>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</si>
  <si>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</si>
  <si>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</si>
  <si>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</si>
  <si>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</si>
  <si>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</si>
  <si>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</si>
  <si>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</si>
  <si>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</si>
  <si>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</si>
  <si>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</si>
  <si>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</si>
  <si>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</si>
  <si>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</si>
  <si>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</si>
  <si>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</si>
  <si>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</si>
  <si>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</si>
  <si>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</si>
  <si>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</si>
  <si>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</si>
  <si>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</si>
  <si>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</si>
  <si>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</si>
  <si>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</si>
  <si>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</si>
  <si>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</si>
  <si>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</si>
  <si>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</si>
  <si>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</si>
  <si>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</si>
  <si>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</si>
  <si>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</si>
  <si>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</si>
  <si>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</si>
  <si>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</si>
  <si>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</si>
  <si>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</si>
  <si>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</si>
  <si>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</si>
  <si>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</si>
  <si>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</si>
  <si>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</si>
  <si>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</si>
  <si>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</si>
  <si>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</si>
  <si>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</si>
  <si>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</si>
  <si>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</si>
  <si>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</si>
  <si>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</si>
  <si>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</si>
  <si>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</si>
  <si>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</si>
  <si>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</si>
  <si>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</si>
  <si>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</si>
  <si>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</si>
  <si>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</si>
  <si>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</si>
  <si>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</si>
  <si>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</si>
  <si>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</si>
  <si>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</si>
  <si>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</si>
  <si>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</si>
  <si>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</si>
  <si>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</si>
  <si>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</si>
  <si>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</si>
  <si>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</si>
  <si>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</si>
  <si>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</si>
  <si>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</si>
  <si>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</si>
  <si>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</si>
  <si>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</si>
  <si>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</si>
  <si>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</si>
  <si>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</si>
  <si>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</si>
  <si>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</si>
  <si>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</si>
  <si>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</si>
  <si>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</si>
  <si>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</si>
  <si>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</si>
  <si>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</si>
  <si>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</si>
  <si>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</si>
  <si>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</si>
  <si>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</si>
  <si>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</si>
  <si>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</si>
  <si>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</si>
  <si>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</si>
  <si>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</si>
  <si>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</si>
  <si>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</si>
  <si>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</si>
  <si>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</si>
  <si>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</si>
  <si>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</si>
  <si>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</si>
  <si>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</si>
  <si>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</si>
  <si>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</si>
  <si>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</si>
  <si>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</si>
  <si>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</si>
  <si>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</si>
  <si>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</si>
  <si>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</si>
  <si>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</si>
  <si>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</si>
  <si>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</si>
  <si>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</si>
  <si>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</si>
  <si>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</si>
  <si>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</si>
  <si>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</si>
  <si>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</si>
  <si>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</si>
  <si>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</si>
  <si>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</si>
  <si>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</si>
  <si>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</si>
  <si>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</si>
  <si>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</si>
  <si>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</si>
  <si>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</si>
  <si>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</si>
  <si>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</si>
  <si>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</si>
  <si>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</si>
  <si>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</si>
  <si>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</si>
  <si>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</si>
  <si>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</si>
  <si>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</si>
  <si>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</si>
  <si>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</si>
  <si>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</si>
  <si>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</si>
  <si>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</si>
  <si>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</si>
  <si>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</si>
  <si>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</si>
  <si>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</si>
  <si>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</si>
  <si>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</si>
  <si>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</si>
  <si>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</si>
  <si>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</si>
  <si>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</si>
  <si>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</si>
  <si>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</si>
  <si>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</si>
  <si>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</si>
  <si>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</si>
  <si>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</si>
  <si>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</si>
  <si>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</si>
  <si>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</si>
  <si>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</si>
  <si>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</si>
  <si>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</si>
  <si>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</si>
  <si>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</si>
  <si>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</si>
  <si>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</si>
  <si>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</si>
  <si>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</si>
  <si>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</si>
  <si>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</si>
  <si>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</si>
  <si>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</si>
  <si>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</si>
  <si>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</si>
  <si>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</si>
  <si>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</si>
  <si>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</si>
  <si>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</si>
  <si>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</si>
  <si>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</si>
  <si>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</si>
  <si>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</si>
  <si>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</si>
  <si>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</si>
  <si>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</si>
  <si>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</si>
  <si>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</si>
  <si>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</si>
  <si>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</si>
  <si>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</si>
  <si>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</si>
  <si>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</si>
  <si>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</si>
  <si>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</si>
  <si>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</si>
  <si>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</si>
  <si>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</si>
  <si>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</si>
  <si>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</si>
  <si>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</si>
  <si>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</si>
  <si>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</si>
  <si>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</si>
  <si>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</si>
  <si>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</si>
  <si>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</si>
  <si>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</si>
  <si>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</si>
  <si>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</si>
  <si>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</si>
  <si>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</si>
  <si>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</si>
  <si>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</si>
  <si>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</si>
  <si>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</si>
  <si>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</si>
  <si>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</si>
  <si>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</si>
  <si>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</si>
  <si>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</si>
  <si>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</si>
  <si>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</si>
  <si>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</si>
  <si>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</si>
  <si>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</si>
  <si>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</si>
  <si>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</si>
  <si>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</si>
  <si>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</si>
  <si>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</si>
  <si>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</si>
  <si>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</si>
  <si>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</si>
  <si>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</si>
  <si>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</si>
  <si>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</si>
  <si>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</si>
  <si>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</si>
  <si>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</si>
  <si>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</si>
  <si>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</si>
  <si>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</si>
  <si>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</si>
  <si>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</si>
  <si>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</si>
  <si>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</si>
  <si>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</si>
  <si>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</si>
  <si>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</si>
  <si>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</si>
  <si>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</si>
  <si>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</si>
  <si>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</si>
  <si>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</si>
  <si>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</si>
  <si>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</si>
  <si>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</si>
  <si>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</si>
  <si>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</si>
  <si>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</si>
  <si>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</si>
  <si>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</si>
  <si>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</si>
  <si>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</si>
  <si>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</si>
  <si>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</si>
  <si>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</si>
  <si>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</si>
  <si>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</si>
  <si>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</si>
  <si>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</si>
  <si>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</si>
  <si>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</si>
  <si>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</si>
  <si>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</si>
  <si>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</si>
  <si>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</si>
  <si>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</si>
  <si>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</si>
  <si>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</si>
  <si>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</si>
  <si>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</si>
  <si>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</si>
  <si>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</si>
  <si>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</si>
  <si>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</si>
  <si>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</si>
  <si>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</si>
  <si>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</si>
  <si>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</si>
  <si>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</si>
  <si>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</si>
  <si>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</si>
  <si>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</si>
  <si>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</si>
  <si>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</si>
  <si>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</si>
  <si>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</si>
  <si>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</si>
  <si>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</si>
  <si>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</si>
  <si>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</si>
  <si>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</si>
  <si>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</si>
  <si>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</si>
  <si>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</si>
  <si>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</si>
  <si>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</si>
  <si>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</si>
  <si>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</si>
  <si>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</si>
  <si>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</si>
  <si>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</si>
  <si>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</si>
  <si>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</si>
  <si>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</si>
  <si>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</si>
  <si>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</si>
  <si>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</si>
  <si>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</si>
  <si>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</si>
  <si>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</si>
  <si>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</si>
  <si>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</si>
  <si>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</si>
  <si>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</si>
  <si>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</si>
  <si>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</si>
  <si>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</si>
  <si>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</si>
  <si>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</si>
  <si>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</si>
  <si>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</si>
  <si>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</si>
  <si>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</si>
  <si>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</si>
  <si>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</si>
  <si>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</si>
  <si>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</si>
  <si>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</si>
  <si>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</si>
  <si>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</si>
  <si>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</si>
  <si>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</si>
  <si>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</si>
  <si>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</si>
  <si>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</si>
  <si>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</si>
  <si>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</si>
  <si>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</si>
  <si>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</si>
  <si>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</si>
  <si>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</si>
  <si>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</si>
  <si>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</si>
  <si>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</si>
  <si>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</si>
  <si>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</si>
  <si>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</si>
  <si>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</si>
  <si>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</si>
  <si>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</si>
  <si>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</si>
  <si>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</si>
  <si>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</si>
  <si>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</si>
  <si>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</si>
  <si>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</si>
  <si>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</si>
  <si>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</si>
  <si>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</si>
  <si>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</si>
  <si>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</si>
  <si>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</si>
  <si>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</si>
  <si>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</si>
  <si>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</si>
  <si>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</si>
  <si>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</si>
  <si>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</si>
  <si>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</si>
  <si>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</si>
  <si>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</si>
  <si>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</si>
  <si>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</si>
  <si>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</si>
  <si>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</si>
  <si>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</si>
  <si>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</si>
  <si>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</si>
  <si>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</si>
  <si>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</si>
  <si>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</si>
  <si>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</si>
  <si>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</si>
  <si>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</si>
  <si>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</si>
  <si>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</si>
  <si>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</si>
  <si>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</si>
  <si>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</si>
  <si>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</si>
  <si>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</si>
  <si>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</si>
  <si>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</si>
  <si>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</si>
  <si>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</si>
  <si>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</si>
  <si>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</si>
  <si>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</si>
  <si>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</si>
  <si>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</si>
  <si>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</si>
  <si>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</si>
  <si>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</si>
  <si>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</si>
  <si>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</si>
  <si>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</si>
  <si>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</si>
  <si>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</si>
  <si>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</si>
  <si>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</si>
  <si>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</si>
  <si>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</si>
  <si>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</si>
  <si>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</si>
  <si>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</si>
  <si>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</si>
  <si>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</si>
  <si>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</si>
  <si>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</si>
  <si>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</si>
  <si>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</si>
  <si>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</si>
  <si>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</si>
  <si>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</si>
  <si>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</si>
  <si>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</si>
  <si>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</si>
  <si>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</si>
  <si>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</si>
  <si>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</si>
  <si>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</si>
  <si>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</si>
  <si>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</si>
  <si>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</si>
  <si>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</si>
  <si>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</si>
  <si>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</si>
  <si>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</si>
  <si>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</si>
  <si>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</si>
  <si>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</si>
  <si>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</si>
  <si>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</si>
  <si>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</si>
  <si>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</si>
  <si>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</si>
  <si>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</si>
  <si>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</si>
  <si>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</si>
  <si>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</si>
  <si>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</si>
  <si>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</si>
  <si>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</si>
  <si>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</si>
  <si>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</si>
  <si>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</si>
  <si>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</si>
  <si>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</si>
  <si>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</si>
  <si>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</si>
  <si>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</si>
  <si>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</si>
  <si>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</si>
  <si>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</si>
  <si>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</si>
  <si>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</si>
  <si>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</si>
  <si>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</si>
  <si>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</si>
  <si>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</si>
  <si>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</si>
  <si>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</si>
  <si>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</si>
  <si>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</si>
  <si>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</si>
  <si>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</si>
  <si>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</si>
  <si>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</si>
  <si>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</si>
  <si>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</si>
  <si>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</si>
  <si>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</si>
  <si>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</si>
  <si>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</si>
  <si>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</si>
  <si>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</si>
  <si>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</si>
  <si>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</si>
  <si>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</si>
  <si>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</si>
  <si>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</si>
  <si>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</si>
  <si>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</si>
  <si>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</si>
  <si>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</si>
  <si>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</si>
  <si>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</si>
  <si>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</si>
  <si>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</si>
  <si>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</si>
  <si>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</si>
  <si>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</si>
  <si>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</si>
  <si>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</si>
  <si>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</si>
  <si>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</si>
  <si>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</si>
  <si>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</si>
  <si>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</si>
  <si>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</si>
  <si>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</si>
  <si>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</si>
  <si>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</si>
  <si>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</si>
  <si>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</si>
  <si>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</si>
  <si>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</si>
  <si>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</si>
  <si>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</si>
  <si>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</si>
  <si>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</si>
  <si>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</si>
  <si>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</si>
  <si>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</si>
  <si>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</si>
  <si>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</si>
  <si>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</si>
  <si>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</si>
  <si>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</si>
  <si>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</si>
  <si>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</si>
  <si>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</si>
  <si>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</si>
  <si>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</si>
  <si>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</si>
  <si>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</si>
  <si>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</si>
  <si>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</si>
  <si>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</si>
  <si>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</si>
  <si>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</si>
  <si>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</si>
  <si>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</si>
  <si>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</si>
  <si>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</si>
  <si>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</si>
  <si>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</si>
  <si>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</si>
  <si>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</si>
  <si>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</si>
  <si>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</si>
  <si>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</si>
  <si>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</si>
  <si>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</si>
  <si>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</si>
  <si>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</si>
  <si>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</si>
  <si>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</si>
  <si>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</si>
  <si>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</si>
  <si>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</si>
  <si>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</si>
  <si>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</si>
  <si>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</si>
  <si>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</si>
  <si>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</si>
  <si>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</si>
  <si>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</si>
  <si>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</si>
  <si>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</si>
  <si>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</si>
  <si>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</si>
  <si>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</si>
  <si>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</si>
  <si>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</si>
  <si>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</si>
  <si>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</si>
  <si>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</si>
  <si>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</si>
  <si>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</si>
  <si>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</si>
  <si>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</si>
  <si>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</si>
  <si>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</si>
  <si>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</si>
  <si>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</si>
  <si>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</si>
  <si>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</si>
  <si>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</si>
  <si>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</si>
  <si>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</si>
  <si>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</si>
  <si>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</si>
  <si>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</si>
  <si>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</si>
  <si>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</si>
  <si>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</si>
  <si>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</si>
  <si>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</si>
  <si>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</si>
  <si>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</si>
  <si>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</si>
  <si>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</si>
  <si>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</si>
  <si>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</si>
  <si>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</si>
  <si>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</si>
  <si>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</si>
  <si>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</si>
  <si>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</si>
  <si>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</si>
  <si>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</si>
  <si>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</si>
  <si>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</si>
  <si>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</si>
  <si>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</si>
  <si>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</si>
  <si>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</si>
  <si>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</si>
  <si>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</si>
  <si>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</si>
  <si>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</si>
  <si>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</si>
  <si>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</si>
  <si>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</si>
  <si>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</si>
  <si>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</si>
  <si>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</si>
  <si>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</si>
  <si>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</si>
  <si>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</si>
  <si>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</si>
  <si>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</si>
  <si>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</si>
  <si>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</si>
  <si>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</si>
  <si>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</si>
  <si>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</si>
  <si>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</si>
  <si>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</si>
  <si>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</si>
  <si>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</si>
  <si>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</si>
  <si>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</si>
  <si>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</si>
  <si>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</si>
  <si>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</si>
  <si>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</si>
  <si>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</si>
  <si>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</si>
  <si>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</si>
  <si>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</si>
  <si>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</si>
  <si>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</si>
  <si>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</si>
  <si>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</si>
  <si>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</si>
  <si>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</si>
  <si>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</si>
  <si>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</si>
  <si>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</si>
  <si>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</si>
  <si>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</si>
  <si>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</si>
  <si>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</si>
  <si>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</si>
  <si>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</si>
  <si>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</si>
  <si>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</si>
  <si>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</si>
  <si>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</si>
  <si>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</si>
  <si>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</si>
  <si>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</si>
  <si>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</si>
  <si>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</si>
  <si>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</si>
  <si>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</si>
  <si>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</si>
  <si>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</si>
  <si>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</si>
  <si>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</si>
  <si>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</si>
  <si>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</si>
  <si>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</si>
  <si>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</si>
  <si>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</si>
  <si>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</si>
  <si>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</si>
  <si>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</si>
  <si>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</si>
  <si>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</si>
  <si>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</si>
  <si>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</si>
  <si>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</si>
  <si>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</si>
  <si>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</si>
  <si>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</si>
  <si>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</si>
  <si>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</si>
  <si>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</si>
  <si>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</si>
  <si>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</si>
  <si>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</si>
  <si>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</si>
  <si>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</si>
  <si>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</si>
  <si>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</si>
  <si>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</si>
  <si>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</si>
  <si>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</si>
  <si>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</si>
  <si>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</si>
  <si>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</si>
  <si>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</si>
  <si>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</si>
  <si>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</si>
  <si>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</si>
  <si>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</si>
  <si>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</si>
  <si>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</si>
  <si>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</si>
  <si>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</si>
  <si>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</si>
  <si>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</si>
  <si>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</si>
  <si>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</si>
  <si>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</si>
  <si>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</si>
  <si>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</si>
  <si>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</si>
  <si>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</si>
  <si>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</si>
  <si>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</si>
  <si>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</si>
  <si>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</si>
  <si>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</si>
  <si>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</si>
  <si>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</si>
  <si>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</si>
  <si>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</si>
  <si>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</si>
  <si>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</si>
  <si>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</si>
  <si>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</si>
  <si>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</si>
  <si>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</si>
  <si>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</si>
  <si>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</si>
  <si>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</si>
  <si>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</si>
  <si>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</si>
  <si>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</si>
  <si>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</si>
  <si>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</si>
  <si>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</si>
  <si>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</si>
  <si>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</si>
  <si>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</si>
  <si>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</si>
  <si>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</si>
  <si>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</si>
  <si>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</si>
  <si>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</si>
  <si>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</si>
  <si>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</si>
  <si>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</si>
  <si>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</si>
  <si>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</si>
  <si>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</si>
  <si>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</si>
  <si>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</si>
  <si>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</si>
  <si>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</si>
  <si>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</si>
  <si>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</si>
  <si>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</si>
  <si>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</si>
  <si>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</si>
  <si>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</si>
  <si>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</si>
  <si>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</si>
  <si>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</si>
  <si>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</si>
  <si>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</si>
  <si>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</si>
  <si>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Working Copy Creation</t>
  </si>
  <si>
    <t>All</t>
  </si>
  <si>
    <t>Performed all cleaning on Working_Data</t>
  </si>
  <si>
    <t>preserve raw data</t>
  </si>
  <si>
    <t>Missing values</t>
  </si>
  <si>
    <t>using ISBLANK function</t>
  </si>
  <si>
    <t>left values unchanged</t>
  </si>
  <si>
    <t>order status is 'RTO'  
i.e order never reached the customer
or cancelled</t>
  </si>
  <si>
    <t>Reason
(Return_reason)</t>
  </si>
  <si>
    <t>del date 
(delivery_date)</t>
  </si>
  <si>
    <t>inconsistency</t>
  </si>
  <si>
    <t>return was not initated by the customer , there was no need for a reason</t>
  </si>
  <si>
    <t>filtered rows where return_initiated='No'</t>
  </si>
  <si>
    <t>return_received</t>
  </si>
  <si>
    <t>Return_initiated</t>
  </si>
  <si>
    <t>return_Reason</t>
  </si>
  <si>
    <t>unchanged</t>
  </si>
  <si>
    <t>using 
AND(return_initiated="Yes",ISBLANK([@[return_received]]))</t>
  </si>
  <si>
    <t>every returned order was received</t>
  </si>
  <si>
    <t>discount_code</t>
  </si>
  <si>
    <t>checked rows with discount_code=0</t>
  </si>
  <si>
    <t>Discount code is optional and not 
applicable when no discount is 
applied</t>
  </si>
  <si>
    <t>Duplicates</t>
  </si>
  <si>
    <t>order_id</t>
  </si>
  <si>
    <t>COUNTIF identified duplicate order_id values</t>
  </si>
  <si>
    <t>no duplicates found</t>
  </si>
  <si>
    <t>Status	
(delivery_status)</t>
  </si>
  <si>
    <t>flag_quantity</t>
  </si>
  <si>
    <t>Outliers</t>
  </si>
  <si>
    <t>Qty
(Quantity)</t>
  </si>
  <si>
    <t>Not possible for placing order in Negative quantity.
(Assumed 5 as  reasonable quantity,
but no orders were greater than 5)</t>
  </si>
  <si>
    <t>flag_unit_price</t>
  </si>
  <si>
    <t>unit_price</t>
  </si>
  <si>
    <t>checked for prices&lt;0 or &gt;20000</t>
  </si>
  <si>
    <t>No orders violated the given
 condition
(assumed 20000 is high for a fashion order)</t>
  </si>
  <si>
    <t>Discount_percent</t>
  </si>
  <si>
    <t>checked for unusually higher or  low quantities (Negative)</t>
  </si>
  <si>
    <t>checked for higher  or lower(negative)
discounts</t>
  </si>
  <si>
    <t>all orders were satisfying the conditions</t>
  </si>
  <si>
    <t>Discount_check</t>
  </si>
  <si>
    <t>order_total, 
discount_percent</t>
  </si>
  <si>
    <t>Recalculated expected order total using pricing and discount logic</t>
  </si>
  <si>
    <t>Flagged mismatched records and created a calculated_order_total for analysis</t>
  </si>
  <si>
    <t>order_total does not reflect applied discounts; modifying raw data would compromise data integrity</t>
  </si>
  <si>
    <t>Calculated_order_total</t>
  </si>
  <si>
    <t>order_total_mismatch_flag</t>
  </si>
  <si>
    <t>Order total mismatch</t>
  </si>
  <si>
    <t>Invalid order, delivery  dates</t>
  </si>
  <si>
    <t>order_date, delivery_date</t>
  </si>
  <si>
    <t>Compared both dates</t>
  </si>
  <si>
    <t>orders were not delivered , 
order_status : Rto or Cancelled</t>
  </si>
  <si>
    <t>no need for delivery date if the order is cancelled</t>
  </si>
  <si>
    <t>Check : Delivery_date for  
cancelled orders</t>
  </si>
  <si>
    <t>delivery_status,
delivery_date</t>
  </si>
  <si>
    <t>checked orders with cancled status and their respective delivery date</t>
  </si>
  <si>
    <t>Confirmation : return reason</t>
  </si>
  <si>
    <t>return_initiated,reason</t>
  </si>
  <si>
    <t>checked for blank values in return_reason column for orders which
 were returned</t>
  </si>
  <si>
    <t>All orders which were returned mentioned a reason</t>
  </si>
  <si>
    <t>checked for orders where return_received_date&lt;delivery_date and 
return_initiated is "Yes"</t>
  </si>
  <si>
    <t>No orders were violating these conditions</t>
  </si>
  <si>
    <t>Copied raw data into separate tab (working_data)</t>
  </si>
  <si>
    <t>del_date,
ret_received_date</t>
  </si>
  <si>
    <t>Investigate : orders with ret_received
date before delivery date</t>
  </si>
  <si>
    <t>Flagged for Review
(yellow fill colour)</t>
  </si>
  <si>
    <t>Rule ID</t>
  </si>
  <si>
    <t>Validation Check</t>
  </si>
  <si>
    <t>Expected Outcome</t>
  </si>
  <si>
    <t>Result</t>
  </si>
  <si>
    <t>Issues Found</t>
  </si>
  <si>
    <t>Action / Decision</t>
  </si>
  <si>
    <t>V1</t>
  </si>
  <si>
    <t>order_id format validation</t>
  </si>
  <si>
    <t>All IDs follow UT-XXXXXX</t>
  </si>
  <si>
    <t xml:space="preserve">Pass </t>
  </si>
  <si>
    <t>None</t>
  </si>
  <si>
    <t>NO ACTION</t>
  </si>
  <si>
    <t>V2</t>
  </si>
  <si>
    <t>customer_type allowed values</t>
  </si>
  <si>
    <t>Only New or Returning</t>
  </si>
  <si>
    <t>Pass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</si>
  <si>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</si>
  <si>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</si>
  <si>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</si>
  <si>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</si>
  <si>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</si>
  <si>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</si>
  <si>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</si>
  <si>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</si>
  <si>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</si>
  <si>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</si>
  <si>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</si>
  <si>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</si>
  <si>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value check</t>
  </si>
  <si>
    <t>quantity validity</t>
  </si>
  <si>
    <t>Positive integer only</t>
  </si>
  <si>
    <t>USING:
IF(LEFT([@order_id],3)="UT-",LEN([@order_id])=9)</t>
  </si>
  <si>
    <t>USING:
AND(quantity&lt;0,quantity=int(quantity))</t>
  </si>
  <si>
    <t>Fail</t>
  </si>
  <si>
    <t>One value is negative</t>
  </si>
  <si>
    <t>discount_percent range</t>
  </si>
  <si>
    <t xml:space="preserve">0–100 only </t>
  </si>
  <si>
    <t>Range validation</t>
  </si>
  <si>
    <t>order_date range</t>
  </si>
  <si>
    <t>Within Q4 2024</t>
  </si>
  <si>
    <t xml:space="preserve">Verified using the Autofilter option available in the table </t>
  </si>
  <si>
    <t>Payment_method validity</t>
  </si>
  <si>
    <t>Defined methods only</t>
  </si>
  <si>
    <t>Delivered orders consistency</t>
  </si>
  <si>
    <t>delivery_date must exist</t>
  </si>
  <si>
    <t>USING :
IF([@Status]="Delivered",NOT(ISBLANK([@[Del Date]])),TRUE)</t>
  </si>
  <si>
    <t>Blank reason when no return</t>
  </si>
  <si>
    <t>USING :
IF([@[Return_initiated]]="No",ISBLANK([@[return_Reason]]),TRUE)</t>
  </si>
  <si>
    <t>warehouse_origin validity</t>
  </si>
  <si>
    <t>Defined warehouses only</t>
  </si>
  <si>
    <t>USED:
=IF(AND([@[Return_initiated]]="No",[@Refund]="Not Applicable"),TRUE,"NA")</t>
  </si>
  <si>
    <t xml:space="preserve">Logical consistency </t>
  </si>
  <si>
    <t xml:space="preserve">Return logic </t>
  </si>
  <si>
    <t xml:space="preserve">Refund status </t>
  </si>
  <si>
    <t>Delivery status check</t>
  </si>
  <si>
    <t>Filtered out the orders with status as "RTO" and verified 
return_initiated column</t>
  </si>
  <si>
    <t>How did I Check?</t>
  </si>
  <si>
    <t>Customer_id_count</t>
  </si>
  <si>
    <t>Invalid_customer_flag</t>
  </si>
  <si>
    <t>New customer</t>
  </si>
  <si>
    <t>Counted customer_id occurrences for customer_type = "New"</t>
  </si>
  <si>
    <t>Found a customer with inconsistent ID</t>
  </si>
  <si>
    <t>Flagged the entire row of customer_id
(orange autofill)</t>
  </si>
  <si>
    <t>Flagged the row  
(Yellow autofill)</t>
  </si>
  <si>
    <t>New customers should 
appear only once</t>
  </si>
  <si>
    <t>Delivery_time_check</t>
  </si>
  <si>
    <t>Delivery time check</t>
  </si>
  <si>
    <t xml:space="preserve">Delivery time should neither be 
negative or &gt;30 days </t>
  </si>
  <si>
    <t>verfied the time difference between order_date and delivery_date</t>
  </si>
  <si>
    <t>some values were negative but those orders were either cancelled or 'RTO'. So flagged as  invalid</t>
  </si>
  <si>
    <t>Return window</t>
  </si>
  <si>
    <t>return window should be less 
than 30 days</t>
  </si>
  <si>
    <t>verfied the time difference between return_received_date and delivery_date by using :
IF(
   AND(NOT(ISBLANK([@[return_received]])), NOT(ISBLANK([@[Del Date]]))),
   [@[return_received]] - [@[Del Date]],0)</t>
  </si>
  <si>
    <t>Delivery_time</t>
  </si>
  <si>
    <t>Metric</t>
  </si>
  <si>
    <t>Value</t>
  </si>
  <si>
    <t>Total Units Sold</t>
  </si>
  <si>
    <t>Total Orders</t>
  </si>
  <si>
    <t>Total Revenue (after discounts)</t>
  </si>
  <si>
    <t>Average Order Value (AOV)</t>
  </si>
  <si>
    <t>Overall Return Rate</t>
  </si>
  <si>
    <t>order_month</t>
  </si>
  <si>
    <t>Row Labels</t>
  </si>
  <si>
    <t>Dec-2024</t>
  </si>
  <si>
    <t>Nov-2024</t>
  </si>
  <si>
    <t>Oct-2024</t>
  </si>
  <si>
    <t>Grand Total</t>
  </si>
  <si>
    <t>Month</t>
  </si>
  <si>
    <t>Orders</t>
  </si>
  <si>
    <t>order_week</t>
  </si>
  <si>
    <t>Column Labels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</si>
  <si>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</si>
  <si>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</si>
  <si>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</si>
  <si>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</si>
  <si>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</si>
  <si>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</si>
  <si>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</si>
  <si>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</si>
  <si>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</si>
  <si>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</si>
  <si>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</si>
  <si>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</si>
  <si>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</si>
  <si>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2024-53</t>
  </si>
  <si>
    <t>Year-Week</t>
  </si>
  <si>
    <t>Weekly return rate</t>
  </si>
  <si>
    <t>Return initiated</t>
  </si>
  <si>
    <t>Order status</t>
  </si>
  <si>
    <t>year-week</t>
  </si>
  <si>
    <t>Weekly Orders</t>
  </si>
  <si>
    <t>Avg Discount %</t>
  </si>
  <si>
    <t>Weekly Return Rate</t>
  </si>
  <si>
    <t>Average discount</t>
  </si>
  <si>
    <t>Descriptive analysis</t>
  </si>
  <si>
    <t>Customer Type</t>
  </si>
  <si>
    <t>orders</t>
  </si>
  <si>
    <t>Sum of Calculated_order_total</t>
  </si>
  <si>
    <t>Customer type</t>
  </si>
  <si>
    <t>AOV</t>
  </si>
  <si>
    <t>Revenue</t>
  </si>
  <si>
    <t>AOV by customer type</t>
  </si>
  <si>
    <t>Order volume by customer type</t>
  </si>
  <si>
    <t>Return rate by customer type</t>
  </si>
  <si>
    <t>Return Rate</t>
  </si>
  <si>
    <t>Order source</t>
  </si>
  <si>
    <t>Return rate</t>
  </si>
  <si>
    <t>payment_group</t>
  </si>
  <si>
    <t>Prepaid</t>
  </si>
  <si>
    <t>Return Rate (%)</t>
  </si>
  <si>
    <t>RTO Rate</t>
  </si>
  <si>
    <t>Payment mode</t>
  </si>
  <si>
    <t>Product category</t>
  </si>
  <si>
    <t>Product Category</t>
  </si>
  <si>
    <t>AOV , Return rate by source</t>
  </si>
  <si>
    <t>KPI Name</t>
  </si>
  <si>
    <t>Definition</t>
  </si>
  <si>
    <t>Formula / Method</t>
  </si>
  <si>
    <t>Gross Merchandise Value (GMV)</t>
  </si>
  <si>
    <t>Total order value before discounts</t>
  </si>
  <si>
    <t>Net Revenue</t>
  </si>
  <si>
    <t xml:space="preserve">Return Rate </t>
  </si>
  <si>
    <t xml:space="preserve">Proportion of delivered 
orders with return initiated </t>
  </si>
  <si>
    <t xml:space="preserve">RTO Rate </t>
  </si>
  <si>
    <t>Share of orders marked as Return to Origin</t>
  </si>
  <si>
    <t xml:space="preserve">Refund Processing 
Rate </t>
  </si>
  <si>
    <t>Percentage of refunds successfully processed</t>
  </si>
  <si>
    <t xml:space="preserve">First-Time Buyer 
Return Rate </t>
  </si>
  <si>
    <t>Return rate among new customers</t>
  </si>
  <si>
    <t xml:space="preserve">Repeat Buyer Return 
Rate </t>
  </si>
  <si>
    <t>Return rate among 
returning customers</t>
  </si>
  <si>
    <t>Fulfillment Split</t>
  </si>
  <si>
    <t>Distribution of orders by 
warehouse</t>
  </si>
  <si>
    <t xml:space="preserve"> Σ (order_total) − Σ (order_total × 
discount_percent / 100) </t>
  </si>
  <si>
    <t>Σ (order_total)</t>
  </si>
  <si>
    <t>Count(return_initiated = "Yes") / 
Count(delivery_status = "Delivered")</t>
  </si>
  <si>
    <t>Count(delivery_status = "RTO") / 
Count(All shipped orders)</t>
  </si>
  <si>
    <t>Count(refund_status = "Processed") / 
Count(return_received not blank)</t>
  </si>
  <si>
    <t>Returns (customer_type = "New") /
 Delivered orders (customer_type = "New")</t>
  </si>
  <si>
    <t>Returns (customer_type = "Returning") / 
Delivered orders (customer_type = "Returning")</t>
  </si>
  <si>
    <t xml:space="preserve">    Delhi</t>
  </si>
  <si>
    <t xml:space="preserve">                                                                                           </t>
  </si>
  <si>
    <r>
      <t xml:space="preserve"> Orders per warehouse_origin / Total orders                     </t>
    </r>
    <r>
      <rPr>
        <b/>
        <sz val="11"/>
        <color theme="1"/>
        <rFont val="Calibri"/>
        <family val="2"/>
        <scheme val="minor"/>
      </rPr>
      <t>Mumbai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</t>
    </r>
  </si>
  <si>
    <t>Weekly avergae Discount</t>
  </si>
  <si>
    <t>Trend identification</t>
  </si>
  <si>
    <t>(blank)</t>
  </si>
  <si>
    <t>Return Reason</t>
  </si>
  <si>
    <t>Order Source</t>
  </si>
  <si>
    <t>Delivered Orders</t>
  </si>
  <si>
    <t>Returned Orders</t>
  </si>
  <si>
    <t>Mobile app</t>
  </si>
  <si>
    <t>Instagram</t>
  </si>
  <si>
    <t xml:space="preserve">New </t>
  </si>
  <si>
    <t xml:space="preserve">Returning </t>
  </si>
  <si>
    <t>Sum of Return Rate</t>
  </si>
  <si>
    <t>TASK</t>
  </si>
  <si>
    <t xml:space="preserve">cleaning </t>
  </si>
  <si>
    <t>Time taken</t>
  </si>
  <si>
    <t>validation</t>
  </si>
  <si>
    <t>analysis</t>
  </si>
  <si>
    <t>KPI</t>
  </si>
  <si>
    <t>CHARTS</t>
  </si>
  <si>
    <t>40 minutes</t>
  </si>
  <si>
    <t>60 minutes</t>
  </si>
  <si>
    <t>20 minutes</t>
  </si>
  <si>
    <t>75 minutes</t>
  </si>
  <si>
    <t>4.25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</si>
</sst>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₹-4009]\ #,##0"/>
    <numFmt numFmtId="175" formatCode="0.0"/>
    <numFmt numFmtId="176" formatCode="_-[$₹-44A]* #,##0_-;\-[$₹-44A]* #,##0_-;_-[$₹-44A]* &quot;-&quot;_-;_-@_-"/>
    <numFmt numFmtId="178" formatCode="_ [$₹-439]* #,##0_ ;_ [$₹-439]* \-#,##0_ ;_ [$₹-439]* &quot;-&quot;_ ;_ @_ "/>
    <numFmt numFmtId="179" formatCode="_ [$₹-4009]\ * #,##0_ ;_ [$₹-4009]\ * \-#,##0_ ;_ [$₹-4009]\ * &quot;-&quot;_ ;_ @_ "/>
    <numFmt numFmtId="180" formatCode="_ [$₹-445]\ * #,##0_ ;_ [$₹-445]\ * \-#,##0_ ;_ [$₹-445]\ * &quot;-&quot;_ ;_ @_ "/>
    <numFmt numFmtId="181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theme="2" tint="-0.89999084444715716"/>
      <name val="Arial Unicode MS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8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/>
    <xf numFmtId="14" fontId="0" fillId="2" borderId="0" xfId="0" applyNumberFormat="1" applyFill="1"/>
    <xf numFmtId="0" fontId="4" fillId="2" borderId="0" xfId="0" applyFont="1" applyFill="1"/>
    <xf numFmtId="0" fontId="1" fillId="0" borderId="0" xfId="0" applyFont="1" applyAlignment="1">
      <alignment horizontal="center" vertical="center" wrapText="1"/>
    </xf>
    <xf numFmtId="0" fontId="0" fillId="4" borderId="0" xfId="0" applyFill="1"/>
    <xf numFmtId="14" fontId="0" fillId="4" borderId="0" xfId="0" applyNumberFormat="1" applyFill="1"/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3" borderId="0" xfId="0" applyFont="1" applyFill="1"/>
    <xf numFmtId="0" fontId="5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5" borderId="0" xfId="0" applyFill="1"/>
    <xf numFmtId="0" fontId="3" fillId="4" borderId="0" xfId="0" applyFont="1" applyFill="1"/>
    <xf numFmtId="1" fontId="3" fillId="3" borderId="0" xfId="0" applyNumberFormat="1" applyFont="1" applyFill="1"/>
    <xf numFmtId="1" fontId="0" fillId="0" borderId="0" xfId="0" applyNumberFormat="1"/>
    <xf numFmtId="1" fontId="0" fillId="4" borderId="0" xfId="0" applyNumberFormat="1" applyFill="1"/>
    <xf numFmtId="1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5" fontId="0" fillId="0" borderId="0" xfId="0" applyNumberFormat="1"/>
    <xf numFmtId="9" fontId="0" fillId="0" borderId="0" xfId="1" applyFont="1"/>
    <xf numFmtId="176" fontId="0" fillId="0" borderId="0" xfId="0" applyNumberFormat="1"/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left"/>
    </xf>
    <xf numFmtId="9" fontId="0" fillId="0" borderId="0" xfId="0" applyNumberFormat="1"/>
    <xf numFmtId="9" fontId="0" fillId="8" borderId="0" xfId="0" applyNumberFormat="1" applyFill="1"/>
    <xf numFmtId="0" fontId="1" fillId="8" borderId="0" xfId="0" applyFont="1" applyFill="1" applyAlignment="1">
      <alignment horizontal="center" vertical="center" wrapText="1"/>
    </xf>
    <xf numFmtId="0" fontId="0" fillId="8" borderId="0" xfId="0" applyFill="1"/>
    <xf numFmtId="0" fontId="1" fillId="8" borderId="0" xfId="0" applyFont="1" applyFill="1"/>
    <xf numFmtId="0" fontId="8" fillId="0" borderId="0" xfId="0" applyFont="1" applyAlignment="1">
      <alignment wrapText="1"/>
    </xf>
    <xf numFmtId="0" fontId="0" fillId="0" borderId="0" xfId="0" applyAlignment="1"/>
    <xf numFmtId="179" fontId="0" fillId="0" borderId="0" xfId="0" applyNumberFormat="1"/>
    <xf numFmtId="180" fontId="0" fillId="0" borderId="0" xfId="0" applyNumberFormat="1"/>
    <xf numFmtId="9" fontId="0" fillId="0" borderId="4" xfId="1" applyFont="1" applyBorder="1"/>
    <xf numFmtId="0" fontId="0" fillId="8" borderId="2" xfId="0" applyFill="1" applyBorder="1"/>
    <xf numFmtId="9" fontId="0" fillId="0" borderId="2" xfId="1" applyFont="1" applyBorder="1"/>
    <xf numFmtId="9" fontId="0" fillId="0" borderId="1" xfId="1" applyFont="1" applyBorder="1"/>
    <xf numFmtId="181" fontId="0" fillId="0" borderId="6" xfId="1" applyNumberFormat="1" applyFont="1" applyBorder="1"/>
    <xf numFmtId="0" fontId="1" fillId="8" borderId="2" xfId="0" applyFont="1" applyFill="1" applyBorder="1"/>
    <xf numFmtId="0" fontId="1" fillId="0" borderId="5" xfId="0" applyFont="1" applyBorder="1"/>
    <xf numFmtId="0" fontId="1" fillId="0" borderId="3" xfId="0" applyFont="1" applyBorder="1"/>
    <xf numFmtId="9" fontId="0" fillId="0" borderId="7" xfId="1" applyFont="1" applyBorder="1"/>
    <xf numFmtId="0" fontId="1" fillId="8" borderId="6" xfId="0" applyFont="1" applyFill="1" applyBorder="1" applyAlignment="1"/>
    <xf numFmtId="0" fontId="1" fillId="8" borderId="6" xfId="0" applyFont="1" applyFill="1" applyBorder="1"/>
    <xf numFmtId="0" fontId="0" fillId="0" borderId="2" xfId="0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7" fillId="5" borderId="1" xfId="0" applyFont="1" applyFill="1" applyBorder="1" applyAlignment="1">
      <alignment horizontal="center"/>
    </xf>
    <xf numFmtId="0" fontId="1" fillId="6" borderId="2" xfId="0" applyFont="1" applyFill="1" applyBorder="1"/>
    <xf numFmtId="164" fontId="0" fillId="0" borderId="2" xfId="0" applyNumberFormat="1" applyBorder="1"/>
    <xf numFmtId="178" fontId="0" fillId="0" borderId="2" xfId="0" applyNumberFormat="1" applyBorder="1"/>
    <xf numFmtId="178" fontId="1" fillId="8" borderId="2" xfId="0" applyNumberFormat="1" applyFont="1" applyFill="1" applyBorder="1"/>
    <xf numFmtId="0" fontId="1" fillId="5" borderId="0" xfId="0" applyFont="1" applyFill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7" fillId="7" borderId="1" xfId="0" applyFont="1" applyFill="1" applyBorder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9" fillId="7" borderId="8" xfId="0" applyFont="1" applyFill="1" applyBorder="1" applyAlignment="1"/>
    <xf numFmtId="0" fontId="9" fillId="7" borderId="9" xfId="0" applyFont="1" applyFill="1" applyBorder="1" applyAlignment="1"/>
  </cellXfs>
  <cellStyles count="2">
    <cellStyle name="Normal" xfId="0" builtinId="0"/>
    <cellStyle name="Percent" xfId="1" builtinId="5"/>
  </cellStyles>
  <dxfs count="80">
    <dxf>
      <numFmt numFmtId="179" formatCode="_ [$₹-4009]\ * #,##0_ ;_ [$₹-4009]\ * \-#,##0_ ;_ [$₹-4009]\ * &quot;-&quot;_ ;_ @_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79" formatCode="_ [$₹-4009]\ * #,##0_ ;_ [$₹-4009]\ * \-#,##0_ ;_ [$₹-4009]\ * &quot;-&quot;_ ;_ @_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79" formatCode="_ [$₹-4009]\ * #,##0_ ;_ [$₹-4009]\ * \-#,##0_ ;_ [$₹-4009]\ * &quot;-&quot;_ ;_ @_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79" formatCode="_ [$₹-4009]\ * #,##0_ ;_ [$₹-4009]\ * \-#,##0_ ;_ [$₹-4009]\ * &quot;-&quot;_ ;_ @_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numFmt numFmtId="175" formatCode="0.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FF4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Return Rates increased 2-3 weeks after Diwali sales</a:t>
            </a:r>
            <a:r>
              <a:rPr lang="en-US" b="1" baseline="0"/>
              <a:t> Spike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794528"/>
        <c:axId val="4777950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Analysis_1!$C$25</c15:sqref>
                        </c15:formulaRef>
                      </c:ext>
                    </c:extLst>
                    <c:strCache>
                      <c:ptCount val="1"/>
                      <c:pt idx="0">
                        <c:v>Avg Discount 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Analysis_1!$A$26:$A$39</c15:sqref>
                        </c15:formulaRef>
                      </c:ext>
                    </c:extLst>
                    <c:strCache>
                      <c:ptCount val="14"/>
                      <c:pt idx="0">
                        <c:v>2024-40</c:v>
                      </c:pt>
                      <c:pt idx="1">
                        <c:v>2024-41</c:v>
                      </c:pt>
                      <c:pt idx="2">
                        <c:v>2024-42</c:v>
                      </c:pt>
                      <c:pt idx="3">
                        <c:v>2024-43</c:v>
                      </c:pt>
                      <c:pt idx="4">
                        <c:v>2024-44</c:v>
                      </c:pt>
                      <c:pt idx="5">
                        <c:v>2024-45</c:v>
                      </c:pt>
                      <c:pt idx="6">
                        <c:v>2024-46</c:v>
                      </c:pt>
                      <c:pt idx="7">
                        <c:v>2024-47</c:v>
                      </c:pt>
                      <c:pt idx="8">
                        <c:v>2024-48</c:v>
                      </c:pt>
                      <c:pt idx="9">
                        <c:v>2024-49</c:v>
                      </c:pt>
                      <c:pt idx="10">
                        <c:v>2024-50</c:v>
                      </c:pt>
                      <c:pt idx="11">
                        <c:v>2024-51</c:v>
                      </c:pt>
                      <c:pt idx="12">
                        <c:v>2024-52</c:v>
                      </c:pt>
                      <c:pt idx="13">
                        <c:v>2024-53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Analysis_1!$C$26:$C$39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5.6521739130434785</c:v>
                      </c:pt>
                      <c:pt idx="1">
                        <c:v>4.4827586206896548</c:v>
                      </c:pt>
                      <c:pt idx="2">
                        <c:v>5</c:v>
                      </c:pt>
                      <c:pt idx="3">
                        <c:v>5.8928571428571432</c:v>
                      </c:pt>
                      <c:pt idx="4">
                        <c:v>36.875</c:v>
                      </c:pt>
                      <c:pt idx="5">
                        <c:v>21.739130434782609</c:v>
                      </c:pt>
                      <c:pt idx="6">
                        <c:v>3.75</c:v>
                      </c:pt>
                      <c:pt idx="7">
                        <c:v>3.5714285714285716</c:v>
                      </c:pt>
                      <c:pt idx="8">
                        <c:v>3.5714285714285716</c:v>
                      </c:pt>
                      <c:pt idx="9">
                        <c:v>10</c:v>
                      </c:pt>
                      <c:pt idx="10">
                        <c:v>6.4285714285714288</c:v>
                      </c:pt>
                      <c:pt idx="11">
                        <c:v>6.4285714285714288</c:v>
                      </c:pt>
                      <c:pt idx="12">
                        <c:v>7.1428571428571432</c:v>
                      </c:pt>
                      <c:pt idx="13">
                        <c:v>6.666666666666667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A08-4206-AE96-80276CE7A75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Analysis_1!$B$25</c:f>
              <c:strCache>
                <c:ptCount val="1"/>
                <c:pt idx="0">
                  <c:v>Weekly Orders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Analysis_1!$A$26:$A$39</c:f>
              <c:strCache>
                <c:ptCount val="14"/>
                <c:pt idx="0">
                  <c:v>2024-40</c:v>
                </c:pt>
                <c:pt idx="1">
                  <c:v>2024-41</c:v>
                </c:pt>
                <c:pt idx="2">
                  <c:v>2024-42</c:v>
                </c:pt>
                <c:pt idx="3">
                  <c:v>2024-43</c:v>
                </c:pt>
                <c:pt idx="4">
                  <c:v>2024-44</c:v>
                </c:pt>
                <c:pt idx="5">
                  <c:v>2024-45</c:v>
                </c:pt>
                <c:pt idx="6">
                  <c:v>2024-46</c:v>
                </c:pt>
                <c:pt idx="7">
                  <c:v>2024-47</c:v>
                </c:pt>
                <c:pt idx="8">
                  <c:v>2024-48</c:v>
                </c:pt>
                <c:pt idx="9">
                  <c:v>2024-49</c:v>
                </c:pt>
                <c:pt idx="10">
                  <c:v>2024-50</c:v>
                </c:pt>
                <c:pt idx="11">
                  <c:v>2024-51</c:v>
                </c:pt>
                <c:pt idx="12">
                  <c:v>2024-52</c:v>
                </c:pt>
                <c:pt idx="13">
                  <c:v>2024-53</c:v>
                </c:pt>
              </c:strCache>
            </c:strRef>
          </c:cat>
          <c:val>
            <c:numRef>
              <c:f>Analysis_1!$B$26:$B$39</c:f>
              <c:numCache>
                <c:formatCode>General</c:formatCode>
                <c:ptCount val="14"/>
                <c:pt idx="0">
                  <c:v>23</c:v>
                </c:pt>
                <c:pt idx="1">
                  <c:v>29</c:v>
                </c:pt>
                <c:pt idx="2">
                  <c:v>28</c:v>
                </c:pt>
                <c:pt idx="3">
                  <c:v>28</c:v>
                </c:pt>
                <c:pt idx="4">
                  <c:v>32</c:v>
                </c:pt>
                <c:pt idx="5">
                  <c:v>23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8-4206-AE96-80276CE7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794528"/>
        <c:axId val="477795008"/>
      </c:lineChart>
      <c:lineChart>
        <c:grouping val="standard"/>
        <c:varyColors val="0"/>
        <c:ser>
          <c:idx val="2"/>
          <c:order val="2"/>
          <c:tx>
            <c:strRef>
              <c:f>Analysis_1!$D$25</c:f>
              <c:strCache>
                <c:ptCount val="1"/>
                <c:pt idx="0">
                  <c:v>Weekly Return Rate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>
              <a:softEdge rad="0"/>
            </a:effectLst>
          </c:spPr>
          <c:marker>
            <c:symbol val="none"/>
          </c:marker>
          <c:cat>
            <c:strRef>
              <c:f>Analysis_1!$A$26:$A$39</c:f>
              <c:strCache>
                <c:ptCount val="14"/>
                <c:pt idx="0">
                  <c:v>2024-40</c:v>
                </c:pt>
                <c:pt idx="1">
                  <c:v>2024-41</c:v>
                </c:pt>
                <c:pt idx="2">
                  <c:v>2024-42</c:v>
                </c:pt>
                <c:pt idx="3">
                  <c:v>2024-43</c:v>
                </c:pt>
                <c:pt idx="4">
                  <c:v>2024-44</c:v>
                </c:pt>
                <c:pt idx="5">
                  <c:v>2024-45</c:v>
                </c:pt>
                <c:pt idx="6">
                  <c:v>2024-46</c:v>
                </c:pt>
                <c:pt idx="7">
                  <c:v>2024-47</c:v>
                </c:pt>
                <c:pt idx="8">
                  <c:v>2024-48</c:v>
                </c:pt>
                <c:pt idx="9">
                  <c:v>2024-49</c:v>
                </c:pt>
                <c:pt idx="10">
                  <c:v>2024-50</c:v>
                </c:pt>
                <c:pt idx="11">
                  <c:v>2024-51</c:v>
                </c:pt>
                <c:pt idx="12">
                  <c:v>2024-52</c:v>
                </c:pt>
                <c:pt idx="13">
                  <c:v>2024-53</c:v>
                </c:pt>
              </c:strCache>
            </c:strRef>
          </c:cat>
          <c:val>
            <c:numRef>
              <c:f>Analysis_1!$D$26:$D$39</c:f>
              <c:numCache>
                <c:formatCode>0%</c:formatCode>
                <c:ptCount val="14"/>
                <c:pt idx="0">
                  <c:v>0.24574669187145559</c:v>
                </c:pt>
                <c:pt idx="1">
                  <c:v>0.15457788347205706</c:v>
                </c:pt>
                <c:pt idx="2">
                  <c:v>0.17857142857142858</c:v>
                </c:pt>
                <c:pt idx="3">
                  <c:v>0.21045918367346941</c:v>
                </c:pt>
                <c:pt idx="4">
                  <c:v>1.15234375</c:v>
                </c:pt>
                <c:pt idx="5">
                  <c:v>0.94517958412098302</c:v>
                </c:pt>
                <c:pt idx="6">
                  <c:v>0.1875</c:v>
                </c:pt>
                <c:pt idx="7">
                  <c:v>0.17006802721088438</c:v>
                </c:pt>
                <c:pt idx="8">
                  <c:v>0.17006802721088438</c:v>
                </c:pt>
                <c:pt idx="9">
                  <c:v>0.35714285714285715</c:v>
                </c:pt>
                <c:pt idx="10">
                  <c:v>0.22959183673469388</c:v>
                </c:pt>
                <c:pt idx="11">
                  <c:v>0.22959183673469388</c:v>
                </c:pt>
                <c:pt idx="12">
                  <c:v>0.25510204081632654</c:v>
                </c:pt>
                <c:pt idx="13">
                  <c:v>0.74074074074074081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8-4206-AE96-80276CE7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36400"/>
        <c:axId val="215034960"/>
      </c:lineChart>
      <c:dateAx>
        <c:axId val="47779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Order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95008"/>
        <c:crosses val="autoZero"/>
        <c:auto val="0"/>
        <c:lblOffset val="100"/>
        <c:baseTimeUnit val="days"/>
        <c:majorUnit val="2"/>
      </c:dateAx>
      <c:valAx>
        <c:axId val="4777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94528"/>
        <c:crosses val="autoZero"/>
        <c:crossBetween val="between"/>
      </c:valAx>
      <c:valAx>
        <c:axId val="2150349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 Retrn</a:t>
                </a:r>
                <a:r>
                  <a:rPr lang="en-US" b="1" baseline="0"/>
                  <a:t> Rate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36400"/>
        <c:crosses val="max"/>
        <c:crossBetween val="between"/>
      </c:valAx>
      <c:catAx>
        <c:axId val="215036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5034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Intern_SAI_TEJA_CHANDAKA _February2026.xlsx]Analysis_2!PivotTable9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category</a:t>
            </a:r>
            <a:r>
              <a:rPr lang="en-US" baseline="0"/>
              <a:t> has the highest Return Rate?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Analysis_2!$B$12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Analysis_2!$A$13:$A$18</c:f>
              <c:strCache>
                <c:ptCount val="5"/>
                <c:pt idx="0">
                  <c:v>Accessories</c:v>
                </c:pt>
                <c:pt idx="1">
                  <c:v>Bottoms</c:v>
                </c:pt>
                <c:pt idx="2">
                  <c:v>Outerwear</c:v>
                </c:pt>
                <c:pt idx="3">
                  <c:v>Dresses</c:v>
                </c:pt>
                <c:pt idx="4">
                  <c:v>Tops</c:v>
                </c:pt>
              </c:strCache>
            </c:strRef>
          </c:cat>
          <c:val>
            <c:numRef>
              <c:f>Analysis_2!$B$13:$B$18</c:f>
              <c:numCache>
                <c:formatCode>General</c:formatCode>
                <c:ptCount val="5"/>
                <c:pt idx="0">
                  <c:v>68</c:v>
                </c:pt>
                <c:pt idx="1">
                  <c:v>67</c:v>
                </c:pt>
                <c:pt idx="2">
                  <c:v>68</c:v>
                </c:pt>
                <c:pt idx="3">
                  <c:v>70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4-4306-A58E-16F9350F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668640"/>
        <c:axId val="298670080"/>
      </c:barChart>
      <c:catAx>
        <c:axId val="29866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</a:t>
                </a:r>
                <a:r>
                  <a:rPr lang="en-US" b="1" baseline="0"/>
                  <a:t> Category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70080"/>
        <c:crosses val="autoZero"/>
        <c:auto val="1"/>
        <c:lblAlgn val="ctr"/>
        <c:lblOffset val="100"/>
        <c:noMultiLvlLbl val="0"/>
      </c:catAx>
      <c:valAx>
        <c:axId val="29867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Return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6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Intern_SAI_TEJA_CHANDAKA _February2026.xlsx]CHARTS!PivotTable14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What</a:t>
            </a:r>
            <a:r>
              <a:rPr lang="en-US" b="1" baseline="0"/>
              <a:t> is the Reason orders are getting returned?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CHARTS!$AJ$4:$AJ$10</c:f>
              <c:strCache>
                <c:ptCount val="6"/>
                <c:pt idx="0">
                  <c:v>Changed Mind</c:v>
                </c:pt>
                <c:pt idx="1">
                  <c:v>Damaged in Transit</c:v>
                </c:pt>
                <c:pt idx="2">
                  <c:v>Quality Defect</c:v>
                </c:pt>
                <c:pt idx="3">
                  <c:v>Size Issue</c:v>
                </c:pt>
                <c:pt idx="4">
                  <c:v>Wrong Item</c:v>
                </c:pt>
                <c:pt idx="5">
                  <c:v>(blank)</c:v>
                </c:pt>
              </c:strCache>
            </c:strRef>
          </c:cat>
          <c:val>
            <c:numRef>
              <c:f>CHARTS!$AK$4:$AK$10</c:f>
              <c:numCache>
                <c:formatCode>General</c:formatCode>
                <c:ptCount val="6"/>
                <c:pt idx="0">
                  <c:v>29</c:v>
                </c:pt>
                <c:pt idx="1">
                  <c:v>24</c:v>
                </c:pt>
                <c:pt idx="2">
                  <c:v>32</c:v>
                </c:pt>
                <c:pt idx="3">
                  <c:v>67</c:v>
                </c:pt>
                <c:pt idx="4">
                  <c:v>28</c:v>
                </c:pt>
                <c:pt idx="5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0-4B0D-990F-7E476296F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991984"/>
        <c:axId val="1152992464"/>
      </c:barChart>
      <c:catAx>
        <c:axId val="115299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Return 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2464"/>
        <c:crosses val="autoZero"/>
        <c:auto val="1"/>
        <c:lblAlgn val="ctr"/>
        <c:lblOffset val="100"/>
        <c:noMultiLvlLbl val="0"/>
      </c:catAx>
      <c:valAx>
        <c:axId val="1152992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Intern_SAI_TEJA_CHANDAKA _February2026.xlsx]CHARTS!PivotTable31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New Customers from Instagram Have the Highest Return Risk</a:t>
            </a:r>
            <a:r>
              <a:rPr lang="en-US" b="1"/>
              <a:t>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CHARTS!$AQ$15:$AQ$16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CHARTS!$AP$17:$AP$19</c:f>
              <c:strCache>
                <c:ptCount val="2"/>
                <c:pt idx="0">
                  <c:v>New </c:v>
                </c:pt>
                <c:pt idx="1">
                  <c:v>Returning </c:v>
                </c:pt>
              </c:strCache>
            </c:strRef>
          </c:cat>
          <c:val>
            <c:numRef>
              <c:f>CHARTS!$AQ$17:$AQ$19</c:f>
              <c:numCache>
                <c:formatCode>0%</c:formatCode>
                <c:ptCount val="2"/>
                <c:pt idx="0">
                  <c:v>0.74117647058823533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B-4C84-BD67-7CCBC5C2CEE0}"/>
            </c:ext>
          </c:extLst>
        </c:ser>
        <c:ser>
          <c:idx val="1"/>
          <c:order val="1"/>
          <c:tx>
            <c:strRef>
              <c:f>CHARTS!$AR$15:$AR$16</c:f>
              <c:strCache>
                <c:ptCount val="1"/>
                <c:pt idx="0">
                  <c:v>Mobile app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CHARTS!$AP$17:$AP$19</c:f>
              <c:strCache>
                <c:ptCount val="2"/>
                <c:pt idx="0">
                  <c:v>New </c:v>
                </c:pt>
                <c:pt idx="1">
                  <c:v>Returning </c:v>
                </c:pt>
              </c:strCache>
            </c:strRef>
          </c:cat>
          <c:val>
            <c:numRef>
              <c:f>CHARTS!$AR$17:$AR$19</c:f>
              <c:numCache>
                <c:formatCode>0%</c:formatCode>
                <c:ptCount val="2"/>
                <c:pt idx="0">
                  <c:v>0.5679012345679012</c:v>
                </c:pt>
                <c:pt idx="1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B-4C84-BD67-7CCBC5C2CEE0}"/>
            </c:ext>
          </c:extLst>
        </c:ser>
        <c:ser>
          <c:idx val="2"/>
          <c:order val="2"/>
          <c:tx>
            <c:strRef>
              <c:f>CHARTS!$AS$15:$AS$16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CHARTS!$AP$17:$AP$19</c:f>
              <c:strCache>
                <c:ptCount val="2"/>
                <c:pt idx="0">
                  <c:v>New </c:v>
                </c:pt>
                <c:pt idx="1">
                  <c:v>Returning </c:v>
                </c:pt>
              </c:strCache>
            </c:strRef>
          </c:cat>
          <c:val>
            <c:numRef>
              <c:f>CHARTS!$AS$17:$AS$19</c:f>
              <c:numCache>
                <c:formatCode>0%</c:formatCode>
                <c:ptCount val="2"/>
                <c:pt idx="0">
                  <c:v>0.43678160919540232</c:v>
                </c:pt>
                <c:pt idx="1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FB-4C84-BD67-7CCBC5C2C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041200"/>
        <c:axId val="215037840"/>
      </c:barChart>
      <c:catAx>
        <c:axId val="215041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Customer</a:t>
                </a:r>
                <a:r>
                  <a:rPr lang="en-US" b="1" baseline="0"/>
                  <a:t> Type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37840"/>
        <c:crosses val="autoZero"/>
        <c:auto val="1"/>
        <c:lblAlgn val="ctr"/>
        <c:lblOffset val="100"/>
        <c:noMultiLvlLbl val="0"/>
      </c:catAx>
      <c:valAx>
        <c:axId val="2150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Return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4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40814653096685"/>
          <c:y val="0.46153931605153437"/>
          <c:w val="0.14386521371844319"/>
          <c:h val="0.158716232729103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COD Orders Have Significantly Higher Return and RTO Rates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Analysis_2!$N$11</c:f>
              <c:strCache>
                <c:ptCount val="1"/>
                <c:pt idx="0">
                  <c:v>COD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Analysis_2!$O$10:$P$10</c:f>
              <c:strCache>
                <c:ptCount val="2"/>
                <c:pt idx="0">
                  <c:v>Return Rate (%)</c:v>
                </c:pt>
                <c:pt idx="1">
                  <c:v>RTO Rate</c:v>
                </c:pt>
              </c:strCache>
            </c:strRef>
          </c:cat>
          <c:val>
            <c:numRef>
              <c:f>Analysis_2!$O$11:$P$11</c:f>
              <c:numCache>
                <c:formatCode>0%</c:formatCode>
                <c:ptCount val="2"/>
                <c:pt idx="0">
                  <c:v>0.82608695652173914</c:v>
                </c:pt>
                <c:pt idx="1">
                  <c:v>0.25396825396825395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4-4500-9559-B3CAD4BF101B}"/>
            </c:ext>
          </c:extLst>
        </c:ser>
        <c:ser>
          <c:idx val="1"/>
          <c:order val="1"/>
          <c:tx>
            <c:strRef>
              <c:f>Analysis_2!$N$12</c:f>
              <c:strCache>
                <c:ptCount val="1"/>
                <c:pt idx="0">
                  <c:v>Prepaid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Analysis_2!$O$10:$P$10</c:f>
              <c:strCache>
                <c:ptCount val="2"/>
                <c:pt idx="0">
                  <c:v>Return Rate (%)</c:v>
                </c:pt>
                <c:pt idx="1">
                  <c:v>RTO Rate</c:v>
                </c:pt>
              </c:strCache>
            </c:strRef>
          </c:cat>
          <c:val>
            <c:numRef>
              <c:f>Analysis_2!$O$12:$P$12</c:f>
              <c:numCache>
                <c:formatCode>0.0%</c:formatCode>
                <c:ptCount val="2"/>
                <c:pt idx="0" formatCode="0%">
                  <c:v>0.50354609929078009</c:v>
                </c:pt>
                <c:pt idx="1">
                  <c:v>3.5335689045936395E-3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4-4500-9559-B3CAD4BF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7000000"/>
        <c:axId val="265797584"/>
      </c:barChart>
      <c:catAx>
        <c:axId val="131700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97584"/>
        <c:crosses val="autoZero"/>
        <c:auto val="1"/>
        <c:lblAlgn val="ctr"/>
        <c:lblOffset val="100"/>
        <c:noMultiLvlLbl val="0"/>
      </c:catAx>
      <c:valAx>
        <c:axId val="26579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0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185350</xdr:rowOff>
    </xdr:from>
    <xdr:to>
      <xdr:col>12</xdr:col>
      <xdr:colOff>257433</xdr:colOff>
      <xdr:row>23</xdr:row>
      <xdr:rowOff>20595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DEB63-6840-4CC7-A02F-1AAA8E821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24</xdr:col>
      <xdr:colOff>136482</xdr:colOff>
      <xdr:row>21</xdr:row>
      <xdr:rowOff>162526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6CA531-F37E-445C-B151-3F6D89B09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13</xdr:col>
      <xdr:colOff>41295</xdr:colOff>
      <xdr:row>43</xdr:row>
      <xdr:rowOff>96787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CDB8FA-71CC-42E4-AB04-2A107A36E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25</xdr:row>
      <xdr:rowOff>0</xdr:rowOff>
    </xdr:from>
    <xdr:to>
      <xdr:col>25</xdr:col>
      <xdr:colOff>370727</xdr:colOff>
      <xdr:row>46</xdr:row>
      <xdr:rowOff>115972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953D9E-987A-4D9F-9351-95B00D4BD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274820</xdr:colOff>
      <xdr:row>47</xdr:row>
      <xdr:rowOff>162394</xdr:rowOff>
    </xdr:from>
    <xdr:to>
      <xdr:col>13</xdr:col>
      <xdr:colOff>331965</xdr:colOff>
      <xdr:row>62</xdr:row>
      <xdr:rowOff>54330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7C1A21-37E8-410F-B8BE-2626C05E6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8.063511921297" createdVersion="8" refreshedVersion="8" minRefreshableVersion="3" recordCount="346" xr:uid="{57319429-C826-411D-A4AF-CA620E2A9B4D}">
  <cacheSource type="worksheet">
    <worksheetSource name="orders_Q4[[Order ID]:[order_week]]"/>
  </cacheSource>
  <cacheFields count="35">
    <cacheField name="Order ID" numFmtId="0">
      <sharedItems count="346">
        <s v="UT-100003"/>
        <s v="UT-100001"/>
        <s v="UT-100002"/>
        <s v="UT-100004"/>
        <s v="UT-100005"/>
        <s v="UT-100006"/>
        <s v="UT-100007"/>
        <s v="UT-100008"/>
        <s v="UT-100009"/>
        <s v="UT-100010"/>
        <s v="UT-100011"/>
        <s v="UT-100012"/>
        <s v="UT-100013"/>
        <s v="UT-100014"/>
        <s v="UT-100015"/>
        <s v="UT-100016"/>
        <s v="UT-100017"/>
        <s v="UT-100018"/>
        <s v="UT-100019"/>
        <s v="UT-100020"/>
        <s v="UT-100021"/>
        <s v="UT-100022"/>
        <s v="UT-100023"/>
        <s v="UT-100024"/>
        <s v="UT-100025"/>
        <s v="UT-100026"/>
        <s v="UT-100027"/>
        <s v="UT-100028"/>
        <s v="UT-100029"/>
        <s v="UT-100030"/>
        <s v="UT-100031"/>
        <s v="UT-100032"/>
        <s v="UT-100033"/>
        <s v="UT-100034"/>
        <s v="UT-100035"/>
        <s v="UT-100036"/>
        <s v="UT-100037"/>
        <s v="UT-100038"/>
        <s v="UT-100039"/>
        <s v="UT-100040"/>
        <s v="UT-100041"/>
        <s v="UT-100042"/>
        <s v="UT-100043"/>
        <s v="UT-100164"/>
        <s v="UT-100044"/>
        <s v="UT-100045"/>
        <s v="UT-100046"/>
        <s v="UT-100047"/>
        <s v="UT-100048"/>
        <s v="UT-100049"/>
        <s v="UT-100050"/>
        <s v="UT-100051"/>
        <s v="UT-100052"/>
        <s v="UT-100053"/>
        <s v="UT-100054"/>
        <s v="UT-100055"/>
        <s v="UT-100056"/>
        <s v="UT-100057"/>
        <s v="UT-100058"/>
        <s v="UT-100059"/>
        <s v="UT-100060"/>
        <s v="UT-100061"/>
        <s v="UT-100062"/>
        <s v="UT-100063"/>
        <s v="UT-100064"/>
        <s v="UT-100065"/>
        <s v="UT-100066"/>
        <s v="UT-100067"/>
        <s v="UT-100068"/>
        <s v="UT-100069"/>
        <s v="UT-100070"/>
        <s v="UT-100071"/>
        <s v="UT-100072"/>
        <s v="UT-100073"/>
        <s v="UT-100074"/>
        <s v="UT-100075"/>
        <s v="UT-100076"/>
        <s v="UT-100077"/>
        <s v="UT-100078"/>
        <s v="UT-100079"/>
        <s v="UT-100080"/>
        <s v="UT-100081"/>
        <s v="UT-100082"/>
        <s v="UT-100083"/>
        <s v="UT-100084"/>
        <s v="UT-100085"/>
        <s v="UT-100086"/>
        <s v="UT-100087"/>
        <s v="UT-100088"/>
        <s v="UT-100089"/>
        <s v="UT-100090"/>
        <s v="UT-100091"/>
        <s v="UT-100092"/>
        <s v="UT-100093"/>
        <s v="UT-100094"/>
        <s v="UT-100095"/>
        <s v="UT-100096"/>
        <s v="UT-100097"/>
        <s v="UT-100098"/>
        <s v="UT-100099"/>
        <s v="UT-100100"/>
        <s v="UT-100101"/>
        <s v="UT-100102"/>
        <s v="UT-100103"/>
        <s v="UT-100104"/>
        <s v="UT-100105"/>
        <s v="UT-100106"/>
        <s v="UT-100107"/>
        <s v="UT-100108"/>
        <s v="UT-100109"/>
        <s v="UT-100110"/>
        <s v="UT-100111"/>
        <s v="UT-100112"/>
        <s v="UT-100113"/>
        <s v="UT-100114"/>
        <s v="UT-100115"/>
        <s v="UT-100116"/>
        <s v="UT-100117"/>
        <s v="UT-100118"/>
        <s v="UT-100119"/>
        <s v="UT-100120"/>
        <s v="UT-100121"/>
        <s v="UT-100122"/>
        <s v="UT-100123"/>
        <s v="UT-100124"/>
        <s v="UT-100125"/>
        <s v="UT-100126"/>
        <s v="UT-100127"/>
        <s v="UT-100128"/>
        <s v="UT-100129"/>
        <s v="UT-100130"/>
        <s v="UT-100131"/>
        <s v="UT-100132"/>
        <s v="UT-100133"/>
        <s v="UT-100134"/>
        <s v="UT-100135"/>
        <s v="UT-100136"/>
        <s v="UT-100137"/>
        <s v="UT-100138"/>
        <s v="UT-100139"/>
        <s v="UT-100140"/>
        <s v="UT-100141"/>
        <s v="UT-100142"/>
        <s v="UT-100143"/>
        <s v="UT-100144"/>
        <s v="UT-100145"/>
        <s v="UT-100146"/>
        <s v="UT-100147"/>
        <s v="UT-100148"/>
        <s v="UT-100149"/>
        <s v="UT-100150"/>
        <s v="UT-100151"/>
        <s v="UT-100152"/>
        <s v="UT-100153"/>
        <s v="UT-100154"/>
        <s v="UT-100155"/>
        <s v="UT-100156"/>
        <s v="UT-100157"/>
        <s v="UT-100158"/>
        <s v="UT-100159"/>
        <s v="UT-100160"/>
        <s v="UT-100161"/>
        <s v="UT-100162"/>
        <s v="UT-100163"/>
        <s v="UT-100165"/>
        <s v="UT-100166"/>
        <s v="UT-100167"/>
        <s v="UT-100168"/>
        <s v="UT-100169"/>
        <s v="UT-100170"/>
        <s v="UT-100171"/>
        <s v="UT-100172"/>
        <s v="UT-100173"/>
        <s v="UT-100174"/>
        <s v="UT-100175"/>
        <s v="UT-100176"/>
        <s v="UT-100177"/>
        <s v="UT-100178"/>
        <s v="UT-100179"/>
        <s v="UT-100180"/>
        <s v="UT-100181"/>
        <s v="UT-100182"/>
        <s v="UT-100183"/>
        <s v="UT-100184"/>
        <s v="UT-100185"/>
        <s v="UT-100186"/>
        <s v="UT-100187"/>
        <s v="UT-100188"/>
        <s v="UT-100189"/>
        <s v="UT-100190"/>
        <s v="UT-100191"/>
        <s v="UT-100192"/>
        <s v="UT-100193"/>
        <s v="UT-100194"/>
        <s v="UT-100195"/>
        <s v="UT-100196"/>
        <s v="UT-100197"/>
        <s v="UT-100198"/>
        <s v="UT-100199"/>
        <s v="UT-100200"/>
        <s v="UT-100201"/>
        <s v="UT-100202"/>
        <s v="UT-100203"/>
        <s v="UT-100204"/>
        <s v="UT-100205"/>
        <s v="UT-100206"/>
        <s v="UT-100207"/>
        <s v="UT-100208"/>
        <s v="UT-100209"/>
        <s v="UT-100210"/>
        <s v="UT-100211"/>
        <s v="UT-100212"/>
        <s v="UT-100213"/>
        <s v="UT-100214"/>
        <s v="UT-100215"/>
        <s v="UT-100216"/>
        <s v="UT-100217"/>
        <s v="UT-100218"/>
        <s v="UT-100219"/>
        <s v="UT-100220"/>
        <s v="UT-100221"/>
        <s v="UT-100222"/>
        <s v="UT-100223"/>
        <s v="UT-100224"/>
        <s v="UT-100225"/>
        <s v="UT-100226"/>
        <s v="UT-100227"/>
        <s v="UT-100228"/>
        <s v="UT-100229"/>
        <s v="UT-100230"/>
        <s v="UT-100231"/>
        <s v="UT-100232"/>
        <s v="UT-100233"/>
        <s v="UT-100234"/>
        <s v="UT-100235"/>
        <s v="UT-100236"/>
        <s v="UT-100237"/>
        <s v="UT-100238"/>
        <s v="UT-100239"/>
        <s v="UT-100240"/>
        <s v="UT-100241"/>
        <s v="UT-100242"/>
        <s v="UT-100243"/>
        <s v="UT-100244"/>
        <s v="UT-100245"/>
        <s v="UT-100246"/>
        <s v="UT-100247"/>
        <s v="UT-100248"/>
        <s v="UT-100249"/>
        <s v="UT-100250"/>
        <s v="UT-100251"/>
        <s v="UT-100252"/>
        <s v="UT-100253"/>
        <s v="UT-100254"/>
        <s v="UT-100255"/>
        <s v="UT-100256"/>
        <s v="UT-100257"/>
        <s v="UT-100258"/>
        <s v="UT-100259"/>
        <s v="UT-100260"/>
        <s v="UT-100261"/>
        <s v="UT-100262"/>
        <s v="UT-100263"/>
        <s v="UT-100264"/>
        <s v="UT-100265"/>
        <s v="UT-100266"/>
        <s v="UT-100267"/>
        <s v="UT-100268"/>
        <s v="UT-100269"/>
        <s v="UT-100270"/>
        <s v="UT-100271"/>
        <s v="UT-100272"/>
        <s v="UT-100273"/>
        <s v="UT-100274"/>
        <s v="UT-100275"/>
        <s v="UT-100276"/>
        <s v="UT-100277"/>
        <s v="UT-100278"/>
        <s v="UT-100279"/>
        <s v="UT-100280"/>
        <s v="UT-100281"/>
        <s v="UT-100282"/>
        <s v="UT-100283"/>
        <s v="UT-100284"/>
        <s v="UT-100285"/>
        <s v="UT-100286"/>
        <s v="UT-100287"/>
        <s v="UT-100288"/>
        <s v="UT-100289"/>
        <s v="UT-100290"/>
        <s v="UT-100291"/>
        <s v="UT-100292"/>
        <s v="UT-100293"/>
        <s v="UT-100294"/>
        <s v="UT-100295"/>
        <s v="UT-100296"/>
        <s v="UT-100297"/>
        <s v="UT-100298"/>
        <s v="UT-100299"/>
        <s v="UT-100300"/>
        <s v="UT-100301"/>
        <s v="UT-100302"/>
        <s v="UT-100303"/>
        <s v="UT-100304"/>
        <s v="UT-100305"/>
        <s v="UT-100306"/>
        <s v="UT-100307"/>
        <s v="UT-100308"/>
        <s v="UT-100309"/>
        <s v="UT-100310"/>
        <s v="UT-100311"/>
        <s v="UT-100312"/>
        <s v="UT-100313"/>
        <s v="UT-100314"/>
        <s v="UT-100315"/>
        <s v="UT-100316"/>
        <s v="UT-100317"/>
        <s v="UT-100318"/>
        <s v="UT-100319"/>
        <s v="UT-100320"/>
        <s v="UT-100321"/>
        <s v="UT-100322"/>
        <s v="UT-100323"/>
        <s v="UT-100324"/>
        <s v="UT-100325"/>
        <s v="UT-100326"/>
        <s v="UT-100327"/>
        <s v="UT-100328"/>
        <s v="UT-100329"/>
        <s v="UT-100330"/>
        <s v="UT-100331"/>
        <s v="UT-100332"/>
        <s v="UT-100333"/>
        <s v="UT-100334"/>
        <s v="UT-100335"/>
        <s v="UT-100336"/>
        <s v="UT-100337"/>
        <s v="UT-100338"/>
        <s v="UT-100339"/>
        <s v="UT-100340"/>
        <s v="UT-100341"/>
        <s v="UT-100342"/>
        <s v="UT-100343"/>
        <s v="UT-100344"/>
        <s v="UT-100345"/>
        <s v="UT-100346"/>
      </sharedItems>
    </cacheField>
    <cacheField name="Order Date" numFmtId="14">
      <sharedItems containsSemiMixedTypes="0" containsNonDate="0" containsDate="1" containsString="0" minDate="2024-10-01T00:00:00" maxDate="2025-01-01T00:00:00"/>
    </cacheField>
    <cacheField name="Customer ID" numFmtId="0">
      <sharedItems/>
    </cacheField>
    <cacheField name="Type" numFmtId="0">
      <sharedItems count="2">
        <s v="New"/>
        <s v="Returning"/>
      </sharedItems>
    </cacheField>
    <cacheField name="SKU" numFmtId="0">
      <sharedItems/>
    </cacheField>
    <cacheField name="Category" numFmtId="0">
      <sharedItems/>
    </cacheField>
    <cacheField name="Product Name" numFmtId="0">
      <sharedItems/>
    </cacheField>
    <cacheField name="Unit Price" numFmtId="0">
      <sharedItems containsSemiMixedTypes="0" containsString="0" containsNumber="1" containsInteger="1" minValue="299" maxValue="8999"/>
    </cacheField>
    <cacheField name="Qty" numFmtId="0">
      <sharedItems containsSemiMixedTypes="0" containsString="0" containsNumber="1" containsInteger="1" minValue="-1" maxValue="5"/>
    </cacheField>
    <cacheField name="Total" numFmtId="0">
      <sharedItems containsSemiMixedTypes="0" containsString="0" containsNumber="1" containsInteger="1" minValue="699" maxValue="8999"/>
    </cacheField>
    <cacheField name="Discount Code" numFmtId="0">
      <sharedItems containsDate="1" containsBlank="1" containsMixedTypes="1" minDate="2026-11-15T00:00:00" maxDate="2026-12-21T00:00:00"/>
    </cacheField>
    <cacheField name="Disc %" numFmtId="0">
      <sharedItems containsSemiMixedTypes="0" containsString="0" containsNumber="1" containsInteger="1" minValue="0" maxValue="40"/>
    </cacheField>
    <cacheField name="Payment" numFmtId="0">
      <sharedItems/>
    </cacheField>
    <cacheField name="Source" numFmtId="0">
      <sharedItems count="3">
        <s v="Website"/>
        <s v="Mobile App"/>
        <s v="Instagram Shop"/>
      </sharedItems>
    </cacheField>
    <cacheField name="City" numFmtId="0">
      <sharedItems/>
    </cacheField>
    <cacheField name="State" numFmtId="0">
      <sharedItems/>
    </cacheField>
    <cacheField name="Warehouse" numFmtId="0">
      <sharedItems/>
    </cacheField>
    <cacheField name="Del Date" numFmtId="0">
      <sharedItems containsNonDate="0" containsDate="1" containsString="0" containsBlank="1" minDate="2024-10-04T00:00:00" maxDate="2025-01-29T00:00:00"/>
    </cacheField>
    <cacheField name="Status" numFmtId="0">
      <sharedItems count="3">
        <s v="Delivered"/>
        <s v="Cancelled"/>
        <s v="RTO"/>
      </sharedItems>
    </cacheField>
    <cacheField name="Return_initiated" numFmtId="0">
      <sharedItems count="2">
        <s v="No"/>
        <s v="Yes"/>
      </sharedItems>
    </cacheField>
    <cacheField name="return_Reason" numFmtId="0">
      <sharedItems containsBlank="1"/>
    </cacheField>
    <cacheField name="return_received" numFmtId="0">
      <sharedItems containsNonDate="0" containsDate="1" containsString="0" containsBlank="1" minDate="2024-10-15T00:00:00" maxDate="2025-02-26T00:00:00"/>
    </cacheField>
    <cacheField name="Refund" numFmtId="0">
      <sharedItems/>
    </cacheField>
    <cacheField name="flag_quantity" numFmtId="0">
      <sharedItems/>
    </cacheField>
    <cacheField name="flag_unit_price" numFmtId="0">
      <sharedItems/>
    </cacheField>
    <cacheField name="Discount_check" numFmtId="0">
      <sharedItems/>
    </cacheField>
    <cacheField name="Calculated_order_total" numFmtId="0">
      <sharedItems containsSemiMixedTypes="0" containsString="0" containsNumber="1" minValue="-4999" maxValue="7999"/>
    </cacheField>
    <cacheField name="order_total_mismatch_flag" numFmtId="0">
      <sharedItems/>
    </cacheField>
    <cacheField name="Customer_id_count" numFmtId="0">
      <sharedItems containsSemiMixedTypes="0" containsString="0" containsNumber="1" containsInteger="1" minValue="1" maxValue="2"/>
    </cacheField>
    <cacheField name="Invalid_customer_flag" numFmtId="0">
      <sharedItems/>
    </cacheField>
    <cacheField name="Delivery_time" numFmtId="0">
      <sharedItems containsSemiMixedTypes="0" containsString="0" containsNumber="1" containsInteger="1" minValue="-45638" maxValue="46"/>
    </cacheField>
    <cacheField name="Delivery_time_check" numFmtId="0">
      <sharedItems/>
    </cacheField>
    <cacheField name="Return window" numFmtId="1">
      <sharedItems containsSemiMixedTypes="0" containsString="0" containsNumber="1" containsInteger="1" minValue="0" maxValue="30"/>
    </cacheField>
    <cacheField name="order_month" numFmtId="0">
      <sharedItems count="3">
        <s v="Oct-2024"/>
        <s v="Nov-2024"/>
        <s v="Dec-2024"/>
      </sharedItems>
    </cacheField>
    <cacheField name="order_week" numFmtId="14">
      <sharedItems count="28">
        <s v="2024-40"/>
        <s v="2024-41"/>
        <s v="2024-42"/>
        <s v="2024-43"/>
        <s v="2024-44"/>
        <s v="2024-45"/>
        <s v="2024-46"/>
        <s v="2024-47"/>
        <s v="2024-48"/>
        <s v="2024-49"/>
        <s v="2024-50"/>
        <s v="2024-51"/>
        <s v="2024-52"/>
        <s v="2024-53"/>
        <s v="Tue" u="1"/>
        <s v="Wed" u="1"/>
        <s v="Thu" u="1"/>
        <s v="Fri" u="1"/>
        <s v="Sat" u="1"/>
        <s v="Sun" u="1"/>
        <s v="Mon" u="1"/>
        <s v="2024-Tuesday" u="1"/>
        <s v="2024-Wednesday" u="1"/>
        <s v="2024-Thursday" u="1"/>
        <s v="2024-Friday" u="1"/>
        <s v="2024-Saturday" u="1"/>
        <s v="2024-Sunday" u="1"/>
        <s v="2024-Monda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8.294873842591" createdVersion="8" refreshedVersion="8" minRefreshableVersion="3" recordCount="346" xr:uid="{FB3D1FEB-893D-4EDD-B695-9C6BA09FDB00}">
  <cacheSource type="worksheet">
    <worksheetSource name="orders_Q4[[Order ID]:[payment_group]]"/>
  </cacheSource>
  <cacheFields count="36">
    <cacheField name="Order ID" numFmtId="0">
      <sharedItems/>
    </cacheField>
    <cacheField name="Order Date" numFmtId="14">
      <sharedItems containsSemiMixedTypes="0" containsNonDate="0" containsDate="1" containsString="0" minDate="2024-10-01T00:00:00" maxDate="2025-01-01T00:00:00"/>
    </cacheField>
    <cacheField name="Customer ID" numFmtId="0">
      <sharedItems/>
    </cacheField>
    <cacheField name="Type" numFmtId="0">
      <sharedItems count="2">
        <s v="New"/>
        <s v="Returning"/>
      </sharedItems>
    </cacheField>
    <cacheField name="SKU" numFmtId="0">
      <sharedItems/>
    </cacheField>
    <cacheField name="Category" numFmtId="0">
      <sharedItems count="5">
        <s v="Bottoms"/>
        <s v="Tops"/>
        <s v="Dresses"/>
        <s v="Outerwear"/>
        <s v="Accessories"/>
      </sharedItems>
    </cacheField>
    <cacheField name="Product Name" numFmtId="0">
      <sharedItems/>
    </cacheField>
    <cacheField name="Unit Price" numFmtId="0">
      <sharedItems containsSemiMixedTypes="0" containsString="0" containsNumber="1" containsInteger="1" minValue="299" maxValue="8999"/>
    </cacheField>
    <cacheField name="Qty" numFmtId="0">
      <sharedItems containsSemiMixedTypes="0" containsString="0" containsNumber="1" containsInteger="1" minValue="-1" maxValue="5"/>
    </cacheField>
    <cacheField name="Total" numFmtId="0">
      <sharedItems containsSemiMixedTypes="0" containsString="0" containsNumber="1" containsInteger="1" minValue="699" maxValue="8999"/>
    </cacheField>
    <cacheField name="Discount Code" numFmtId="0">
      <sharedItems containsDate="1" containsBlank="1" containsMixedTypes="1" minDate="2026-11-15T00:00:00" maxDate="2026-12-21T00:00:00"/>
    </cacheField>
    <cacheField name="Disc %" numFmtId="0">
      <sharedItems containsSemiMixedTypes="0" containsString="0" containsNumber="1" containsInteger="1" minValue="0" maxValue="40"/>
    </cacheField>
    <cacheField name="Payment" numFmtId="0">
      <sharedItems/>
    </cacheField>
    <cacheField name="Source" numFmtId="0">
      <sharedItems count="3">
        <s v="Website"/>
        <s v="Mobile App"/>
        <s v="Instagram Shop"/>
      </sharedItems>
    </cacheField>
    <cacheField name="City" numFmtId="0">
      <sharedItems/>
    </cacheField>
    <cacheField name="State" numFmtId="0">
      <sharedItems/>
    </cacheField>
    <cacheField name="Warehouse" numFmtId="0">
      <sharedItems/>
    </cacheField>
    <cacheField name="Del Date" numFmtId="0">
      <sharedItems containsNonDate="0" containsDate="1" containsString="0" containsBlank="1" minDate="2024-10-04T00:00:00" maxDate="2025-01-29T00:00:00"/>
    </cacheField>
    <cacheField name="Status" numFmtId="0">
      <sharedItems/>
    </cacheField>
    <cacheField name="Return_initiated" numFmtId="0">
      <sharedItems/>
    </cacheField>
    <cacheField name="return_Reason" numFmtId="0">
      <sharedItems containsBlank="1" count="6">
        <m/>
        <s v="Size Issue"/>
        <s v="Quality Defect"/>
        <s v="Changed Mind"/>
        <s v="Wrong Item"/>
        <s v="Damaged in Transit"/>
      </sharedItems>
    </cacheField>
    <cacheField name="return_received" numFmtId="0">
      <sharedItems containsNonDate="0" containsDate="1" containsString="0" containsBlank="1" minDate="2024-10-15T00:00:00" maxDate="2025-02-26T00:00:00"/>
    </cacheField>
    <cacheField name="Refund" numFmtId="0">
      <sharedItems/>
    </cacheField>
    <cacheField name="flag_quantity" numFmtId="0">
      <sharedItems/>
    </cacheField>
    <cacheField name="flag_unit_price" numFmtId="0">
      <sharedItems/>
    </cacheField>
    <cacheField name="Discount_check" numFmtId="0">
      <sharedItems/>
    </cacheField>
    <cacheField name="Calculated_order_total" numFmtId="0">
      <sharedItems containsSemiMixedTypes="0" containsString="0" containsNumber="1" minValue="-4999" maxValue="7999"/>
    </cacheField>
    <cacheField name="order_total_mismatch_flag" numFmtId="0">
      <sharedItems/>
    </cacheField>
    <cacheField name="Customer_id_count" numFmtId="0">
      <sharedItems containsSemiMixedTypes="0" containsString="0" containsNumber="1" containsInteger="1" minValue="1" maxValue="2"/>
    </cacheField>
    <cacheField name="Invalid_customer_flag" numFmtId="0">
      <sharedItems/>
    </cacheField>
    <cacheField name="Delivery_time" numFmtId="0">
      <sharedItems containsSemiMixedTypes="0" containsString="0" containsNumber="1" containsInteger="1" minValue="-45638" maxValue="46"/>
    </cacheField>
    <cacheField name="Delivery_time_check" numFmtId="0">
      <sharedItems/>
    </cacheField>
    <cacheField name="Return window" numFmtId="1">
      <sharedItems containsSemiMixedTypes="0" containsString="0" containsNumber="1" containsInteger="1" minValue="0" maxValue="30"/>
    </cacheField>
    <cacheField name="order_month" numFmtId="0">
      <sharedItems/>
    </cacheField>
    <cacheField name="order_week" numFmtId="14">
      <sharedItems/>
    </cacheField>
    <cacheField name="payment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8.399869791669" createdVersion="8" refreshedVersion="8" minRefreshableVersion="3" recordCount="6" xr:uid="{A116DA96-28E5-4D53-956F-2A4C92B0866D}">
  <cacheSource type="worksheet">
    <worksheetSource ref="AM3:AQ9" sheet="Analysis_2"/>
  </cacheSource>
  <cacheFields count="5">
    <cacheField name="Customer Type" numFmtId="0">
      <sharedItems count="2">
        <s v="New "/>
        <s v="Returning "/>
      </sharedItems>
    </cacheField>
    <cacheField name="Order Source" numFmtId="0">
      <sharedItems count="3">
        <s v="Website"/>
        <s v="Mobile app"/>
        <s v="Instagram"/>
      </sharedItems>
    </cacheField>
    <cacheField name="Delivered Orders" numFmtId="0">
      <sharedItems containsSemiMixedTypes="0" containsString="0" containsNumber="1" containsInteger="1" minValue="20" maxValue="87"/>
    </cacheField>
    <cacheField name="Returned Orders" numFmtId="0">
      <sharedItems containsSemiMixedTypes="0" containsString="0" containsNumber="1" containsInteger="1" minValue="8" maxValue="63"/>
    </cacheField>
    <cacheField name="Return Rate" numFmtId="9">
      <sharedItems containsSemiMixedTypes="0" containsString="0" containsNumber="1" minValue="0.35714285714285715" maxValue="0.741176470588235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x v="0"/>
    <d v="2024-10-01T00:00:00"/>
    <s v="CUST_10003"/>
    <x v="0"/>
    <s v="BOT-JNS-L"/>
    <s v="Bottoms"/>
    <s v="Slim Fit Jeans"/>
    <n v="1899"/>
    <n v="1"/>
    <n v="1899"/>
    <m/>
    <n v="0"/>
    <s v="COD"/>
    <x v="0"/>
    <s v="Bangalore"/>
    <s v="Karnataka"/>
    <s v="Bangalore"/>
    <d v="2024-10-06T00:00:00"/>
    <x v="0"/>
    <x v="0"/>
    <m/>
    <m/>
    <s v="Not Applicable"/>
    <s v="OK"/>
    <b v="0"/>
    <s v="No_Discount"/>
    <n v="1899"/>
    <s v="OK"/>
    <n v="1"/>
    <s v="OK"/>
    <n v="5"/>
    <s v="OK"/>
    <n v="0"/>
    <x v="0"/>
    <x v="0"/>
  </r>
  <r>
    <x v="1"/>
    <d v="2024-10-01T00:00:00"/>
    <s v="CUST_10001"/>
    <x v="0"/>
    <s v="TOP-CAS-M"/>
    <s v="Tops"/>
    <s v="Classic Cotton Tee"/>
    <n v="1299"/>
    <n v="2"/>
    <n v="2598"/>
    <m/>
    <n v="0"/>
    <s v="UPI"/>
    <x v="0"/>
    <s v="Mumbai"/>
    <s v="Maharashtra"/>
    <s v="Mumbai"/>
    <d v="2024-10-05T00:00:00"/>
    <x v="0"/>
    <x v="0"/>
    <m/>
    <m/>
    <s v="Not Applicable"/>
    <s v="OK"/>
    <b v="0"/>
    <s v="No_Discount"/>
    <n v="2598"/>
    <s v="OK"/>
    <n v="2"/>
    <s v="Existing customer"/>
    <n v="4"/>
    <s v="OK"/>
    <n v="0"/>
    <x v="0"/>
    <x v="0"/>
  </r>
  <r>
    <x v="2"/>
    <d v="2024-10-01T00:00:00"/>
    <s v="CUST_10002"/>
    <x v="1"/>
    <s v="DRS-FRM-S"/>
    <s v="Dresses"/>
    <s v="Floral Midi Dress"/>
    <n v="2499"/>
    <n v="1"/>
    <n v="2499"/>
    <s v="DIWALI20"/>
    <n v="20"/>
    <s v="Credit Card"/>
    <x v="1"/>
    <s v="Delhi"/>
    <s v="Delhi"/>
    <s v="Delhi"/>
    <d v="2024-10-04T00:00:00"/>
    <x v="0"/>
    <x v="1"/>
    <s v="Size Issue"/>
    <d v="2024-10-15T00:00:00"/>
    <s v="Processed"/>
    <s v="OK"/>
    <b v="0"/>
    <s v="Discount_Not_Applied"/>
    <n v="1999.2"/>
    <s v="Mismatch"/>
    <n v="1"/>
    <s v="OK"/>
    <n v="3"/>
    <s v="OK"/>
    <n v="11"/>
    <x v="0"/>
    <x v="0"/>
  </r>
  <r>
    <x v="3"/>
    <d v="2024-10-01T00:00:00"/>
    <s v="CUST_10004"/>
    <x v="0"/>
    <s v="OUT-JKT-XL"/>
    <s v="Outerwear"/>
    <s v="Denim Jacket"/>
    <n v="3499"/>
    <n v="1"/>
    <n v="3499"/>
    <s v="FIRST15"/>
    <n v="15"/>
    <s v="Debit Card"/>
    <x v="2"/>
    <s v="Chennai"/>
    <s v="Tamil Nadu"/>
    <s v="Mumbai"/>
    <d v="2024-10-08T00:00:00"/>
    <x v="0"/>
    <x v="1"/>
    <s v="Quality Defect"/>
    <d v="2024-10-20T00:00:00"/>
    <s v="Processed"/>
    <s v="OK"/>
    <b v="0"/>
    <s v="Discount_Not_Applied"/>
    <n v="2974.15"/>
    <s v="Mismatch"/>
    <n v="1"/>
    <s v="OK"/>
    <n v="7"/>
    <s v="OK"/>
    <n v="12"/>
    <x v="0"/>
    <x v="0"/>
  </r>
  <r>
    <x v="4"/>
    <d v="2024-10-01T00:00:00"/>
    <s v="CUST_10001"/>
    <x v="0"/>
    <s v="ACC-SCF-OS"/>
    <s v="Accessories"/>
    <s v="Silk Scarf"/>
    <n v="799"/>
    <n v="3"/>
    <n v="2397"/>
    <m/>
    <n v="0"/>
    <s v="UPI"/>
    <x v="0"/>
    <s v="Mumbai"/>
    <s v="Maharashtra"/>
    <s v="Mumbai"/>
    <d v="2024-10-06T00:00:00"/>
    <x v="0"/>
    <x v="0"/>
    <m/>
    <m/>
    <s v="Not Applicable"/>
    <s v="OK"/>
    <b v="0"/>
    <s v="No_Discount"/>
    <n v="2397"/>
    <s v="OK"/>
    <n v="2"/>
    <s v="Existing customer"/>
    <n v="5"/>
    <s v="OK"/>
    <n v="0"/>
    <x v="0"/>
    <x v="0"/>
  </r>
  <r>
    <x v="5"/>
    <d v="2024-10-02T00:00:00"/>
    <s v="CUST_10005"/>
    <x v="1"/>
    <s v="TOP-FRM-S"/>
    <s v="Tops"/>
    <s v="Printed Blouse"/>
    <n v="1599"/>
    <n v="2"/>
    <n v="3198"/>
    <m/>
    <n v="0"/>
    <s v="Credit Card"/>
    <x v="1"/>
    <s v="Hyderabad"/>
    <s v="Telangana"/>
    <s v="Bangalore"/>
    <d v="2024-10-07T00:00:00"/>
    <x v="0"/>
    <x v="1"/>
    <s v="Changed Mind"/>
    <d v="2024-10-18T00:00:00"/>
    <s v="Processed"/>
    <s v="OK"/>
    <b v="0"/>
    <s v="No_Discount"/>
    <n v="3198"/>
    <s v="OK"/>
    <n v="1"/>
    <s v="OK"/>
    <n v="5"/>
    <s v="OK"/>
    <n v="11"/>
    <x v="0"/>
    <x v="0"/>
  </r>
  <r>
    <x v="6"/>
    <d v="2024-10-02T00:00:00"/>
    <s v="CUST_10006"/>
    <x v="0"/>
    <s v="DRS-CAS-M"/>
    <s v="Dresses"/>
    <s v="A-Line Dress"/>
    <n v="2199"/>
    <n v="1"/>
    <n v="2199"/>
    <s v="DIWALI20"/>
    <n v="20"/>
    <s v="COD"/>
    <x v="0"/>
    <s v="Pune"/>
    <s v="Maharashtra"/>
    <s v="Mumbai"/>
    <m/>
    <x v="1"/>
    <x v="0"/>
    <m/>
    <m/>
    <s v="Not Applicable"/>
    <s v="OK"/>
    <b v="0"/>
    <s v="Discount_Not_Applied"/>
    <n v="1759.2"/>
    <s v="Mismatch"/>
    <n v="1"/>
    <s v="OK"/>
    <n v="-45567"/>
    <s v="Invalid_delivery_time"/>
    <n v="0"/>
    <x v="0"/>
    <x v="0"/>
  </r>
  <r>
    <x v="7"/>
    <d v="2024-10-02T00:00:00"/>
    <s v="CUST_10007"/>
    <x v="0"/>
    <s v="BOT-TRS-L"/>
    <s v="Bottoms"/>
    <s v="Formal Trousers"/>
    <n v="2299"/>
    <n v="1"/>
    <n v="2299"/>
    <m/>
    <n v="0"/>
    <s v="UPI"/>
    <x v="1"/>
    <s v="Kolkata"/>
    <s v="West Bengal"/>
    <s v="Delhi"/>
    <d v="2024-10-10T00:00:00"/>
    <x v="0"/>
    <x v="0"/>
    <m/>
    <m/>
    <s v="Not Applicable"/>
    <s v="OK"/>
    <b v="0"/>
    <s v="No_Discount"/>
    <n v="2299"/>
    <s v="OK"/>
    <n v="1"/>
    <s v="OK"/>
    <n v="8"/>
    <s v="OK"/>
    <n v="0"/>
    <x v="0"/>
    <x v="0"/>
  </r>
  <r>
    <x v="8"/>
    <d v="2024-10-02T00:00:00"/>
    <s v="CUST_10008"/>
    <x v="1"/>
    <s v="TOP-CAS-XL"/>
    <s v="Tops"/>
    <s v="Oversized Tee"/>
    <n v="1399"/>
    <n v="5"/>
    <n v="6995"/>
    <m/>
    <n v="0"/>
    <s v="Credit Card"/>
    <x v="0"/>
    <s v="Ahmedabad"/>
    <s v="Gujarat"/>
    <s v="Mumbai"/>
    <d v="2024-10-09T00:00:00"/>
    <x v="0"/>
    <x v="1"/>
    <s v="Size Issue"/>
    <d v="2024-10-22T00:00:00"/>
    <s v="Processed"/>
    <s v="OK"/>
    <b v="0"/>
    <s v="No_Discount"/>
    <n v="6995"/>
    <s v="OK"/>
    <n v="1"/>
    <s v="OK"/>
    <n v="7"/>
    <s v="OK"/>
    <n v="13"/>
    <x v="0"/>
    <x v="0"/>
  </r>
  <r>
    <x v="9"/>
    <d v="2024-10-02T00:00:00"/>
    <s v="CUST_10009"/>
    <x v="0"/>
    <s v="OUT-BLZ-M"/>
    <s v="Outerwear"/>
    <s v="Casual Blazer"/>
    <n v="4999"/>
    <n v="-1"/>
    <n v="4999"/>
    <m/>
    <n v="0"/>
    <s v="Debit Card"/>
    <x v="2"/>
    <s v="Jaipur"/>
    <s v="Rajasthan"/>
    <s v="Delhi"/>
    <d v="2024-10-11T00:00:00"/>
    <x v="0"/>
    <x v="1"/>
    <s v="Wrong Item"/>
    <d v="2024-10-25T00:00:00"/>
    <s v="Pending"/>
    <s v="Invalid Quantity"/>
    <b v="0"/>
    <s v="No_Discount"/>
    <n v="-4999"/>
    <s v="Mismatch"/>
    <n v="1"/>
    <s v="OK"/>
    <n v="9"/>
    <s v="OK"/>
    <n v="14"/>
    <x v="0"/>
    <x v="0"/>
  </r>
  <r>
    <x v="10"/>
    <d v="2024-10-03T00:00:00"/>
    <s v="CUST_10010"/>
    <x v="0"/>
    <s v="ACC-BAG-OS"/>
    <s v="Accessories"/>
    <s v="Tote Bag"/>
    <n v="1299"/>
    <n v="2"/>
    <n v="2598"/>
    <s v="FLAT10"/>
    <n v="10"/>
    <s v="Wallet"/>
    <x v="0"/>
    <s v="Lucknow"/>
    <s v="Uttar Pradesh"/>
    <s v="Delhi"/>
    <d v="2024-10-10T00:00:00"/>
    <x v="0"/>
    <x v="0"/>
    <m/>
    <m/>
    <s v="Not Applicable"/>
    <s v="OK"/>
    <b v="0"/>
    <s v="Discount_Not_Applied"/>
    <n v="2338.2000000000003"/>
    <s v="Mismatch"/>
    <n v="1"/>
    <s v="OK"/>
    <n v="7"/>
    <s v="OK"/>
    <n v="0"/>
    <x v="0"/>
    <x v="0"/>
  </r>
  <r>
    <x v="11"/>
    <d v="2024-10-03T00:00:00"/>
    <s v="CUST_10011"/>
    <x v="0"/>
    <s v="DRS-PRT-S"/>
    <s v="Dresses"/>
    <s v="Party Dress"/>
    <n v="3299"/>
    <n v="1"/>
    <n v="3299"/>
    <m/>
    <n v="0"/>
    <s v="COD"/>
    <x v="1"/>
    <s v="Chandigarh"/>
    <s v="Punjab"/>
    <s v="Delhi"/>
    <m/>
    <x v="2"/>
    <x v="0"/>
    <m/>
    <m/>
    <s v="Not Applicable"/>
    <s v="OK"/>
    <b v="0"/>
    <s v="No_Discount"/>
    <n v="3299"/>
    <s v="OK"/>
    <n v="1"/>
    <s v="OK"/>
    <n v="-45568"/>
    <s v="Invalid_delivery_time"/>
    <n v="0"/>
    <x v="0"/>
    <x v="0"/>
  </r>
  <r>
    <x v="12"/>
    <d v="2024-10-03T00:00:00"/>
    <s v="CUST_10012"/>
    <x v="1"/>
    <s v="TOP-SLK-M"/>
    <s v="Tops"/>
    <s v="Silk Blouse"/>
    <n v="2499"/>
    <n v="1"/>
    <n v="2499"/>
    <m/>
    <n v="0"/>
    <s v="Credit Card"/>
    <x v="0"/>
    <s v="Mumbai"/>
    <s v="Maharashtra"/>
    <s v="Mumbai"/>
    <d v="2024-10-09T00:00:00"/>
    <x v="0"/>
    <x v="0"/>
    <m/>
    <m/>
    <s v="Not Applicable"/>
    <s v="OK"/>
    <b v="0"/>
    <s v="No_Discount"/>
    <n v="2499"/>
    <s v="OK"/>
    <n v="1"/>
    <s v="OK"/>
    <n v="6"/>
    <s v="OK"/>
    <n v="0"/>
    <x v="0"/>
    <x v="0"/>
  </r>
  <r>
    <x v="13"/>
    <d v="2024-10-03T00:00:00"/>
    <s v="CUST_10013"/>
    <x v="0"/>
    <s v="BOT-SKT-S"/>
    <s v="Bottoms"/>
    <s v="Pleated Skirt"/>
    <n v="1799"/>
    <n v="2"/>
    <n v="3598"/>
    <s v="DIWALI20"/>
    <n v="20"/>
    <s v="UPI"/>
    <x v="2"/>
    <s v="Delhi"/>
    <s v="Delhi"/>
    <s v="Delhi"/>
    <d v="2024-10-11T00:00:00"/>
    <x v="0"/>
    <x v="1"/>
    <s v="Size Issue"/>
    <d v="2024-10-28T00:00:00"/>
    <s v="Processed"/>
    <s v="OK"/>
    <b v="0"/>
    <s v="Discount_Not_Applied"/>
    <n v="2878.4"/>
    <s v="Mismatch"/>
    <n v="1"/>
    <s v="OK"/>
    <n v="8"/>
    <s v="OK"/>
    <n v="17"/>
    <x v="0"/>
    <x v="0"/>
  </r>
  <r>
    <x v="14"/>
    <d v="2024-10-03T00:00:00"/>
    <s v="CUST_10014"/>
    <x v="0"/>
    <s v="OUT-CRD-L"/>
    <s v="Outerwear"/>
    <s v="Knit Cardigan"/>
    <n v="2799"/>
    <n v="1"/>
    <n v="2799"/>
    <m/>
    <n v="0"/>
    <s v="Debit Card"/>
    <x v="1"/>
    <s v="Bangalore"/>
    <s v="Karnataka"/>
    <s v="Bangalore"/>
    <d v="2024-10-12T00:00:00"/>
    <x v="0"/>
    <x v="0"/>
    <m/>
    <m/>
    <s v="Not Applicable"/>
    <s v="OK"/>
    <b v="0"/>
    <s v="No_Discount"/>
    <n v="2799"/>
    <s v="OK"/>
    <n v="1"/>
    <s v="OK"/>
    <n v="9"/>
    <s v="OK"/>
    <n v="0"/>
    <x v="0"/>
    <x v="0"/>
  </r>
  <r>
    <x v="15"/>
    <d v="2024-10-04T00:00:00"/>
    <s v="CUST_10015"/>
    <x v="1"/>
    <s v="ACC-JWL-OS"/>
    <s v="Accessories"/>
    <s v="Statement Earrings"/>
    <n v="599"/>
    <n v="4"/>
    <n v="2396"/>
    <m/>
    <n v="0"/>
    <s v="COD"/>
    <x v="0"/>
    <s v="Noida"/>
    <s v="Uttar Pradesh"/>
    <s v="Delhi"/>
    <d v="2024-10-14T00:00:00"/>
    <x v="0"/>
    <x v="1"/>
    <s v="Damaged in Transit"/>
    <d v="2024-10-26T00:00:00"/>
    <s v="Processed"/>
    <s v="OK"/>
    <b v="0"/>
    <s v="No_Discount"/>
    <n v="2396"/>
    <s v="OK"/>
    <n v="1"/>
    <s v="OK"/>
    <n v="10"/>
    <s v="OK"/>
    <n v="12"/>
    <x v="0"/>
    <x v="0"/>
  </r>
  <r>
    <x v="16"/>
    <d v="2024-10-04T00:00:00"/>
    <s v="CUST_10016"/>
    <x v="0"/>
    <s v="TOP-CRP-XS"/>
    <s v="Tops"/>
    <s v="Crop Top"/>
    <n v="999"/>
    <n v="1"/>
    <n v="999"/>
    <s v="FIRST15"/>
    <n v="15"/>
    <s v="UPI"/>
    <x v="1"/>
    <s v="Gurgaon"/>
    <s v="Haryana"/>
    <s v="Delhi"/>
    <d v="2024-10-12T00:00:00"/>
    <x v="0"/>
    <x v="0"/>
    <m/>
    <m/>
    <s v="Not Applicable"/>
    <s v="OK"/>
    <b v="0"/>
    <s v="Discount_Not_Applied"/>
    <n v="849.15"/>
    <s v="Mismatch"/>
    <n v="1"/>
    <s v="OK"/>
    <n v="8"/>
    <s v="OK"/>
    <n v="0"/>
    <x v="0"/>
    <x v="0"/>
  </r>
  <r>
    <x v="17"/>
    <d v="2024-10-04T00:00:00"/>
    <s v="CUST_10017"/>
    <x v="0"/>
    <s v="DRS-MAX-M"/>
    <s v="Dresses"/>
    <s v="Maxi Dress"/>
    <n v="2899"/>
    <n v="1"/>
    <n v="2899"/>
    <m/>
    <n v="0"/>
    <s v="Credit Card"/>
    <x v="0"/>
    <s v="Indore"/>
    <s v="Madhya Pradesh"/>
    <s v="Mumbai"/>
    <d v="2024-10-14T00:00:00"/>
    <x v="0"/>
    <x v="0"/>
    <m/>
    <m/>
    <s v="Not Applicable"/>
    <s v="OK"/>
    <b v="0"/>
    <s v="No_Discount"/>
    <n v="2899"/>
    <s v="OK"/>
    <n v="1"/>
    <s v="OK"/>
    <n v="10"/>
    <s v="OK"/>
    <n v="0"/>
    <x v="0"/>
    <x v="0"/>
  </r>
  <r>
    <x v="18"/>
    <d v="2024-10-04T00:00:00"/>
    <s v="CUST_10018"/>
    <x v="1"/>
    <s v="BOT-JGR-M"/>
    <s v="Bottoms"/>
    <s v="Joggers"/>
    <n v="1499"/>
    <n v="2"/>
    <n v="2998"/>
    <m/>
    <n v="0"/>
    <s v="Wallet"/>
    <x v="2"/>
    <s v="Surat"/>
    <s v="Gujarat"/>
    <s v="Mumbai"/>
    <d v="2024-10-13T00:00:00"/>
    <x v="0"/>
    <x v="1"/>
    <s v="Size Issue"/>
    <d v="2024-10-30T00:00:00"/>
    <s v="Processed"/>
    <s v="OK"/>
    <b v="0"/>
    <s v="No_Discount"/>
    <n v="2998"/>
    <s v="OK"/>
    <n v="1"/>
    <s v="OK"/>
    <n v="9"/>
    <s v="OK"/>
    <n v="17"/>
    <x v="0"/>
    <x v="0"/>
  </r>
  <r>
    <x v="19"/>
    <d v="2024-10-05T00:00:00"/>
    <s v="CUST_10019"/>
    <x v="0"/>
    <s v="OUT-VST-S"/>
    <s v="Outerwear"/>
    <s v="Puffer Vest"/>
    <n v="3999"/>
    <n v="1"/>
    <n v="3999"/>
    <s v="DIWALI20"/>
    <n v="20"/>
    <s v="COD"/>
    <x v="0"/>
    <s v="Patna"/>
    <s v="Bihar"/>
    <s v="Delhi"/>
    <m/>
    <x v="2"/>
    <x v="0"/>
    <m/>
    <m/>
    <s v="Not Applicable"/>
    <s v="OK"/>
    <b v="0"/>
    <s v="Discount_Not_Applied"/>
    <n v="3199.2000000000003"/>
    <s v="Mismatch"/>
    <n v="1"/>
    <s v="OK"/>
    <n v="-45570"/>
    <s v="Invalid_delivery_time"/>
    <n v="0"/>
    <x v="0"/>
    <x v="0"/>
  </r>
  <r>
    <x v="20"/>
    <d v="2024-10-05T00:00:00"/>
    <s v="CUST_10020"/>
    <x v="0"/>
    <s v="TOP-TUN-L"/>
    <s v="Tops"/>
    <s v="Tunic Top"/>
    <n v="1699"/>
    <n v="1"/>
    <n v="1699"/>
    <m/>
    <n v="0"/>
    <s v="UPI"/>
    <x v="1"/>
    <s v="Bhopal"/>
    <s v="Madhya Pradesh"/>
    <s v="Mumbai"/>
    <d v="2024-10-15T00:00:00"/>
    <x v="0"/>
    <x v="0"/>
    <m/>
    <m/>
    <s v="Not Applicable"/>
    <s v="OK"/>
    <b v="0"/>
    <s v="No_Discount"/>
    <n v="1699"/>
    <s v="OK"/>
    <n v="1"/>
    <s v="OK"/>
    <n v="10"/>
    <s v="OK"/>
    <n v="0"/>
    <x v="0"/>
    <x v="0"/>
  </r>
  <r>
    <x v="21"/>
    <d v="2024-10-05T00:00:00"/>
    <s v="CUST_10021"/>
    <x v="1"/>
    <s v="DRS-SHT-XS"/>
    <s v="Dresses"/>
    <s v="Shirt Dress"/>
    <n v="2399"/>
    <n v="1"/>
    <n v="2399"/>
    <m/>
    <n v="0"/>
    <s v="Credit Card"/>
    <x v="0"/>
    <s v="Nagpur"/>
    <s v="Maharashtra"/>
    <s v="Mumbai"/>
    <d v="2024-10-16T00:00:00"/>
    <x v="0"/>
    <x v="1"/>
    <s v="Quality Defect"/>
    <d v="2024-11-02T00:00:00"/>
    <s v="Processed"/>
    <s v="OK"/>
    <b v="0"/>
    <s v="No_Discount"/>
    <n v="2399"/>
    <s v="OK"/>
    <n v="1"/>
    <s v="OK"/>
    <n v="11"/>
    <s v="OK"/>
    <n v="17"/>
    <x v="0"/>
    <x v="0"/>
  </r>
  <r>
    <x v="22"/>
    <d v="2024-10-05T00:00:00"/>
    <s v="CUST_10022"/>
    <x v="0"/>
    <s v="ACC-BLT-M"/>
    <s v="Accessories"/>
    <s v="Leather Belt"/>
    <n v="899"/>
    <n v="1"/>
    <n v="899"/>
    <s v="FLAT10"/>
    <n v="10"/>
    <s v="Debit Card"/>
    <x v="1"/>
    <s v="Coimbatore"/>
    <s v="Tamil Nadu"/>
    <s v="Bangalore"/>
    <d v="2024-10-17T00:00:00"/>
    <x v="0"/>
    <x v="0"/>
    <m/>
    <m/>
    <s v="Not Applicable"/>
    <s v="OK"/>
    <b v="0"/>
    <s v="Discount_Not_Applied"/>
    <n v="809.1"/>
    <s v="Mismatch"/>
    <n v="1"/>
    <s v="OK"/>
    <n v="12"/>
    <s v="OK"/>
    <n v="0"/>
    <x v="0"/>
    <x v="0"/>
  </r>
  <r>
    <x v="23"/>
    <d v="2024-10-06T00:00:00"/>
    <s v="CUST_10023"/>
    <x v="0"/>
    <s v="BOT-SHT-M"/>
    <s v="Bottoms"/>
    <s v="Cotton Shorts"/>
    <n v="1199"/>
    <n v="3"/>
    <n v="3597"/>
    <m/>
    <n v="0"/>
    <s v="COD"/>
    <x v="2"/>
    <s v="Kochi"/>
    <s v="Kerala"/>
    <s v="Bangalore"/>
    <d v="2024-10-18T00:00:00"/>
    <x v="0"/>
    <x v="1"/>
    <s v="Changed Mind"/>
    <d v="2024-11-05T00:00:00"/>
    <s v="Processed"/>
    <s v="OK"/>
    <b v="0"/>
    <s v="No_Discount"/>
    <n v="3597"/>
    <s v="OK"/>
    <n v="1"/>
    <s v="OK"/>
    <n v="12"/>
    <s v="OK"/>
    <n v="18"/>
    <x v="0"/>
    <x v="1"/>
  </r>
  <r>
    <x v="24"/>
    <d v="2024-10-06T00:00:00"/>
    <s v="CUST_10024"/>
    <x v="0"/>
    <s v="TOP-PLO-L"/>
    <s v="Tops"/>
    <s v="Polo Shirt"/>
    <n v="1799"/>
    <n v="2"/>
    <n v="3598"/>
    <m/>
    <n v="0"/>
    <s v="UPI"/>
    <x v="0"/>
    <s v="Vizag"/>
    <s v="Andhra Pradesh"/>
    <s v="Bangalore"/>
    <d v="2024-10-17T00:00:00"/>
    <x v="0"/>
    <x v="0"/>
    <m/>
    <m/>
    <s v="Not Applicable"/>
    <s v="OK"/>
    <b v="0"/>
    <s v="No_Discount"/>
    <n v="3598"/>
    <s v="OK"/>
    <n v="1"/>
    <s v="OK"/>
    <n v="11"/>
    <s v="OK"/>
    <n v="0"/>
    <x v="0"/>
    <x v="1"/>
  </r>
  <r>
    <x v="25"/>
    <d v="2024-10-06T00:00:00"/>
    <s v="CUST_10025"/>
    <x v="0"/>
    <s v="DRS-WRK-M"/>
    <s v="Dresses"/>
    <s v="Work Dress"/>
    <n v="2699"/>
    <n v="1"/>
    <n v="2699"/>
    <m/>
    <n v="0"/>
    <s v="Credit Card"/>
    <x v="1"/>
    <s v="Thiruvananthapuram"/>
    <s v="Kerala"/>
    <s v="Bangalore"/>
    <d v="2024-10-18T00:00:00"/>
    <x v="0"/>
    <x v="0"/>
    <m/>
    <m/>
    <s v="Not Applicable"/>
    <s v="OK"/>
    <b v="0"/>
    <s v="No_Discount"/>
    <n v="2699"/>
    <s v="OK"/>
    <n v="1"/>
    <s v="OK"/>
    <n v="12"/>
    <s v="OK"/>
    <n v="0"/>
    <x v="0"/>
    <x v="1"/>
  </r>
  <r>
    <x v="26"/>
    <d v="2024-10-06T00:00:00"/>
    <s v="CUST_10026"/>
    <x v="1"/>
    <s v="OUT-TRN-L"/>
    <s v="Outerwear"/>
    <s v="Trench Coat"/>
    <n v="4599"/>
    <n v="1"/>
    <n v="4599"/>
    <s v="FLAT10"/>
    <n v="10"/>
    <s v="Debit Card"/>
    <x v="0"/>
    <s v="Mysore"/>
    <s v="Karnataka"/>
    <s v="Bangalore"/>
    <d v="2024-10-19T00:00:00"/>
    <x v="0"/>
    <x v="1"/>
    <s v="Size Issue"/>
    <d v="2024-11-08T00:00:00"/>
    <s v="Processed"/>
    <s v="OK"/>
    <b v="0"/>
    <s v="Discount_Not_Applied"/>
    <n v="4139.1000000000004"/>
    <s v="Mismatch"/>
    <n v="1"/>
    <s v="OK"/>
    <n v="13"/>
    <s v="OK"/>
    <n v="20"/>
    <x v="0"/>
    <x v="1"/>
  </r>
  <r>
    <x v="27"/>
    <d v="2024-10-07T00:00:00"/>
    <s v="CUST_10027"/>
    <x v="0"/>
    <s v="ACC-HAT-OS"/>
    <s v="Accessories"/>
    <s v="Fedora Hat"/>
    <n v="1099"/>
    <n v="1"/>
    <n v="1099"/>
    <m/>
    <n v="0"/>
    <s v="UPI"/>
    <x v="2"/>
    <s v="Vadodara"/>
    <s v="Gujarat"/>
    <s v="Mumbai"/>
    <d v="2024-10-20T00:00:00"/>
    <x v="0"/>
    <x v="0"/>
    <m/>
    <m/>
    <s v="Not Applicable"/>
    <s v="OK"/>
    <b v="0"/>
    <s v="No_Discount"/>
    <n v="1099"/>
    <s v="OK"/>
    <n v="1"/>
    <s v="OK"/>
    <n v="13"/>
    <s v="OK"/>
    <n v="0"/>
    <x v="0"/>
    <x v="1"/>
  </r>
  <r>
    <x v="28"/>
    <d v="2024-10-07T00:00:00"/>
    <s v="CUST_10028"/>
    <x v="0"/>
    <s v="TOP-DNM-M"/>
    <s v="Tops"/>
    <s v="Denim Shirt"/>
    <n v="1899"/>
    <n v="1"/>
    <n v="1899"/>
    <m/>
    <n v="0"/>
    <s v="COD"/>
    <x v="1"/>
    <s v="Rajkot"/>
    <s v="Gujarat"/>
    <s v="Mumbai"/>
    <m/>
    <x v="2"/>
    <x v="0"/>
    <m/>
    <m/>
    <s v="Not Applicable"/>
    <s v="OK"/>
    <b v="0"/>
    <s v="No_Discount"/>
    <n v="1899"/>
    <s v="OK"/>
    <n v="1"/>
    <s v="OK"/>
    <n v="-45572"/>
    <s v="Invalid_delivery_time"/>
    <n v="0"/>
    <x v="0"/>
    <x v="1"/>
  </r>
  <r>
    <x v="29"/>
    <d v="2024-10-07T00:00:00"/>
    <s v="CUST_10029"/>
    <x v="0"/>
    <s v="BOT-CRG-L"/>
    <s v="Bottoms"/>
    <s v="Cargo Pants"/>
    <n v="2199"/>
    <n v="1"/>
    <n v="2199"/>
    <s v="DIWALI20"/>
    <n v="20"/>
    <s v="Credit Card"/>
    <x v="0"/>
    <s v="Kanpur"/>
    <s v="Uttar Pradesh"/>
    <s v="Delhi"/>
    <d v="2024-10-20T00:00:00"/>
    <x v="0"/>
    <x v="0"/>
    <m/>
    <m/>
    <s v="Not Applicable"/>
    <s v="OK"/>
    <b v="0"/>
    <s v="Discount_Not_Applied"/>
    <n v="1759.2"/>
    <s v="Mismatch"/>
    <n v="1"/>
    <s v="OK"/>
    <n v="13"/>
    <s v="OK"/>
    <n v="0"/>
    <x v="0"/>
    <x v="1"/>
  </r>
  <r>
    <x v="30"/>
    <d v="2024-10-07T00:00:00"/>
    <s v="CUST_10030"/>
    <x v="1"/>
    <s v="DRS-EVE-S"/>
    <s v="Dresses"/>
    <s v="Evening Gown"/>
    <n v="5499"/>
    <n v="1"/>
    <n v="5499"/>
    <m/>
    <n v="0"/>
    <s v="Credit Card"/>
    <x v="1"/>
    <s v="Mumbai"/>
    <s v="Maharashtra"/>
    <s v="Mumbai"/>
    <d v="2024-10-21T00:00:00"/>
    <x v="0"/>
    <x v="1"/>
    <s v="Size Issue"/>
    <d v="2024-11-10T00:00:00"/>
    <s v="Processed"/>
    <s v="OK"/>
    <b v="0"/>
    <s v="No_Discount"/>
    <n v="5499"/>
    <s v="OK"/>
    <n v="1"/>
    <s v="OK"/>
    <n v="14"/>
    <s v="OK"/>
    <n v="20"/>
    <x v="0"/>
    <x v="1"/>
  </r>
  <r>
    <x v="31"/>
    <d v="2024-10-08T00:00:00"/>
    <s v="CUST_10031"/>
    <x v="0"/>
    <s v="TOP-BAS-M"/>
    <s v="Tops"/>
    <s v="Basic Tank"/>
    <n v="899"/>
    <n v="2"/>
    <n v="1798"/>
    <m/>
    <n v="0"/>
    <s v="UPI"/>
    <x v="0"/>
    <s v="Delhi"/>
    <s v="Delhi"/>
    <s v="Delhi"/>
    <d v="2024-10-14T00:00:00"/>
    <x v="0"/>
    <x v="0"/>
    <m/>
    <m/>
    <s v="Not Applicable"/>
    <s v="OK"/>
    <b v="0"/>
    <s v="No_Discount"/>
    <n v="1798"/>
    <s v="OK"/>
    <n v="1"/>
    <s v="OK"/>
    <n v="6"/>
    <s v="OK"/>
    <n v="0"/>
    <x v="0"/>
    <x v="1"/>
  </r>
  <r>
    <x v="32"/>
    <d v="2024-10-08T00:00:00"/>
    <s v="CUST_10032"/>
    <x v="0"/>
    <s v="OUT-WOL-L"/>
    <s v="Outerwear"/>
    <s v="Wool Coat"/>
    <n v="6999"/>
    <n v="1"/>
    <n v="6999"/>
    <s v="FIRST15"/>
    <n v="15"/>
    <s v="Debit Card"/>
    <x v="2"/>
    <s v="Kolkata"/>
    <s v="West Bengal"/>
    <s v="Delhi"/>
    <d v="2024-10-16T00:00:00"/>
    <x v="0"/>
    <x v="1"/>
    <s v="Quality Defect"/>
    <d v="2024-11-05T00:00:00"/>
    <s v="Processed"/>
    <s v="OK"/>
    <b v="0"/>
    <s v="Discount_Not_Applied"/>
    <n v="5949.15"/>
    <s v="Mismatch"/>
    <n v="1"/>
    <s v="OK"/>
    <n v="8"/>
    <s v="OK"/>
    <n v="20"/>
    <x v="0"/>
    <x v="1"/>
  </r>
  <r>
    <x v="33"/>
    <d v="2024-10-08T00:00:00"/>
    <s v="CUST_10033"/>
    <x v="1"/>
    <s v="ACC-WCH-OS"/>
    <s v="Accessories"/>
    <s v="Fashion Watch"/>
    <n v="2999"/>
    <n v="1"/>
    <n v="2999"/>
    <m/>
    <n v="0"/>
    <s v="Credit Card"/>
    <x v="1"/>
    <s v="Chennai"/>
    <s v="Tamil Nadu"/>
    <s v="Bangalore"/>
    <d v="2024-10-15T00:00:00"/>
    <x v="0"/>
    <x v="0"/>
    <m/>
    <m/>
    <s v="Not Applicable"/>
    <s v="OK"/>
    <b v="0"/>
    <s v="No_Discount"/>
    <n v="2999"/>
    <s v="OK"/>
    <n v="1"/>
    <s v="OK"/>
    <n v="7"/>
    <s v="OK"/>
    <n v="0"/>
    <x v="0"/>
    <x v="1"/>
  </r>
  <r>
    <x v="34"/>
    <d v="2024-10-08T00:00:00"/>
    <s v="CUST_10034"/>
    <x v="0"/>
    <s v="BOT-DNM-S"/>
    <s v="Bottoms"/>
    <s v="Denim Shorts"/>
    <n v="1599"/>
    <n v="1"/>
    <n v="1599"/>
    <m/>
    <n v="0"/>
    <s v="COD"/>
    <x v="0"/>
    <s v="Hyderabad"/>
    <s v="Telangana"/>
    <s v="Bangalore"/>
    <d v="2024-10-17T00:00:00"/>
    <x v="0"/>
    <x v="1"/>
    <s v="Size Issue"/>
    <d v="2024-11-08T00:00:00"/>
    <s v="Processed"/>
    <s v="OK"/>
    <b v="0"/>
    <s v="No_Discount"/>
    <n v="1599"/>
    <s v="OK"/>
    <n v="1"/>
    <s v="OK"/>
    <n v="9"/>
    <s v="OK"/>
    <n v="22"/>
    <x v="0"/>
    <x v="1"/>
  </r>
  <r>
    <x v="35"/>
    <d v="2024-10-09T00:00:00"/>
    <s v="CUST_10035"/>
    <x v="0"/>
    <s v="DRS-SUN-M"/>
    <s v="Dresses"/>
    <s v="Sundress"/>
    <n v="1999"/>
    <n v="1"/>
    <n v="1999"/>
    <s v="DIWALI20"/>
    <n v="20"/>
    <s v="Wallet"/>
    <x v="1"/>
    <s v="Pune"/>
    <s v="Maharashtra"/>
    <s v="Mumbai"/>
    <d v="2024-10-16T00:00:00"/>
    <x v="0"/>
    <x v="0"/>
    <m/>
    <m/>
    <s v="Not Applicable"/>
    <s v="OK"/>
    <b v="0"/>
    <s v="Discount_Not_Applied"/>
    <n v="1599.2"/>
    <s v="Mismatch"/>
    <n v="1"/>
    <s v="OK"/>
    <n v="7"/>
    <s v="OK"/>
    <n v="0"/>
    <x v="0"/>
    <x v="1"/>
  </r>
  <r>
    <x v="36"/>
    <d v="2024-10-09T00:00:00"/>
    <s v="CUST_10036"/>
    <x v="0"/>
    <s v="TOP-RFL-S"/>
    <s v="Tops"/>
    <s v="Ruffle Top"/>
    <n v="1799"/>
    <n v="1"/>
    <n v="1799"/>
    <m/>
    <n v="0"/>
    <s v="UPI"/>
    <x v="2"/>
    <s v="Ahmedabad"/>
    <s v="Gujarat"/>
    <s v="Mumbai"/>
    <d v="2024-10-17T00:00:00"/>
    <x v="0"/>
    <x v="1"/>
    <s v="Changed Mind"/>
    <d v="2024-11-12T00:00:00"/>
    <s v="Processed"/>
    <s v="OK"/>
    <b v="0"/>
    <s v="No_Discount"/>
    <n v="1799"/>
    <s v="OK"/>
    <n v="1"/>
    <s v="OK"/>
    <n v="8"/>
    <s v="OK"/>
    <n v="26"/>
    <x v="0"/>
    <x v="1"/>
  </r>
  <r>
    <x v="37"/>
    <d v="2024-10-09T00:00:00"/>
    <s v="CUST_10037"/>
    <x v="1"/>
    <s v="OUT-LTH-M"/>
    <s v="Outerwear"/>
    <s v="Leather Jacket"/>
    <n v="7999"/>
    <n v="1"/>
    <n v="7999"/>
    <m/>
    <n v="0"/>
    <s v="Credit Card"/>
    <x v="0"/>
    <s v="Jaipur"/>
    <s v="Rajasthan"/>
    <s v="Delhi"/>
    <d v="2024-10-18T00:00:00"/>
    <x v="0"/>
    <x v="0"/>
    <m/>
    <m/>
    <s v="Not Applicable"/>
    <s v="OK"/>
    <b v="0"/>
    <s v="No_Discount"/>
    <n v="7999"/>
    <s v="OK"/>
    <n v="1"/>
    <s v="OK"/>
    <n v="9"/>
    <s v="OK"/>
    <n v="0"/>
    <x v="0"/>
    <x v="1"/>
  </r>
  <r>
    <x v="38"/>
    <d v="2024-10-09T00:00:00"/>
    <s v="CUST_10038"/>
    <x v="0"/>
    <s v="ACC-SNG-OS"/>
    <s v="Accessories"/>
    <s v="Sunglasses"/>
    <n v="1499"/>
    <n v="1"/>
    <n v="1499"/>
    <s v="FLAT10"/>
    <n v="10"/>
    <s v="Debit Card"/>
    <x v="1"/>
    <s v="Lucknow"/>
    <s v="Uttar Pradesh"/>
    <s v="Delhi"/>
    <d v="2024-10-17T00:00:00"/>
    <x v="0"/>
    <x v="0"/>
    <m/>
    <m/>
    <s v="Not Applicable"/>
    <s v="OK"/>
    <b v="0"/>
    <s v="Discount_Not_Applied"/>
    <n v="1349.1000000000001"/>
    <s v="Mismatch"/>
    <n v="1"/>
    <s v="OK"/>
    <n v="8"/>
    <s v="OK"/>
    <n v="0"/>
    <x v="0"/>
    <x v="1"/>
  </r>
  <r>
    <x v="39"/>
    <d v="2024-10-10T00:00:00"/>
    <s v="CUST_10039"/>
    <x v="0"/>
    <s v="BOT-PLZ-L"/>
    <s v="Bottoms"/>
    <s v="Palazzo Pants"/>
    <n v="1699"/>
    <n v="1"/>
    <n v="1699"/>
    <m/>
    <n v="0"/>
    <s v="COD"/>
    <x v="0"/>
    <s v="Bangalore"/>
    <s v="Karnataka"/>
    <s v="Bangalore"/>
    <d v="2024-10-19T00:00:00"/>
    <x v="0"/>
    <x v="1"/>
    <s v="Size Issue"/>
    <d v="2024-11-10T00:00:00"/>
    <s v="Processed"/>
    <s v="OK"/>
    <b v="0"/>
    <s v="No_Discount"/>
    <n v="1699"/>
    <s v="OK"/>
    <n v="1"/>
    <s v="OK"/>
    <n v="9"/>
    <s v="OK"/>
    <n v="22"/>
    <x v="0"/>
    <x v="1"/>
  </r>
  <r>
    <x v="40"/>
    <d v="2024-10-10T00:00:00"/>
    <s v="CUST_10040"/>
    <x v="0"/>
    <s v="DRS-BDC-S"/>
    <s v="Dresses"/>
    <s v="Bodycon Dress"/>
    <n v="2299"/>
    <n v="1"/>
    <n v="2299"/>
    <m/>
    <n v="0"/>
    <s v="UPI"/>
    <x v="2"/>
    <s v="Mumbai"/>
    <s v="Maharashtra"/>
    <s v="Mumbai"/>
    <d v="2024-10-18T00:00:00"/>
    <x v="0"/>
    <x v="0"/>
    <m/>
    <m/>
    <s v="Not Applicable"/>
    <s v="OK"/>
    <b v="0"/>
    <s v="No_Discount"/>
    <n v="2299"/>
    <s v="OK"/>
    <n v="1"/>
    <s v="OK"/>
    <n v="8"/>
    <s v="OK"/>
    <n v="0"/>
    <x v="0"/>
    <x v="1"/>
  </r>
  <r>
    <x v="41"/>
    <d v="2024-10-10T00:00:00"/>
    <s v="CUST_10041"/>
    <x v="1"/>
    <s v="TOP-OFF-M"/>
    <s v="Tops"/>
    <s v="Off-Shoulder Top"/>
    <n v="1599"/>
    <n v="2"/>
    <n v="3198"/>
    <s v="DIWALI20"/>
    <n v="20"/>
    <s v="Credit Card"/>
    <x v="1"/>
    <s v="Delhi"/>
    <s v="Delhi"/>
    <s v="Delhi"/>
    <d v="2024-10-17T00:00:00"/>
    <x v="0"/>
    <x v="1"/>
    <s v="Wrong Item"/>
    <d v="2024-11-08T00:00:00"/>
    <s v="Processed"/>
    <s v="OK"/>
    <b v="0"/>
    <s v="Discount_Not_Applied"/>
    <n v="2558.4"/>
    <s v="Mismatch"/>
    <n v="1"/>
    <s v="OK"/>
    <n v="7"/>
    <s v="OK"/>
    <n v="22"/>
    <x v="0"/>
    <x v="1"/>
  </r>
  <r>
    <x v="42"/>
    <d v="2024-10-10T00:00:00"/>
    <s v="CUST_10042"/>
    <x v="0"/>
    <s v="OUT-DNM-L"/>
    <s v="Outerwear"/>
    <s v="Denim Vest"/>
    <n v="2499"/>
    <n v="1"/>
    <n v="2499"/>
    <m/>
    <n v="0"/>
    <s v="Wallet"/>
    <x v="0"/>
    <s v="Chandigarh"/>
    <s v="Punjab"/>
    <s v="Delhi"/>
    <d v="2024-10-20T00:00:00"/>
    <x v="0"/>
    <x v="0"/>
    <m/>
    <m/>
    <s v="Not Applicable"/>
    <s v="OK"/>
    <b v="0"/>
    <s v="No_Discount"/>
    <n v="2499"/>
    <s v="OK"/>
    <n v="1"/>
    <s v="OK"/>
    <n v="10"/>
    <s v="OK"/>
    <n v="0"/>
    <x v="0"/>
    <x v="1"/>
  </r>
  <r>
    <x v="43"/>
    <d v="2024-10-10T00:00:00"/>
    <s v="CUST_10163"/>
    <x v="0"/>
    <s v="OUT-STR-L"/>
    <s v="Outerwear"/>
    <s v="Striped Blazer"/>
    <n v="4199"/>
    <n v="1"/>
    <n v="4199"/>
    <m/>
    <n v="0"/>
    <s v="UPI"/>
    <x v="1"/>
    <s v="Coimbatore"/>
    <s v="Tamil Nadu"/>
    <s v="Bangalore"/>
    <d v="2024-11-25T00:00:00"/>
    <x v="0"/>
    <x v="1"/>
    <s v="Quality Defect"/>
    <d v="2024-12-24T00:00:00"/>
    <s v="Processed"/>
    <s v="OK"/>
    <b v="0"/>
    <s v="No_Discount"/>
    <n v="4199"/>
    <s v="OK"/>
    <n v="1"/>
    <s v="OK"/>
    <n v="46"/>
    <s v="Invalid_delivery_time"/>
    <n v="29"/>
    <x v="0"/>
    <x v="1"/>
  </r>
  <r>
    <x v="44"/>
    <d v="2024-10-11T00:00:00"/>
    <s v="CUST_10043"/>
    <x v="0"/>
    <s v="ACC-HBG-OS"/>
    <s v="Accessories"/>
    <s v="Hobo Bag"/>
    <n v="1899"/>
    <n v="1"/>
    <n v="1899"/>
    <m/>
    <n v="0"/>
    <s v="Debit Card"/>
    <x v="2"/>
    <s v="Noida"/>
    <s v="Uttar Pradesh"/>
    <s v="Delhi"/>
    <d v="2024-10-21T00:00:00"/>
    <x v="0"/>
    <x v="1"/>
    <s v="Damaged in Transit"/>
    <d v="2024-11-12T00:00:00"/>
    <s v="Processed"/>
    <s v="OK"/>
    <b v="0"/>
    <s v="No_Discount"/>
    <n v="1899"/>
    <s v="OK"/>
    <n v="1"/>
    <s v="OK"/>
    <n v="10"/>
    <s v="OK"/>
    <n v="22"/>
    <x v="0"/>
    <x v="1"/>
  </r>
  <r>
    <x v="45"/>
    <d v="2024-10-11T00:00:00"/>
    <s v="CUST_10044"/>
    <x v="0"/>
    <s v="BOT-CHP-M"/>
    <s v="Bottoms"/>
    <s v="Chino Pants"/>
    <n v="1999"/>
    <n v="1"/>
    <n v="1999"/>
    <s v="FIRST15"/>
    <n v="15"/>
    <s v="UPI"/>
    <x v="1"/>
    <s v="Gurgaon"/>
    <s v="Haryana"/>
    <s v="Delhi"/>
    <d v="2024-10-19T00:00:00"/>
    <x v="0"/>
    <x v="0"/>
    <m/>
    <m/>
    <s v="Not Applicable"/>
    <s v="OK"/>
    <b v="0"/>
    <s v="Discount_Not_Applied"/>
    <n v="1699.1499999999999"/>
    <s v="Mismatch"/>
    <n v="1"/>
    <s v="OK"/>
    <n v="8"/>
    <s v="OK"/>
    <n v="0"/>
    <x v="0"/>
    <x v="1"/>
  </r>
  <r>
    <x v="46"/>
    <d v="2024-10-11T00:00:00"/>
    <s v="CUST_10045"/>
    <x v="1"/>
    <s v="DRS-WRP-M"/>
    <s v="Dresses"/>
    <s v="Wrap Dress"/>
    <n v="2599"/>
    <n v="1"/>
    <n v="2599"/>
    <m/>
    <n v="0"/>
    <s v="Credit Card"/>
    <x v="0"/>
    <s v="Indore"/>
    <s v="Madhya Pradesh"/>
    <s v="Mumbai"/>
    <d v="2024-10-20T00:00:00"/>
    <x v="0"/>
    <x v="0"/>
    <m/>
    <m/>
    <s v="Not Applicable"/>
    <s v="OK"/>
    <b v="0"/>
    <s v="No_Discount"/>
    <n v="2599"/>
    <s v="OK"/>
    <n v="1"/>
    <s v="OK"/>
    <n v="9"/>
    <s v="OK"/>
    <n v="0"/>
    <x v="0"/>
    <x v="1"/>
  </r>
  <r>
    <x v="47"/>
    <d v="2024-10-11T00:00:00"/>
    <s v="CUST_10046"/>
    <x v="0"/>
    <s v="TOP-STR-S"/>
    <s v="Tops"/>
    <s v="Striped Tee"/>
    <n v="1299"/>
    <n v="1"/>
    <n v="1299"/>
    <m/>
    <n v="0"/>
    <s v="COD"/>
    <x v="2"/>
    <s v="Surat"/>
    <s v="Gujarat"/>
    <s v="Mumbai"/>
    <m/>
    <x v="2"/>
    <x v="0"/>
    <m/>
    <m/>
    <s v="Not Applicable"/>
    <s v="OK"/>
    <b v="0"/>
    <s v="No_Discount"/>
    <n v="1299"/>
    <s v="OK"/>
    <n v="1"/>
    <s v="OK"/>
    <n v="-45576"/>
    <s v="Invalid_delivery_time"/>
    <n v="0"/>
    <x v="0"/>
    <x v="1"/>
  </r>
  <r>
    <x v="48"/>
    <d v="2024-10-12T00:00:00"/>
    <s v="CUST_10047"/>
    <x v="0"/>
    <s v="OUT-PRK-XL"/>
    <s v="Outerwear"/>
    <s v="Parka Jacket"/>
    <n v="5999"/>
    <n v="1"/>
    <n v="5999"/>
    <s v="DIWALI20"/>
    <n v="20"/>
    <s v="Credit Card"/>
    <x v="1"/>
    <s v="Patna"/>
    <s v="Bihar"/>
    <s v="Delhi"/>
    <d v="2024-10-22T00:00:00"/>
    <x v="0"/>
    <x v="1"/>
    <s v="Size Issue"/>
    <d v="2024-11-15T00:00:00"/>
    <s v="Processed"/>
    <s v="OK"/>
    <b v="0"/>
    <s v="Discount_Not_Applied"/>
    <n v="4799.2"/>
    <s v="Mismatch"/>
    <n v="1"/>
    <s v="OK"/>
    <n v="10"/>
    <s v="OK"/>
    <n v="24"/>
    <x v="0"/>
    <x v="1"/>
  </r>
  <r>
    <x v="49"/>
    <d v="2024-10-12T00:00:00"/>
    <s v="CUST_10048"/>
    <x v="0"/>
    <s v="ACC-EAR-OS"/>
    <s v="Accessories"/>
    <s v="Hoop Earrings"/>
    <n v="799"/>
    <n v="2"/>
    <n v="1598"/>
    <m/>
    <n v="0"/>
    <s v="UPI"/>
    <x v="0"/>
    <s v="Bhopal"/>
    <s v="Madhya Pradesh"/>
    <s v="Mumbai"/>
    <d v="2024-10-20T00:00:00"/>
    <x v="0"/>
    <x v="0"/>
    <m/>
    <m/>
    <s v="Not Applicable"/>
    <s v="OK"/>
    <b v="0"/>
    <s v="No_Discount"/>
    <n v="1598"/>
    <s v="OK"/>
    <n v="1"/>
    <s v="OK"/>
    <n v="8"/>
    <s v="OK"/>
    <n v="0"/>
    <x v="0"/>
    <x v="1"/>
  </r>
  <r>
    <x v="50"/>
    <d v="2024-10-12T00:00:00"/>
    <s v="CUST_10049"/>
    <x v="1"/>
    <s v="BOT-LGN-S"/>
    <s v="Bottoms"/>
    <s v="Leggings"/>
    <n v="999"/>
    <n v="2"/>
    <n v="1998"/>
    <m/>
    <n v="0"/>
    <s v="Wallet"/>
    <x v="1"/>
    <s v="Nagpur"/>
    <s v="Maharashtra"/>
    <s v="Mumbai"/>
    <d v="2024-10-19T00:00:00"/>
    <x v="0"/>
    <x v="0"/>
    <m/>
    <m/>
    <s v="Not Applicable"/>
    <s v="OK"/>
    <b v="0"/>
    <s v="No_Discount"/>
    <n v="1998"/>
    <s v="OK"/>
    <n v="1"/>
    <s v="OK"/>
    <n v="7"/>
    <s v="OK"/>
    <n v="0"/>
    <x v="0"/>
    <x v="1"/>
  </r>
  <r>
    <x v="51"/>
    <d v="2024-10-12T00:00:00"/>
    <s v="CUST_10050"/>
    <x v="0"/>
    <s v="DRS-CTN-L"/>
    <s v="Dresses"/>
    <s v="Cotton Dress"/>
    <n v="1899"/>
    <n v="1"/>
    <n v="1899"/>
    <m/>
    <n v="0"/>
    <s v="Debit Card"/>
    <x v="2"/>
    <s v="Coimbatore"/>
    <s v="Tamil Nadu"/>
    <s v="Bangalore"/>
    <d v="2024-10-22T00:00:00"/>
    <x v="0"/>
    <x v="1"/>
    <s v="Quality Defect"/>
    <d v="2024-11-14T00:00:00"/>
    <s v="Processed"/>
    <s v="OK"/>
    <b v="0"/>
    <s v="No_Discount"/>
    <n v="1899"/>
    <s v="OK"/>
    <n v="1"/>
    <s v="OK"/>
    <n v="10"/>
    <s v="OK"/>
    <n v="23"/>
    <x v="0"/>
    <x v="1"/>
  </r>
  <r>
    <x v="52"/>
    <d v="2024-10-13T00:00:00"/>
    <s v="CUST_10051"/>
    <x v="0"/>
    <s v="TOP-LCE-M"/>
    <s v="Tops"/>
    <s v="Lace Top"/>
    <n v="1699"/>
    <n v="1"/>
    <n v="1699"/>
    <s v="FLAT10"/>
    <n v="10"/>
    <s v="Credit Card"/>
    <x v="0"/>
    <s v="Kochi"/>
    <s v="Kerala"/>
    <s v="Bangalore"/>
    <d v="2024-10-21T00:00:00"/>
    <x v="0"/>
    <x v="0"/>
    <m/>
    <m/>
    <s v="Not Applicable"/>
    <s v="OK"/>
    <b v="0"/>
    <s v="Discount_Not_Applied"/>
    <n v="1529.1000000000001"/>
    <s v="Mismatch"/>
    <n v="1"/>
    <s v="OK"/>
    <n v="8"/>
    <s v="OK"/>
    <n v="0"/>
    <x v="0"/>
    <x v="2"/>
  </r>
  <r>
    <x v="53"/>
    <d v="2024-10-13T00:00:00"/>
    <s v="CUST_10052"/>
    <x v="0"/>
    <s v="OUT-BOM-M"/>
    <s v="Outerwear"/>
    <s v="Bomber Jacket"/>
    <n v="3799"/>
    <n v="1"/>
    <n v="3799"/>
    <m/>
    <n v="0"/>
    <s v="UPI"/>
    <x v="1"/>
    <s v="Vizag"/>
    <s v="Andhra Pradesh"/>
    <s v="Bangalore"/>
    <d v="2024-10-23T00:00:00"/>
    <x v="0"/>
    <x v="1"/>
    <s v="Size Issue"/>
    <d v="2024-11-18T00:00:00"/>
    <s v="Processed"/>
    <s v="OK"/>
    <b v="0"/>
    <s v="No_Discount"/>
    <n v="3799"/>
    <s v="OK"/>
    <n v="1"/>
    <s v="OK"/>
    <n v="10"/>
    <s v="OK"/>
    <n v="26"/>
    <x v="0"/>
    <x v="2"/>
  </r>
  <r>
    <x v="54"/>
    <d v="2024-10-13T00:00:00"/>
    <s v="CUST_10053"/>
    <x v="1"/>
    <s v="ACC-NCK-OS"/>
    <s v="Accessories"/>
    <s v="Pendant Necklace"/>
    <n v="1299"/>
    <n v="1"/>
    <n v="1299"/>
    <m/>
    <n v="0"/>
    <s v="COD"/>
    <x v="2"/>
    <s v="Thiruvananthapuram"/>
    <s v="Kerala"/>
    <s v="Bangalore"/>
    <d v="2024-10-22T00:00:00"/>
    <x v="0"/>
    <x v="0"/>
    <m/>
    <m/>
    <s v="Not Applicable"/>
    <s v="OK"/>
    <b v="0"/>
    <s v="No_Discount"/>
    <n v="1299"/>
    <s v="OK"/>
    <n v="1"/>
    <s v="OK"/>
    <n v="9"/>
    <s v="OK"/>
    <n v="0"/>
    <x v="0"/>
    <x v="2"/>
  </r>
  <r>
    <x v="55"/>
    <d v="2024-10-13T00:00:00"/>
    <s v="CUST_10054"/>
    <x v="0"/>
    <s v="BOT-WID-M"/>
    <s v="Bottoms"/>
    <s v="Wide Leg Pants"/>
    <n v="2099"/>
    <n v="1"/>
    <n v="2099"/>
    <s v="DIWALI20"/>
    <n v="20"/>
    <s v="Credit Card"/>
    <x v="0"/>
    <s v="Mysore"/>
    <s v="Karnataka"/>
    <s v="Bangalore"/>
    <d v="2024-10-24T00:00:00"/>
    <x v="0"/>
    <x v="0"/>
    <m/>
    <m/>
    <s v="Not Applicable"/>
    <s v="OK"/>
    <b v="0"/>
    <s v="Discount_Not_Applied"/>
    <n v="1679.2"/>
    <s v="Mismatch"/>
    <n v="1"/>
    <s v="OK"/>
    <n v="11"/>
    <s v="OK"/>
    <n v="0"/>
    <x v="0"/>
    <x v="2"/>
  </r>
  <r>
    <x v="56"/>
    <d v="2024-10-14T00:00:00"/>
    <s v="CUST_10055"/>
    <x v="0"/>
    <s v="DRS-TIR-S"/>
    <s v="Dresses"/>
    <s v="Tiered Dress"/>
    <n v="2799"/>
    <n v="1"/>
    <n v="2799"/>
    <m/>
    <n v="0"/>
    <s v="Debit Card"/>
    <x v="1"/>
    <s v="Vadodara"/>
    <s v="Gujarat"/>
    <s v="Mumbai"/>
    <d v="2024-10-23T00:00:00"/>
    <x v="0"/>
    <x v="1"/>
    <s v="Changed Mind"/>
    <d v="2024-11-16T00:00:00"/>
    <s v="Processed"/>
    <s v="OK"/>
    <b v="0"/>
    <s v="No_Discount"/>
    <n v="2799"/>
    <s v="OK"/>
    <n v="1"/>
    <s v="OK"/>
    <n v="9"/>
    <s v="OK"/>
    <n v="24"/>
    <x v="0"/>
    <x v="2"/>
  </r>
  <r>
    <x v="57"/>
    <d v="2024-10-14T00:00:00"/>
    <s v="CUST_10056"/>
    <x v="0"/>
    <s v="TOP-PEP-M"/>
    <s v="Tops"/>
    <s v="Peplum Top"/>
    <n v="1499"/>
    <n v="1"/>
    <n v="1499"/>
    <m/>
    <n v="0"/>
    <s v="Wallet"/>
    <x v="0"/>
    <s v="Rajkot"/>
    <s v="Gujarat"/>
    <s v="Mumbai"/>
    <d v="2024-10-22T00:00:00"/>
    <x v="0"/>
    <x v="0"/>
    <m/>
    <m/>
    <s v="Not Applicable"/>
    <s v="OK"/>
    <b v="0"/>
    <s v="No_Discount"/>
    <n v="1499"/>
    <s v="OK"/>
    <n v="1"/>
    <s v="OK"/>
    <n v="8"/>
    <s v="OK"/>
    <n v="0"/>
    <x v="0"/>
    <x v="2"/>
  </r>
  <r>
    <x v="58"/>
    <d v="2024-10-14T00:00:00"/>
    <s v="CUST_10057"/>
    <x v="1"/>
    <s v="OUT-QTD-L"/>
    <s v="Outerwear"/>
    <s v="Quilted Jacket"/>
    <n v="4499"/>
    <n v="1"/>
    <n v="4499"/>
    <s v="FIRST15"/>
    <n v="15"/>
    <s v="UPI"/>
    <x v="2"/>
    <s v="Kanpur"/>
    <s v="Uttar Pradesh"/>
    <s v="Delhi"/>
    <d v="2024-10-25T00:00:00"/>
    <x v="0"/>
    <x v="1"/>
    <s v="Wrong Item"/>
    <d v="2024-11-20T00:00:00"/>
    <s v="Processed"/>
    <s v="OK"/>
    <b v="0"/>
    <s v="Discount_Not_Applied"/>
    <n v="3824.15"/>
    <s v="Mismatch"/>
    <n v="1"/>
    <s v="OK"/>
    <n v="11"/>
    <s v="OK"/>
    <n v="26"/>
    <x v="0"/>
    <x v="2"/>
  </r>
  <r>
    <x v="59"/>
    <d v="2024-10-14T00:00:00"/>
    <s v="CUST_10058"/>
    <x v="0"/>
    <s v="ACC-BRC-OS"/>
    <s v="Accessories"/>
    <s v="Charm Bracelet"/>
    <n v="899"/>
    <n v="1"/>
    <n v="899"/>
    <m/>
    <n v="0"/>
    <s v="Credit Card"/>
    <x v="1"/>
    <s v="Mumbai"/>
    <s v="Maharashtra"/>
    <s v="Mumbai"/>
    <d v="2024-10-23T00:00:00"/>
    <x v="0"/>
    <x v="0"/>
    <m/>
    <m/>
    <s v="Not Applicable"/>
    <s v="OK"/>
    <b v="0"/>
    <s v="No_Discount"/>
    <n v="899"/>
    <s v="OK"/>
    <n v="1"/>
    <s v="OK"/>
    <n v="9"/>
    <s v="OK"/>
    <n v="0"/>
    <x v="0"/>
    <x v="2"/>
  </r>
  <r>
    <x v="60"/>
    <d v="2024-10-15T00:00:00"/>
    <s v="CUST_10059"/>
    <x v="0"/>
    <s v="BOT-CRP-S"/>
    <s v="Bottoms"/>
    <s v="Cropped Pants"/>
    <n v="1799"/>
    <n v="1"/>
    <n v="1799"/>
    <m/>
    <n v="0"/>
    <s v="COD"/>
    <x v="0"/>
    <s v="Delhi"/>
    <s v="Delhi"/>
    <s v="Delhi"/>
    <m/>
    <x v="2"/>
    <x v="0"/>
    <m/>
    <m/>
    <s v="Not Applicable"/>
    <s v="OK"/>
    <b v="0"/>
    <s v="No_Discount"/>
    <n v="1799"/>
    <s v="OK"/>
    <n v="1"/>
    <s v="OK"/>
    <n v="-45580"/>
    <s v="Invalid_delivery_time"/>
    <n v="0"/>
    <x v="0"/>
    <x v="2"/>
  </r>
  <r>
    <x v="61"/>
    <d v="2024-10-15T00:00:00"/>
    <s v="CUST_10060"/>
    <x v="0"/>
    <s v="DRS-SLP-M"/>
    <s v="Dresses"/>
    <s v="Slip Dress"/>
    <n v="2199"/>
    <n v="1"/>
    <n v="2199"/>
    <s v="DIWALI20"/>
    <n v="20"/>
    <s v="Debit Card"/>
    <x v="2"/>
    <s v="Kolkata"/>
    <s v="West Bengal"/>
    <s v="Delhi"/>
    <d v="2024-10-26T00:00:00"/>
    <x v="0"/>
    <x v="1"/>
    <s v="Size Issue"/>
    <d v="2024-11-22T00:00:00"/>
    <s v="Processed"/>
    <s v="OK"/>
    <b v="0"/>
    <s v="Discount_Not_Applied"/>
    <n v="1759.2"/>
    <s v="Mismatch"/>
    <n v="1"/>
    <s v="OK"/>
    <n v="11"/>
    <s v="OK"/>
    <n v="27"/>
    <x v="0"/>
    <x v="2"/>
  </r>
  <r>
    <x v="62"/>
    <d v="2024-10-15T00:00:00"/>
    <s v="CUST_10061"/>
    <x v="1"/>
    <s v="TOP-HLT-L"/>
    <s v="Tops"/>
    <s v="Halter Top"/>
    <n v="1399"/>
    <n v="1"/>
    <n v="1399"/>
    <m/>
    <n v="0"/>
    <s v="UPI"/>
    <x v="1"/>
    <s v="Chennai"/>
    <s v="Tamil Nadu"/>
    <s v="Bangalore"/>
    <d v="2024-10-24T00:00:00"/>
    <x v="0"/>
    <x v="0"/>
    <m/>
    <m/>
    <s v="Not Applicable"/>
    <s v="OK"/>
    <b v="0"/>
    <s v="No_Discount"/>
    <n v="1399"/>
    <s v="OK"/>
    <n v="1"/>
    <s v="OK"/>
    <n v="9"/>
    <s v="OK"/>
    <n v="0"/>
    <x v="0"/>
    <x v="2"/>
  </r>
  <r>
    <x v="63"/>
    <d v="2024-10-15T00:00:00"/>
    <s v="CUST_10062"/>
    <x v="0"/>
    <s v="OUT-FLC-M"/>
    <s v="Outerwear"/>
    <s v="Fleece Jacket"/>
    <n v="2999"/>
    <n v="1"/>
    <n v="2999"/>
    <m/>
    <n v="0"/>
    <s v="Credit Card"/>
    <x v="0"/>
    <s v="Hyderabad"/>
    <s v="Telangana"/>
    <s v="Bangalore"/>
    <d v="2024-10-27T00:00:00"/>
    <x v="0"/>
    <x v="1"/>
    <s v="Quality Defect"/>
    <d v="2024-11-24T00:00:00"/>
    <s v="Processed"/>
    <s v="OK"/>
    <b v="0"/>
    <s v="No_Discount"/>
    <n v="2999"/>
    <s v="OK"/>
    <n v="1"/>
    <s v="OK"/>
    <n v="12"/>
    <s v="OK"/>
    <n v="28"/>
    <x v="0"/>
    <x v="2"/>
  </r>
  <r>
    <x v="64"/>
    <d v="2024-10-16T00:00:00"/>
    <s v="CUST_10063"/>
    <x v="0"/>
    <s v="ACC-RNG-OS"/>
    <s v="Accessories"/>
    <s v="Cocktail Ring"/>
    <n v="699"/>
    <n v="2"/>
    <n v="1398"/>
    <s v="FLAT10"/>
    <n v="10"/>
    <s v="Wallet"/>
    <x v="2"/>
    <s v="Pune"/>
    <s v="Maharashtra"/>
    <s v="Mumbai"/>
    <d v="2024-10-25T00:00:00"/>
    <x v="0"/>
    <x v="0"/>
    <m/>
    <m/>
    <s v="Not Applicable"/>
    <s v="OK"/>
    <b v="0"/>
    <s v="Discount_Not_Applied"/>
    <n v="1258.2"/>
    <s v="Mismatch"/>
    <n v="1"/>
    <s v="OK"/>
    <n v="9"/>
    <s v="OK"/>
    <n v="0"/>
    <x v="0"/>
    <x v="2"/>
  </r>
  <r>
    <x v="65"/>
    <d v="2024-10-16T00:00:00"/>
    <s v="CUST_10064"/>
    <x v="0"/>
    <s v="BOT-SKN-M"/>
    <s v="Bottoms"/>
    <s v="Skinny Jeans"/>
    <n v="2199"/>
    <n v="1"/>
    <n v="2199"/>
    <m/>
    <n v="0"/>
    <s v="COD"/>
    <x v="1"/>
    <s v="Ahmedabad"/>
    <s v="Gujarat"/>
    <s v="Mumbai"/>
    <d v="2024-10-28T00:00:00"/>
    <x v="0"/>
    <x v="1"/>
    <s v="Size Issue"/>
    <d v="2024-11-25T00:00:00"/>
    <s v="Processed"/>
    <s v="OK"/>
    <b v="0"/>
    <s v="No_Discount"/>
    <n v="2199"/>
    <s v="OK"/>
    <n v="1"/>
    <s v="OK"/>
    <n v="12"/>
    <s v="OK"/>
    <n v="28"/>
    <x v="0"/>
    <x v="2"/>
  </r>
  <r>
    <x v="66"/>
    <d v="2024-10-16T00:00:00"/>
    <s v="CUST_10065"/>
    <x v="1"/>
    <s v="DRS-KNT-S"/>
    <s v="Dresses"/>
    <s v="Knit Dress"/>
    <n v="2499"/>
    <n v="1"/>
    <n v="2499"/>
    <m/>
    <n v="0"/>
    <s v="Credit Card"/>
    <x v="0"/>
    <s v="Jaipur"/>
    <s v="Rajasthan"/>
    <s v="Delhi"/>
    <d v="2024-10-26T00:00:00"/>
    <x v="0"/>
    <x v="0"/>
    <m/>
    <m/>
    <s v="Not Applicable"/>
    <s v="OK"/>
    <b v="0"/>
    <s v="No_Discount"/>
    <n v="2499"/>
    <s v="OK"/>
    <n v="1"/>
    <s v="OK"/>
    <n v="10"/>
    <s v="OK"/>
    <n v="0"/>
    <x v="0"/>
    <x v="2"/>
  </r>
  <r>
    <x v="67"/>
    <d v="2024-10-16T00:00:00"/>
    <s v="CUST_10066"/>
    <x v="0"/>
    <s v="TOP-EMB-M"/>
    <s v="Tops"/>
    <s v="Embroidered Top"/>
    <n v="1899"/>
    <n v="1"/>
    <n v="1899"/>
    <s v="DIWALI20"/>
    <n v="20"/>
    <s v="UPI"/>
    <x v="2"/>
    <s v="Lucknow"/>
    <s v="Uttar Pradesh"/>
    <s v="Delhi"/>
    <d v="2024-10-27T00:00:00"/>
    <x v="0"/>
    <x v="1"/>
    <s v="Changed Mind"/>
    <d v="2024-11-20T00:00:00"/>
    <s v="Processed"/>
    <s v="OK"/>
    <b v="0"/>
    <s v="Discount_Not_Applied"/>
    <n v="1519.2"/>
    <s v="Mismatch"/>
    <n v="1"/>
    <s v="OK"/>
    <n v="11"/>
    <s v="OK"/>
    <n v="24"/>
    <x v="0"/>
    <x v="2"/>
  </r>
  <r>
    <x v="68"/>
    <d v="2024-10-17T00:00:00"/>
    <s v="CUST_10067"/>
    <x v="0"/>
    <s v="OUT-SHR-L"/>
    <s v="Outerwear"/>
    <s v="Shrug"/>
    <n v="1299"/>
    <n v="1"/>
    <n v="1299"/>
    <m/>
    <n v="0"/>
    <s v="Debit Card"/>
    <x v="1"/>
    <s v="Bangalore"/>
    <s v="Karnataka"/>
    <s v="Bangalore"/>
    <d v="2024-10-28T00:00:00"/>
    <x v="0"/>
    <x v="0"/>
    <m/>
    <m/>
    <s v="Not Applicable"/>
    <s v="OK"/>
    <b v="0"/>
    <s v="No_Discount"/>
    <n v="1299"/>
    <s v="OK"/>
    <n v="1"/>
    <s v="OK"/>
    <n v="11"/>
    <s v="OK"/>
    <n v="0"/>
    <x v="0"/>
    <x v="2"/>
  </r>
  <r>
    <x v="69"/>
    <d v="2024-10-17T00:00:00"/>
    <s v="CUST_10068"/>
    <x v="0"/>
    <s v="ACC-CLT-OS"/>
    <s v="Accessories"/>
    <s v="Clutch Bag"/>
    <n v="1599"/>
    <n v="1"/>
    <n v="1599"/>
    <m/>
    <n v="0"/>
    <s v="Credit Card"/>
    <x v="0"/>
    <s v="Mumbai"/>
    <s v="Maharashtra"/>
    <s v="Mumbai"/>
    <d v="2024-10-27T00:00:00"/>
    <x v="0"/>
    <x v="1"/>
    <s v="Damaged in Transit"/>
    <d v="2024-11-22T00:00:00"/>
    <s v="Processed"/>
    <s v="OK"/>
    <b v="0"/>
    <s v="No_Discount"/>
    <n v="1599"/>
    <s v="OK"/>
    <n v="1"/>
    <s v="OK"/>
    <n v="10"/>
    <s v="OK"/>
    <n v="26"/>
    <x v="0"/>
    <x v="2"/>
  </r>
  <r>
    <x v="70"/>
    <d v="2024-10-17T00:00:00"/>
    <s v="CUST_10069"/>
    <x v="1"/>
    <s v="BOT-FLR-S"/>
    <s v="Bottoms"/>
    <s v="Flared Jeans"/>
    <n v="2099"/>
    <n v="1"/>
    <n v="2099"/>
    <s v="FIRST15"/>
    <n v="15"/>
    <s v="UPI"/>
    <x v="2"/>
    <s v="Delhi"/>
    <s v="Delhi"/>
    <s v="Delhi"/>
    <d v="2024-10-29T00:00:00"/>
    <x v="0"/>
    <x v="0"/>
    <m/>
    <m/>
    <s v="Not Applicable"/>
    <s v="OK"/>
    <b v="0"/>
    <s v="Discount_Not_Applied"/>
    <n v="1784.1499999999999"/>
    <s v="Mismatch"/>
    <n v="1"/>
    <s v="OK"/>
    <n v="12"/>
    <s v="OK"/>
    <n v="0"/>
    <x v="0"/>
    <x v="2"/>
  </r>
  <r>
    <x v="71"/>
    <d v="2024-10-17T00:00:00"/>
    <s v="CUST_10070"/>
    <x v="0"/>
    <s v="DRS-PIN-M"/>
    <s v="Dresses"/>
    <s v="Pinafore Dress"/>
    <n v="2299"/>
    <n v="1"/>
    <n v="2299"/>
    <m/>
    <n v="0"/>
    <s v="COD"/>
    <x v="1"/>
    <s v="Chandigarh"/>
    <s v="Punjab"/>
    <s v="Delhi"/>
    <m/>
    <x v="2"/>
    <x v="0"/>
    <m/>
    <m/>
    <s v="Not Applicable"/>
    <s v="OK"/>
    <b v="0"/>
    <s v="No_Discount"/>
    <n v="2299"/>
    <s v="OK"/>
    <n v="1"/>
    <s v="OK"/>
    <n v="-45582"/>
    <s v="Invalid_delivery_time"/>
    <n v="0"/>
    <x v="0"/>
    <x v="2"/>
  </r>
  <r>
    <x v="72"/>
    <d v="2024-10-18T00:00:00"/>
    <s v="CUST_10071"/>
    <x v="0"/>
    <s v="TOP-CRW-L"/>
    <s v="Tops"/>
    <s v="Crew Neck Tee"/>
    <n v="1199"/>
    <n v="2"/>
    <n v="2398"/>
    <m/>
    <n v="0"/>
    <s v="Wallet"/>
    <x v="0"/>
    <s v="Noida"/>
    <s v="Uttar Pradesh"/>
    <s v="Delhi"/>
    <d v="2024-10-28T00:00:00"/>
    <x v="0"/>
    <x v="0"/>
    <m/>
    <m/>
    <s v="Not Applicable"/>
    <s v="OK"/>
    <b v="0"/>
    <s v="No_Discount"/>
    <n v="2398"/>
    <s v="OK"/>
    <n v="1"/>
    <s v="OK"/>
    <n v="10"/>
    <s v="OK"/>
    <n v="0"/>
    <x v="0"/>
    <x v="2"/>
  </r>
  <r>
    <x v="73"/>
    <d v="2024-10-18T00:00:00"/>
    <s v="CUST_10072"/>
    <x v="0"/>
    <s v="OUT-CDG-M"/>
    <s v="Outerwear"/>
    <s v="Cardigan"/>
    <n v="2599"/>
    <n v="1"/>
    <n v="2599"/>
    <s v="DIWALI20"/>
    <n v="20"/>
    <s v="Credit Card"/>
    <x v="2"/>
    <s v="Gurgaon"/>
    <s v="Haryana"/>
    <s v="Delhi"/>
    <d v="2024-10-30T00:00:00"/>
    <x v="0"/>
    <x v="1"/>
    <s v="Size Issue"/>
    <d v="2024-11-26T00:00:00"/>
    <s v="Processed"/>
    <s v="OK"/>
    <b v="0"/>
    <s v="Discount_Not_Applied"/>
    <n v="2079.2000000000003"/>
    <s v="Mismatch"/>
    <n v="1"/>
    <s v="OK"/>
    <n v="12"/>
    <s v="OK"/>
    <n v="27"/>
    <x v="0"/>
    <x v="2"/>
  </r>
  <r>
    <x v="74"/>
    <d v="2024-10-18T00:00:00"/>
    <s v="CUST_10073"/>
    <x v="1"/>
    <s v="ACC-SCR-OS"/>
    <s v="Accessories"/>
    <s v="Hair Scrunchie"/>
    <n v="299"/>
    <n v="5"/>
    <n v="1495"/>
    <m/>
    <n v="0"/>
    <s v="UPI"/>
    <x v="1"/>
    <s v="Indore"/>
    <s v="Madhya Pradesh"/>
    <s v="Mumbai"/>
    <d v="2024-10-27T00:00:00"/>
    <x v="0"/>
    <x v="0"/>
    <m/>
    <m/>
    <s v="Not Applicable"/>
    <s v="OK"/>
    <b v="0"/>
    <s v="No_Discount"/>
    <n v="1495"/>
    <s v="OK"/>
    <n v="1"/>
    <s v="OK"/>
    <n v="9"/>
    <s v="OK"/>
    <n v="0"/>
    <x v="0"/>
    <x v="2"/>
  </r>
  <r>
    <x v="75"/>
    <d v="2024-10-18T00:00:00"/>
    <s v="CUST_10074"/>
    <x v="0"/>
    <s v="BOT-PPR-M"/>
    <s v="Bottoms"/>
    <s v="Paper Bag Pants"/>
    <n v="1899"/>
    <n v="1"/>
    <n v="1899"/>
    <m/>
    <n v="0"/>
    <s v="Debit Card"/>
    <x v="0"/>
    <s v="Surat"/>
    <s v="Gujarat"/>
    <s v="Mumbai"/>
    <d v="2024-10-30T00:00:00"/>
    <x v="0"/>
    <x v="1"/>
    <s v="Wrong Item"/>
    <d v="2024-11-28T00:00:00"/>
    <s v="Processed"/>
    <s v="OK"/>
    <b v="0"/>
    <s v="No_Discount"/>
    <n v="1899"/>
    <s v="OK"/>
    <n v="1"/>
    <s v="OK"/>
    <n v="12"/>
    <s v="OK"/>
    <n v="29"/>
    <x v="0"/>
    <x v="2"/>
  </r>
  <r>
    <x v="76"/>
    <d v="2024-10-19T00:00:00"/>
    <s v="CUST_10075"/>
    <x v="0"/>
    <s v="DRS-SMK-S"/>
    <s v="Dresses"/>
    <s v="Smocked Dress"/>
    <n v="2199"/>
    <n v="1"/>
    <n v="2199"/>
    <m/>
    <n v="0"/>
    <s v="Credit Card"/>
    <x v="2"/>
    <s v="Patna"/>
    <s v="Bihar"/>
    <s v="Delhi"/>
    <d v="2024-10-31T00:00:00"/>
    <x v="0"/>
    <x v="0"/>
    <m/>
    <m/>
    <s v="Not Applicable"/>
    <s v="OK"/>
    <b v="0"/>
    <s v="No_Discount"/>
    <n v="2199"/>
    <s v="OK"/>
    <n v="1"/>
    <s v="OK"/>
    <n v="12"/>
    <s v="OK"/>
    <n v="0"/>
    <x v="0"/>
    <x v="2"/>
  </r>
  <r>
    <x v="77"/>
    <d v="2024-10-19T00:00:00"/>
    <s v="CUST_10076"/>
    <x v="0"/>
    <s v="TOP-BTN-M"/>
    <s v="Tops"/>
    <s v="Button-Down Shirt"/>
    <n v="1799"/>
    <n v="1"/>
    <n v="1799"/>
    <s v="FLAT10"/>
    <n v="10"/>
    <s v="COD"/>
    <x v="1"/>
    <s v="Bhopal"/>
    <s v="Madhya Pradesh"/>
    <s v="Mumbai"/>
    <d v="2024-10-29T00:00:00"/>
    <x v="0"/>
    <x v="1"/>
    <s v="Quality Defect"/>
    <d v="2024-11-25T00:00:00"/>
    <s v="Processed"/>
    <s v="OK"/>
    <b v="0"/>
    <s v="Discount_Not_Applied"/>
    <n v="1619.1000000000001"/>
    <s v="Mismatch"/>
    <n v="1"/>
    <s v="OK"/>
    <n v="10"/>
    <s v="OK"/>
    <n v="27"/>
    <x v="0"/>
    <x v="2"/>
  </r>
  <r>
    <x v="78"/>
    <d v="2024-10-19T00:00:00"/>
    <s v="CUST_10077"/>
    <x v="1"/>
    <s v="OUT-VLV-L"/>
    <s v="Outerwear"/>
    <s v="Velvet Blazer"/>
    <n v="4999"/>
    <n v="1"/>
    <n v="4999"/>
    <m/>
    <n v="0"/>
    <s v="UPI"/>
    <x v="0"/>
    <s v="Nagpur"/>
    <s v="Maharashtra"/>
    <s v="Mumbai"/>
    <d v="2024-11-01T00:00:00"/>
    <x v="0"/>
    <x v="0"/>
    <m/>
    <m/>
    <s v="Not Applicable"/>
    <s v="OK"/>
    <b v="0"/>
    <s v="No_Discount"/>
    <n v="4999"/>
    <s v="OK"/>
    <n v="1"/>
    <s v="OK"/>
    <n v="13"/>
    <s v="OK"/>
    <n v="0"/>
    <x v="0"/>
    <x v="2"/>
  </r>
  <r>
    <x v="79"/>
    <d v="2024-10-19T00:00:00"/>
    <s v="CUST_10078"/>
    <x v="0"/>
    <s v="ACC-TOT-OS"/>
    <s v="Accessories"/>
    <s v="Canvas Tote"/>
    <n v="999"/>
    <n v="1"/>
    <n v="999"/>
    <m/>
    <n v="0"/>
    <s v="Wallet"/>
    <x v="2"/>
    <s v="Coimbatore"/>
    <s v="Tamil Nadu"/>
    <s v="Bangalore"/>
    <d v="2024-10-30T00:00:00"/>
    <x v="0"/>
    <x v="1"/>
    <s v="Size Issue"/>
    <d v="2024-11-28T00:00:00"/>
    <s v="Processed"/>
    <s v="OK"/>
    <b v="0"/>
    <s v="No_Discount"/>
    <n v="999"/>
    <s v="OK"/>
    <n v="1"/>
    <s v="OK"/>
    <n v="11"/>
    <s v="OK"/>
    <n v="29"/>
    <x v="0"/>
    <x v="2"/>
  </r>
  <r>
    <x v="80"/>
    <d v="2024-10-20T00:00:00"/>
    <s v="CUST_10079"/>
    <x v="0"/>
    <s v="BOT-CRG-S"/>
    <s v="Bottoms"/>
    <s v="Cargo Shorts"/>
    <n v="1499"/>
    <n v="1"/>
    <n v="1499"/>
    <s v="DIWALI20"/>
    <n v="20"/>
    <s v="Credit Card"/>
    <x v="1"/>
    <s v="Kochi"/>
    <s v="Kerala"/>
    <s v="Bangalore"/>
    <d v="2024-10-31T00:00:00"/>
    <x v="0"/>
    <x v="0"/>
    <m/>
    <m/>
    <s v="Not Applicable"/>
    <s v="OK"/>
    <b v="0"/>
    <s v="Discount_Not_Applied"/>
    <n v="1199.2"/>
    <s v="Mismatch"/>
    <n v="1"/>
    <s v="OK"/>
    <n v="11"/>
    <s v="OK"/>
    <n v="0"/>
    <x v="0"/>
    <x v="3"/>
  </r>
  <r>
    <x v="81"/>
    <d v="2024-10-20T00:00:00"/>
    <s v="CUST_10080"/>
    <x v="0"/>
    <s v="DRS-BTR-M"/>
    <s v="Dresses"/>
    <s v="Butterfly Dress"/>
    <n v="2899"/>
    <n v="1"/>
    <n v="2899"/>
    <m/>
    <n v="0"/>
    <s v="Debit Card"/>
    <x v="0"/>
    <s v="Vizag"/>
    <s v="Andhra Pradesh"/>
    <s v="Bangalore"/>
    <d v="2024-11-02T00:00:00"/>
    <x v="0"/>
    <x v="1"/>
    <s v="Changed Mind"/>
    <d v="2024-11-30T00:00:00"/>
    <s v="Processed"/>
    <s v="OK"/>
    <b v="0"/>
    <s v="No_Discount"/>
    <n v="2899"/>
    <s v="OK"/>
    <n v="1"/>
    <s v="OK"/>
    <n v="13"/>
    <s v="OK"/>
    <n v="28"/>
    <x v="0"/>
    <x v="3"/>
  </r>
  <r>
    <x v="82"/>
    <d v="2024-10-20T00:00:00"/>
    <s v="CUST_10081"/>
    <x v="1"/>
    <s v="TOP-VNK-L"/>
    <s v="Tops"/>
    <s v="V-Neck Tee"/>
    <n v="1099"/>
    <n v="2"/>
    <n v="2198"/>
    <m/>
    <n v="0"/>
    <s v="UPI"/>
    <x v="2"/>
    <s v="Thiruvananthapuram"/>
    <s v="Kerala"/>
    <s v="Bangalore"/>
    <d v="2024-10-30T00:00:00"/>
    <x v="0"/>
    <x v="0"/>
    <m/>
    <m/>
    <s v="Not Applicable"/>
    <s v="OK"/>
    <b v="0"/>
    <s v="No_Discount"/>
    <n v="2198"/>
    <s v="OK"/>
    <n v="1"/>
    <s v="OK"/>
    <n v="10"/>
    <s v="OK"/>
    <n v="0"/>
    <x v="0"/>
    <x v="3"/>
  </r>
  <r>
    <x v="83"/>
    <d v="2024-10-20T00:00:00"/>
    <s v="CUST_10082"/>
    <x v="0"/>
    <s v="OUT-TRN-M"/>
    <s v="Outerwear"/>
    <s v="Trench Coat"/>
    <n v="5499"/>
    <n v="1"/>
    <n v="5499"/>
    <s v="FIRST15"/>
    <n v="15"/>
    <s v="Credit Card"/>
    <x v="1"/>
    <s v="Mysore"/>
    <s v="Karnataka"/>
    <s v="Bangalore"/>
    <d v="2024-11-03T00:00:00"/>
    <x v="0"/>
    <x v="1"/>
    <s v="Size Issue"/>
    <d v="2024-12-01T00:00:00"/>
    <s v="Processed"/>
    <s v="OK"/>
    <b v="0"/>
    <s v="Discount_Not_Applied"/>
    <n v="4674.1499999999996"/>
    <s v="Mismatch"/>
    <n v="1"/>
    <s v="OK"/>
    <n v="14"/>
    <s v="OK"/>
    <n v="28"/>
    <x v="0"/>
    <x v="3"/>
  </r>
  <r>
    <x v="84"/>
    <d v="2024-10-21T00:00:00"/>
    <s v="CUST_10083"/>
    <x v="0"/>
    <s v="ACC-BDY-OS"/>
    <s v="Accessories"/>
    <s v="Body Chain"/>
    <n v="799"/>
    <n v="1"/>
    <n v="799"/>
    <m/>
    <n v="0"/>
    <s v="COD"/>
    <x v="0"/>
    <s v="Vadodara"/>
    <s v="Gujarat"/>
    <s v="Mumbai"/>
    <m/>
    <x v="2"/>
    <x v="0"/>
    <m/>
    <m/>
    <s v="Not Applicable"/>
    <s v="OK"/>
    <b v="0"/>
    <s v="No_Discount"/>
    <n v="799"/>
    <s v="OK"/>
    <n v="1"/>
    <s v="OK"/>
    <n v="-45586"/>
    <s v="Invalid_delivery_time"/>
    <n v="0"/>
    <x v="0"/>
    <x v="3"/>
  </r>
  <r>
    <x v="85"/>
    <d v="2024-10-21T00:00:00"/>
    <s v="CUST_10084"/>
    <x v="0"/>
    <s v="BOT-JGR-L"/>
    <s v="Bottoms"/>
    <s v="Jogger Pants"/>
    <n v="1599"/>
    <n v="1"/>
    <n v="1599"/>
    <m/>
    <n v="0"/>
    <s v="Wallet"/>
    <x v="2"/>
    <s v="Rajkot"/>
    <s v="Gujarat"/>
    <s v="Mumbai"/>
    <d v="2024-11-02T00:00:00"/>
    <x v="0"/>
    <x v="0"/>
    <m/>
    <m/>
    <s v="Not Applicable"/>
    <s v="OK"/>
    <b v="0"/>
    <s v="No_Discount"/>
    <n v="1599"/>
    <s v="OK"/>
    <n v="1"/>
    <s v="OK"/>
    <n v="12"/>
    <s v="OK"/>
    <n v="0"/>
    <x v="0"/>
    <x v="3"/>
  </r>
  <r>
    <x v="86"/>
    <d v="2024-10-21T00:00:00"/>
    <s v="CUST_10085"/>
    <x v="1"/>
    <s v="DRS-RFL-S"/>
    <s v="Dresses"/>
    <s v="Ruffle Dress"/>
    <n v="2699"/>
    <n v="1"/>
    <n v="2699"/>
    <s v="DIWALI20"/>
    <n v="20"/>
    <s v="Credit Card"/>
    <x v="1"/>
    <s v="Kanpur"/>
    <s v="Uttar Pradesh"/>
    <s v="Delhi"/>
    <d v="2024-11-01T00:00:00"/>
    <x v="0"/>
    <x v="1"/>
    <s v="Quality Defect"/>
    <d v="2024-11-30T00:00:00"/>
    <s v="Processed"/>
    <s v="OK"/>
    <b v="0"/>
    <s v="Discount_Not_Applied"/>
    <n v="2159.2000000000003"/>
    <s v="Mismatch"/>
    <n v="1"/>
    <s v="OK"/>
    <n v="11"/>
    <s v="OK"/>
    <n v="29"/>
    <x v="0"/>
    <x v="3"/>
  </r>
  <r>
    <x v="87"/>
    <d v="2024-10-21T00:00:00"/>
    <s v="CUST_10086"/>
    <x v="0"/>
    <s v="TOP-SQR-M"/>
    <s v="Tops"/>
    <s v="Square Neck Top"/>
    <n v="1499"/>
    <n v="1"/>
    <n v="1499"/>
    <m/>
    <n v="0"/>
    <s v="UPI"/>
    <x v="0"/>
    <s v="Mumbai"/>
    <s v="Maharashtra"/>
    <s v="Mumbai"/>
    <d v="2024-11-02T00:00:00"/>
    <x v="0"/>
    <x v="0"/>
    <m/>
    <m/>
    <s v="Not Applicable"/>
    <s v="OK"/>
    <b v="0"/>
    <s v="No_Discount"/>
    <n v="1499"/>
    <s v="OK"/>
    <n v="1"/>
    <s v="OK"/>
    <n v="12"/>
    <s v="OK"/>
    <n v="0"/>
    <x v="0"/>
    <x v="3"/>
  </r>
  <r>
    <x v="88"/>
    <d v="2024-10-22T00:00:00"/>
    <s v="CUST_10087"/>
    <x v="0"/>
    <s v="OUT-WND-L"/>
    <s v="Outerwear"/>
    <s v="Windbreaker"/>
    <n v="3299"/>
    <n v="1"/>
    <n v="3299"/>
    <m/>
    <n v="0"/>
    <s v="Debit Card"/>
    <x v="2"/>
    <s v="Delhi"/>
    <s v="Delhi"/>
    <s v="Delhi"/>
    <d v="2024-11-04T00:00:00"/>
    <x v="0"/>
    <x v="1"/>
    <s v="Wrong Item"/>
    <d v="2024-12-03T00:00:00"/>
    <s v="Processed"/>
    <s v="OK"/>
    <b v="0"/>
    <s v="No_Discount"/>
    <n v="3299"/>
    <s v="OK"/>
    <n v="1"/>
    <s v="OK"/>
    <n v="13"/>
    <s v="OK"/>
    <n v="29"/>
    <x v="0"/>
    <x v="3"/>
  </r>
  <r>
    <x v="89"/>
    <d v="2024-10-22T00:00:00"/>
    <s v="CUST_10088"/>
    <x v="0"/>
    <s v="ACC-ANK-OS"/>
    <s v="Accessories"/>
    <s v="Anklet"/>
    <n v="499"/>
    <n v="2"/>
    <n v="998"/>
    <s v="FLAT10"/>
    <n v="10"/>
    <s v="Credit Card"/>
    <x v="1"/>
    <s v="Kolkata"/>
    <s v="West Bengal"/>
    <s v="Delhi"/>
    <d v="2024-11-01T00:00:00"/>
    <x v="0"/>
    <x v="0"/>
    <m/>
    <m/>
    <s v="Not Applicable"/>
    <s v="OK"/>
    <b v="0"/>
    <s v="Discount_Not_Applied"/>
    <n v="898.2"/>
    <s v="Mismatch"/>
    <n v="1"/>
    <s v="OK"/>
    <n v="10"/>
    <s v="OK"/>
    <n v="0"/>
    <x v="0"/>
    <x v="3"/>
  </r>
  <r>
    <x v="90"/>
    <d v="2024-10-22T00:00:00"/>
    <s v="CUST_10089"/>
    <x v="1"/>
    <s v="BOT-TRS-M"/>
    <s v="Bottoms"/>
    <s v="Tailored Trousers"/>
    <n v="2399"/>
    <n v="1"/>
    <n v="2399"/>
    <m/>
    <n v="0"/>
    <s v="UPI"/>
    <x v="0"/>
    <s v="Chennai"/>
    <s v="Tamil Nadu"/>
    <s v="Bangalore"/>
    <d v="2024-11-03T00:00:00"/>
    <x v="0"/>
    <x v="0"/>
    <m/>
    <m/>
    <s v="Not Applicable"/>
    <s v="OK"/>
    <b v="0"/>
    <s v="No_Discount"/>
    <n v="2399"/>
    <s v="OK"/>
    <n v="1"/>
    <s v="OK"/>
    <n v="12"/>
    <s v="OK"/>
    <n v="0"/>
    <x v="0"/>
    <x v="3"/>
  </r>
  <r>
    <x v="91"/>
    <d v="2024-10-22T00:00:00"/>
    <s v="CUST_10090"/>
    <x v="0"/>
    <s v="DRS-LST-M"/>
    <s v="Dresses"/>
    <s v="Lace Trim Dress"/>
    <n v="2599"/>
    <n v="1"/>
    <n v="2599"/>
    <m/>
    <n v="0"/>
    <s v="COD"/>
    <x v="2"/>
    <s v="Hyderabad"/>
    <s v="Telangana"/>
    <s v="Bangalore"/>
    <m/>
    <x v="2"/>
    <x v="0"/>
    <m/>
    <m/>
    <s v="Not Applicable"/>
    <s v="OK"/>
    <b v="0"/>
    <s v="No_Discount"/>
    <n v="2599"/>
    <s v="OK"/>
    <n v="1"/>
    <s v="OK"/>
    <n v="-45587"/>
    <s v="Invalid_delivery_time"/>
    <n v="0"/>
    <x v="0"/>
    <x v="3"/>
  </r>
  <r>
    <x v="92"/>
    <d v="2024-10-23T00:00:00"/>
    <s v="CUST_10091"/>
    <x v="0"/>
    <s v="TOP-TIE-S"/>
    <s v="Tops"/>
    <s v="Tie-Front Top"/>
    <n v="1399"/>
    <n v="1"/>
    <n v="1399"/>
    <s v="DIWALI20"/>
    <n v="20"/>
    <s v="Wallet"/>
    <x v="1"/>
    <s v="Pune"/>
    <s v="Maharashtra"/>
    <s v="Mumbai"/>
    <d v="2024-11-03T00:00:00"/>
    <x v="0"/>
    <x v="1"/>
    <s v="Size Issue"/>
    <d v="2024-12-02T00:00:00"/>
    <s v="Processed"/>
    <s v="OK"/>
    <b v="0"/>
    <s v="Discount_Not_Applied"/>
    <n v="1119.2"/>
    <s v="Mismatch"/>
    <n v="1"/>
    <s v="OK"/>
    <n v="11"/>
    <s v="OK"/>
    <n v="29"/>
    <x v="0"/>
    <x v="3"/>
  </r>
  <r>
    <x v="93"/>
    <d v="2024-10-23T00:00:00"/>
    <s v="CUST_10092"/>
    <x v="0"/>
    <s v="OUT-PUF-M"/>
    <s v="Outerwear"/>
    <s v="Puffer Jacket"/>
    <n v="4299"/>
    <n v="1"/>
    <n v="4299"/>
    <m/>
    <n v="0"/>
    <s v="Credit Card"/>
    <x v="0"/>
    <s v="Ahmedabad"/>
    <s v="Gujarat"/>
    <s v="Mumbai"/>
    <d v="2024-11-05T00:00:00"/>
    <x v="0"/>
    <x v="0"/>
    <m/>
    <m/>
    <s v="Not Applicable"/>
    <s v="OK"/>
    <b v="0"/>
    <s v="No_Discount"/>
    <n v="4299"/>
    <s v="OK"/>
    <n v="1"/>
    <s v="OK"/>
    <n v="13"/>
    <s v="OK"/>
    <n v="0"/>
    <x v="0"/>
    <x v="3"/>
  </r>
  <r>
    <x v="94"/>
    <d v="2024-10-23T00:00:00"/>
    <s v="CUST_10093"/>
    <x v="1"/>
    <s v="ACC-HDR-OS"/>
    <s v="Accessories"/>
    <s v="Hairband"/>
    <n v="399"/>
    <n v="3"/>
    <n v="1197"/>
    <m/>
    <n v="0"/>
    <s v="UPI"/>
    <x v="2"/>
    <s v="Jaipur"/>
    <s v="Rajasthan"/>
    <s v="Delhi"/>
    <d v="2024-11-02T00:00:00"/>
    <x v="0"/>
    <x v="0"/>
    <m/>
    <m/>
    <s v="Not Applicable"/>
    <s v="OK"/>
    <b v="0"/>
    <s v="No_Discount"/>
    <n v="1197"/>
    <s v="OK"/>
    <n v="1"/>
    <s v="OK"/>
    <n v="10"/>
    <s v="OK"/>
    <n v="0"/>
    <x v="0"/>
    <x v="3"/>
  </r>
  <r>
    <x v="95"/>
    <d v="2024-10-23T00:00:00"/>
    <s v="CUST_10094"/>
    <x v="0"/>
    <s v="BOT-PLT-L"/>
    <s v="Bottoms"/>
    <s v="Pleated Trousers"/>
    <n v="2199"/>
    <n v="1"/>
    <n v="2199"/>
    <s v="FIRST15"/>
    <n v="15"/>
    <s v="Debit Card"/>
    <x v="1"/>
    <s v="Lucknow"/>
    <s v="Uttar Pradesh"/>
    <s v="Delhi"/>
    <d v="2024-11-05T00:00:00"/>
    <x v="0"/>
    <x v="1"/>
    <s v="Damaged in Transit"/>
    <d v="2024-12-05T00:00:00"/>
    <s v="Processed"/>
    <s v="OK"/>
    <b v="0"/>
    <s v="Discount_Not_Applied"/>
    <n v="1869.1499999999999"/>
    <s v="Mismatch"/>
    <n v="1"/>
    <s v="OK"/>
    <n v="13"/>
    <s v="OK"/>
    <n v="30"/>
    <x v="0"/>
    <x v="3"/>
  </r>
  <r>
    <x v="96"/>
    <d v="2024-10-24T00:00:00"/>
    <s v="CUST_10095"/>
    <x v="0"/>
    <s v="DRS-SHR-S"/>
    <s v="Dresses"/>
    <s v="Shirtdress"/>
    <n v="2399"/>
    <n v="1"/>
    <n v="2399"/>
    <m/>
    <n v="0"/>
    <s v="Credit Card"/>
    <x v="0"/>
    <s v="Bangalore"/>
    <s v="Karnataka"/>
    <s v="Bangalore"/>
    <d v="2024-11-04T00:00:00"/>
    <x v="0"/>
    <x v="0"/>
    <m/>
    <m/>
    <s v="Not Applicable"/>
    <s v="OK"/>
    <b v="0"/>
    <s v="No_Discount"/>
    <n v="2399"/>
    <s v="OK"/>
    <n v="1"/>
    <s v="OK"/>
    <n v="11"/>
    <s v="OK"/>
    <n v="0"/>
    <x v="0"/>
    <x v="3"/>
  </r>
  <r>
    <x v="97"/>
    <d v="2024-10-24T00:00:00"/>
    <s v="CUST_10096"/>
    <x v="0"/>
    <s v="TOP-GRF-M"/>
    <s v="Tops"/>
    <s v="Graphic Tee"/>
    <n v="1299"/>
    <n v="1"/>
    <n v="1299"/>
    <m/>
    <n v="0"/>
    <s v="COD"/>
    <x v="2"/>
    <s v="Mumbai"/>
    <s v="Maharashtra"/>
    <s v="Mumbai"/>
    <d v="2024-11-06T00:00:00"/>
    <x v="0"/>
    <x v="1"/>
    <s v="Changed Mind"/>
    <d v="2024-12-05T00:00:00"/>
    <s v="Processed"/>
    <s v="OK"/>
    <b v="0"/>
    <s v="No_Discount"/>
    <n v="1299"/>
    <s v="OK"/>
    <n v="1"/>
    <s v="OK"/>
    <n v="13"/>
    <s v="OK"/>
    <n v="29"/>
    <x v="0"/>
    <x v="3"/>
  </r>
  <r>
    <x v="98"/>
    <d v="2024-10-24T00:00:00"/>
    <s v="CUST_10097"/>
    <x v="1"/>
    <s v="OUT-SHW-L"/>
    <s v="Outerwear"/>
    <s v="Shawl Wrap"/>
    <n v="2799"/>
    <n v="1"/>
    <n v="2799"/>
    <s v="DIWALI20"/>
    <n v="20"/>
    <s v="UPI"/>
    <x v="1"/>
    <s v="Delhi"/>
    <s v="Delhi"/>
    <s v="Delhi"/>
    <d v="2024-11-05T00:00:00"/>
    <x v="0"/>
    <x v="0"/>
    <m/>
    <m/>
    <s v="Not Applicable"/>
    <s v="OK"/>
    <b v="0"/>
    <s v="Discount_Not_Applied"/>
    <n v="2239.2000000000003"/>
    <s v="Mismatch"/>
    <n v="1"/>
    <s v="OK"/>
    <n v="12"/>
    <s v="OK"/>
    <n v="0"/>
    <x v="0"/>
    <x v="3"/>
  </r>
  <r>
    <x v="99"/>
    <d v="2024-10-24T00:00:00"/>
    <s v="CUST_10098"/>
    <x v="0"/>
    <s v="ACC-BLT-S"/>
    <s v="Accessories"/>
    <s v="Braided Belt"/>
    <n v="699"/>
    <n v="1"/>
    <n v="699"/>
    <m/>
    <n v="0"/>
    <s v="Wallet"/>
    <x v="0"/>
    <s v="Chandigarh"/>
    <s v="Punjab"/>
    <s v="Delhi"/>
    <d v="2024-11-04T00:00:00"/>
    <x v="0"/>
    <x v="0"/>
    <m/>
    <m/>
    <s v="Not Applicable"/>
    <s v="OK"/>
    <b v="0"/>
    <s v="No_Discount"/>
    <n v="699"/>
    <s v="OK"/>
    <n v="1"/>
    <s v="OK"/>
    <n v="11"/>
    <s v="OK"/>
    <n v="0"/>
    <x v="0"/>
    <x v="3"/>
  </r>
  <r>
    <x v="100"/>
    <d v="2024-10-25T00:00:00"/>
    <s v="CUST_10099"/>
    <x v="0"/>
    <s v="BOT-CUT-M"/>
    <s v="Bottoms"/>
    <s v="Culottes"/>
    <n v="1699"/>
    <n v="1"/>
    <n v="1699"/>
    <m/>
    <n v="0"/>
    <s v="Debit Card"/>
    <x v="2"/>
    <s v="Noida"/>
    <s v="Uttar Pradesh"/>
    <s v="Delhi"/>
    <d v="2024-11-07T00:00:00"/>
    <x v="0"/>
    <x v="1"/>
    <s v="Size Issue"/>
    <d v="2024-12-06T00:00:00"/>
    <s v="Processed"/>
    <s v="OK"/>
    <b v="0"/>
    <s v="No_Discount"/>
    <n v="1699"/>
    <s v="OK"/>
    <n v="1"/>
    <s v="OK"/>
    <n v="13"/>
    <s v="OK"/>
    <n v="29"/>
    <x v="0"/>
    <x v="3"/>
  </r>
  <r>
    <x v="101"/>
    <d v="2024-10-25T00:00:00"/>
    <s v="CUST_10100"/>
    <x v="0"/>
    <s v="DRS-MXI-L"/>
    <s v="Dresses"/>
    <s v="Maxi Dress"/>
    <n v="2799"/>
    <n v="1"/>
    <n v="2799"/>
    <s v="FLAT10"/>
    <n v="10"/>
    <s v="Credit Card"/>
    <x v="1"/>
    <s v="Gurgaon"/>
    <s v="Haryana"/>
    <s v="Delhi"/>
    <d v="2024-11-06T00:00:00"/>
    <x v="0"/>
    <x v="0"/>
    <m/>
    <m/>
    <s v="Not Applicable"/>
    <s v="OK"/>
    <b v="0"/>
    <s v="Discount_Not_Applied"/>
    <n v="2519.1"/>
    <s v="Mismatch"/>
    <n v="1"/>
    <s v="OK"/>
    <n v="12"/>
    <s v="OK"/>
    <n v="0"/>
    <x v="0"/>
    <x v="3"/>
  </r>
  <r>
    <x v="102"/>
    <d v="2024-10-25T00:00:00"/>
    <s v="CUST_10101"/>
    <x v="1"/>
    <s v="TOP-SLV-S"/>
    <s v="Tops"/>
    <s v="Sleeveless Top"/>
    <n v="1199"/>
    <n v="2"/>
    <n v="2398"/>
    <m/>
    <n v="0"/>
    <s v="UPI"/>
    <x v="0"/>
    <s v="Indore"/>
    <s v="Madhya Pradesh"/>
    <s v="Mumbai"/>
    <d v="2024-11-05T00:00:00"/>
    <x v="0"/>
    <x v="1"/>
    <s v="Quality Defect"/>
    <d v="2024-12-04T00:00:00"/>
    <s v="Processed"/>
    <s v="OK"/>
    <b v="0"/>
    <s v="No_Discount"/>
    <n v="2398"/>
    <s v="OK"/>
    <n v="1"/>
    <s v="OK"/>
    <n v="11"/>
    <s v="OK"/>
    <n v="29"/>
    <x v="0"/>
    <x v="3"/>
  </r>
  <r>
    <x v="103"/>
    <d v="2024-10-25T00:00:00"/>
    <s v="CUST_10102"/>
    <x v="0"/>
    <s v="OUT-CPE-M"/>
    <s v="Outerwear"/>
    <s v="Cape Coat"/>
    <n v="5999"/>
    <n v="1"/>
    <n v="5999"/>
    <m/>
    <n v="0"/>
    <s v="Credit Card"/>
    <x v="2"/>
    <s v="Surat"/>
    <s v="Gujarat"/>
    <s v="Mumbai"/>
    <d v="2024-11-08T00:00:00"/>
    <x v="0"/>
    <x v="0"/>
    <m/>
    <m/>
    <s v="Not Applicable"/>
    <s v="OK"/>
    <b v="0"/>
    <s v="No_Discount"/>
    <n v="5999"/>
    <s v="OK"/>
    <n v="1"/>
    <s v="OK"/>
    <n v="14"/>
    <s v="OK"/>
    <n v="0"/>
    <x v="0"/>
    <x v="3"/>
  </r>
  <r>
    <x v="104"/>
    <d v="2024-10-26T00:00:00"/>
    <s v="CUST_10103"/>
    <x v="0"/>
    <s v="ACC-SHD-OS"/>
    <s v="Accessories"/>
    <s v="Shoulder Bag"/>
    <n v="1799"/>
    <n v="1"/>
    <n v="1799"/>
    <s v="DIWALI20"/>
    <n v="20"/>
    <s v="COD"/>
    <x v="1"/>
    <s v="Patna"/>
    <s v="Bihar"/>
    <s v="Delhi"/>
    <m/>
    <x v="2"/>
    <x v="0"/>
    <m/>
    <m/>
    <s v="Not Applicable"/>
    <s v="OK"/>
    <b v="0"/>
    <s v="Discount_Not_Applied"/>
    <n v="1439.2"/>
    <s v="Mismatch"/>
    <n v="1"/>
    <s v="OK"/>
    <n v="-45591"/>
    <s v="Invalid_delivery_time"/>
    <n v="0"/>
    <x v="0"/>
    <x v="3"/>
  </r>
  <r>
    <x v="105"/>
    <d v="2024-10-26T00:00:00"/>
    <s v="CUST_10104"/>
    <x v="0"/>
    <s v="BOT-STR-L"/>
    <s v="Bottoms"/>
    <s v="Straight Pants"/>
    <n v="1999"/>
    <n v="1"/>
    <n v="1999"/>
    <m/>
    <n v="0"/>
    <s v="Wallet"/>
    <x v="0"/>
    <s v="Bhopal"/>
    <s v="Madhya Pradesh"/>
    <s v="Mumbai"/>
    <d v="2024-11-07T00:00:00"/>
    <x v="0"/>
    <x v="1"/>
    <s v="Wrong Item"/>
    <d v="2024-12-07T00:00:00"/>
    <s v="Processed"/>
    <s v="OK"/>
    <b v="0"/>
    <s v="No_Discount"/>
    <n v="1999"/>
    <s v="OK"/>
    <n v="1"/>
    <s v="OK"/>
    <n v="12"/>
    <s v="OK"/>
    <n v="30"/>
    <x v="0"/>
    <x v="3"/>
  </r>
  <r>
    <x v="106"/>
    <d v="2024-10-26T00:00:00"/>
    <s v="CUST_10105"/>
    <x v="1"/>
    <s v="DRS-FIT-S"/>
    <s v="Dresses"/>
    <s v="Fit &amp; Flare Dress"/>
    <n v="2499"/>
    <n v="1"/>
    <n v="2499"/>
    <m/>
    <n v="0"/>
    <s v="Debit Card"/>
    <x v="2"/>
    <s v="Nagpur"/>
    <s v="Maharashtra"/>
    <s v="Mumbai"/>
    <d v="2024-11-08T00:00:00"/>
    <x v="0"/>
    <x v="0"/>
    <m/>
    <m/>
    <s v="Not Applicable"/>
    <s v="OK"/>
    <b v="0"/>
    <s v="No_Discount"/>
    <n v="2499"/>
    <s v="OK"/>
    <n v="1"/>
    <s v="OK"/>
    <n v="13"/>
    <s v="OK"/>
    <n v="0"/>
    <x v="0"/>
    <x v="3"/>
  </r>
  <r>
    <x v="107"/>
    <d v="2024-10-26T00:00:00"/>
    <s v="CUST_10106"/>
    <x v="0"/>
    <s v="TOP-CWL-M"/>
    <s v="Tops"/>
    <s v="Cowl Neck Top"/>
    <n v="1599"/>
    <n v="1"/>
    <n v="1599"/>
    <s v="FIRST15"/>
    <n v="15"/>
    <s v="UPI"/>
    <x v="1"/>
    <s v="Coimbatore"/>
    <s v="Tamil Nadu"/>
    <s v="Bangalore"/>
    <d v="2024-11-06T00:00:00"/>
    <x v="0"/>
    <x v="1"/>
    <s v="Size Issue"/>
    <d v="2024-12-05T00:00:00"/>
    <s v="Processed"/>
    <s v="OK"/>
    <b v="0"/>
    <s v="Discount_Not_Applied"/>
    <n v="1359.1499999999999"/>
    <s v="Mismatch"/>
    <n v="1"/>
    <s v="OK"/>
    <n v="11"/>
    <s v="OK"/>
    <n v="29"/>
    <x v="0"/>
    <x v="3"/>
  </r>
  <r>
    <x v="108"/>
    <d v="2024-10-27T00:00:00"/>
    <s v="CUST_10107"/>
    <x v="0"/>
    <s v="OUT-BLR-L"/>
    <s v="Outerwear"/>
    <s v="Blazer"/>
    <n v="3999"/>
    <n v="1"/>
    <n v="3999"/>
    <m/>
    <n v="0"/>
    <s v="Credit Card"/>
    <x v="0"/>
    <s v="Kochi"/>
    <s v="Kerala"/>
    <s v="Bangalore"/>
    <d v="2024-11-09T00:00:00"/>
    <x v="0"/>
    <x v="0"/>
    <m/>
    <m/>
    <s v="Not Applicable"/>
    <s v="OK"/>
    <b v="0"/>
    <s v="No_Discount"/>
    <n v="3999"/>
    <s v="OK"/>
    <n v="1"/>
    <s v="OK"/>
    <n v="13"/>
    <s v="OK"/>
    <n v="0"/>
    <x v="0"/>
    <x v="4"/>
  </r>
  <r>
    <x v="109"/>
    <d v="2024-10-27T00:00:00"/>
    <s v="CUST_10108"/>
    <x v="0"/>
    <s v="ACC-CFF-OS"/>
    <s v="Accessories"/>
    <s v="Cuff Bracelet"/>
    <n v="599"/>
    <n v="2"/>
    <n v="1198"/>
    <m/>
    <n v="0"/>
    <s v="COD"/>
    <x v="2"/>
    <s v="Vizag"/>
    <s v="Andhra Pradesh"/>
    <s v="Bangalore"/>
    <d v="2024-11-07T00:00:00"/>
    <x v="0"/>
    <x v="1"/>
    <s v="Damaged in Transit"/>
    <d v="2024-12-06T00:00:00"/>
    <s v="Processed"/>
    <s v="OK"/>
    <b v="0"/>
    <s v="No_Discount"/>
    <n v="1198"/>
    <s v="OK"/>
    <n v="1"/>
    <s v="OK"/>
    <n v="11"/>
    <s v="OK"/>
    <n v="29"/>
    <x v="0"/>
    <x v="4"/>
  </r>
  <r>
    <x v="110"/>
    <d v="2024-10-27T00:00:00"/>
    <s v="CUST_10109"/>
    <x v="1"/>
    <s v="BOT-HRM-M"/>
    <s v="Bottoms"/>
    <s v="Harem Pants"/>
    <n v="1799"/>
    <n v="1"/>
    <n v="1799"/>
    <s v="DIWALI20"/>
    <n v="20"/>
    <s v="UPI"/>
    <x v="1"/>
    <s v="Thiruvananthapuram"/>
    <s v="Kerala"/>
    <s v="Bangalore"/>
    <d v="2024-11-08T00:00:00"/>
    <x v="0"/>
    <x v="0"/>
    <m/>
    <m/>
    <s v="Not Applicable"/>
    <s v="OK"/>
    <b v="0"/>
    <s v="Discount_Not_Applied"/>
    <n v="1439.2"/>
    <s v="Mismatch"/>
    <n v="1"/>
    <s v="OK"/>
    <n v="12"/>
    <s v="OK"/>
    <n v="0"/>
    <x v="0"/>
    <x v="4"/>
  </r>
  <r>
    <x v="111"/>
    <d v="2024-10-28T00:00:00"/>
    <s v="CUST_10110"/>
    <x v="0"/>
    <s v="DRS-FES-M"/>
    <s v="Dresses"/>
    <s v="Festive Kurta Set"/>
    <n v="3499"/>
    <n v="1"/>
    <n v="3499"/>
    <s v="DIWALI40"/>
    <n v="40"/>
    <s v="Credit Card"/>
    <x v="0"/>
    <s v="Delhi"/>
    <s v="Delhi"/>
    <s v="Delhi"/>
    <d v="2024-11-02T00:00:00"/>
    <x v="0"/>
    <x v="1"/>
    <s v="Size Issue"/>
    <d v="2024-11-18T00:00:00"/>
    <s v="Processed"/>
    <s v="OK"/>
    <b v="0"/>
    <s v="Discount_Not_Applied"/>
    <n v="2099.4"/>
    <s v="Mismatch"/>
    <n v="1"/>
    <s v="OK"/>
    <n v="5"/>
    <s v="OK"/>
    <n v="16"/>
    <x v="0"/>
    <x v="4"/>
  </r>
  <r>
    <x v="112"/>
    <d v="2024-10-28T00:00:00"/>
    <s v="CUST_10111"/>
    <x v="0"/>
    <s v="OUT-ETH-L"/>
    <s v="Outerwear"/>
    <s v="Embroidered Jacket"/>
    <n v="5999"/>
    <n v="1"/>
    <n v="5999"/>
    <s v="DIWALI40"/>
    <n v="40"/>
    <s v="COD"/>
    <x v="1"/>
    <s v="Mumbai"/>
    <s v="Maharashtra"/>
    <s v="Mumbai"/>
    <d v="2024-11-03T00:00:00"/>
    <x v="0"/>
    <x v="1"/>
    <s v="Wrong Item"/>
    <d v="2024-11-20T00:00:00"/>
    <s v="Processed"/>
    <s v="OK"/>
    <b v="0"/>
    <s v="Discount_Not_Applied"/>
    <n v="3599.4"/>
    <s v="Mismatch"/>
    <n v="1"/>
    <s v="OK"/>
    <n v="6"/>
    <s v="OK"/>
    <n v="17"/>
    <x v="0"/>
    <x v="4"/>
  </r>
  <r>
    <x v="113"/>
    <d v="2024-10-28T00:00:00"/>
    <s v="CUST_10112"/>
    <x v="0"/>
    <s v="TOP-FES-S"/>
    <s v="Tops"/>
    <s v="Festive Blouse"/>
    <n v="2299"/>
    <n v="2"/>
    <n v="4598"/>
    <s v="DIWALI40"/>
    <n v="40"/>
    <s v="UPI"/>
    <x v="2"/>
    <s v="Jaipur"/>
    <s v="Rajasthan"/>
    <s v="Delhi"/>
    <d v="2024-11-04T00:00:00"/>
    <x v="0"/>
    <x v="1"/>
    <s v="Size Issue"/>
    <d v="2024-11-22T00:00:00"/>
    <s v="Processed"/>
    <s v="OK"/>
    <b v="0"/>
    <s v="Discount_Not_Applied"/>
    <n v="2758.7999999999997"/>
    <s v="Mismatch"/>
    <n v="1"/>
    <s v="OK"/>
    <n v="7"/>
    <s v="OK"/>
    <n v="18"/>
    <x v="0"/>
    <x v="4"/>
  </r>
  <r>
    <x v="114"/>
    <d v="2024-10-28T00:00:00"/>
    <s v="CUST_10113"/>
    <x v="1"/>
    <s v="ACC-CLT-OS"/>
    <s v="Accessories"/>
    <s v="Festive Clutch"/>
    <n v="1599"/>
    <n v="1"/>
    <n v="1599"/>
    <s v="DIWALI40"/>
    <n v="40"/>
    <s v="Credit Card"/>
    <x v="0"/>
    <s v="Lucknow"/>
    <s v="Uttar Pradesh"/>
    <s v="Delhi"/>
    <d v="2024-11-03T00:00:00"/>
    <x v="0"/>
    <x v="0"/>
    <m/>
    <m/>
    <s v="Not Applicable"/>
    <s v="OK"/>
    <b v="0"/>
    <s v="Discount_Not_Applied"/>
    <n v="959.4"/>
    <s v="Mismatch"/>
    <n v="1"/>
    <s v="OK"/>
    <n v="6"/>
    <s v="OK"/>
    <n v="0"/>
    <x v="0"/>
    <x v="4"/>
  </r>
  <r>
    <x v="115"/>
    <d v="2024-10-28T00:00:00"/>
    <s v="CUST_10114"/>
    <x v="0"/>
    <s v="BOT-ETH-M"/>
    <s v="Bottoms"/>
    <s v="Palazzo Pants"/>
    <n v="1899"/>
    <n v="1"/>
    <n v="1899"/>
    <s v="DIWALI40"/>
    <n v="40"/>
    <s v="COD"/>
    <x v="1"/>
    <s v="Chennai"/>
    <s v="Tamil Nadu"/>
    <s v="Bangalore"/>
    <m/>
    <x v="2"/>
    <x v="0"/>
    <m/>
    <m/>
    <s v="Not Applicable"/>
    <s v="OK"/>
    <b v="0"/>
    <s v="Discount_Not_Applied"/>
    <n v="1139.3999999999999"/>
    <s v="Mismatch"/>
    <n v="1"/>
    <s v="OK"/>
    <n v="-45593"/>
    <s v="Invalid_delivery_time"/>
    <n v="0"/>
    <x v="0"/>
    <x v="4"/>
  </r>
  <r>
    <x v="116"/>
    <d v="2024-10-29T00:00:00"/>
    <s v="CUST_10115"/>
    <x v="0"/>
    <s v="DRS-ANK-S"/>
    <s v="Dresses"/>
    <s v="Anarkali Dress"/>
    <n v="4299"/>
    <n v="1"/>
    <n v="4299"/>
    <s v="DIWALI40"/>
    <n v="40"/>
    <s v="Debit Card"/>
    <x v="0"/>
    <s v="Hyderabad"/>
    <s v="Telangana"/>
    <s v="Bangalore"/>
    <d v="2024-11-05T00:00:00"/>
    <x v="0"/>
    <x v="1"/>
    <s v="Quality Defect"/>
    <d v="2024-11-25T00:00:00"/>
    <s v="Processed"/>
    <s v="OK"/>
    <b v="0"/>
    <s v="Discount_Not_Applied"/>
    <n v="2579.4"/>
    <s v="Mismatch"/>
    <n v="1"/>
    <s v="OK"/>
    <n v="7"/>
    <s v="OK"/>
    <n v="20"/>
    <x v="0"/>
    <x v="4"/>
  </r>
  <r>
    <x v="117"/>
    <d v="2024-10-29T00:00:00"/>
    <s v="CUST_10116"/>
    <x v="0"/>
    <s v="TOP-ETH-M"/>
    <s v="Tops"/>
    <s v="Embroidered Kurti"/>
    <n v="2599"/>
    <n v="1"/>
    <n v="2599"/>
    <s v="DIWALI40"/>
    <n v="40"/>
    <s v="UPI"/>
    <x v="2"/>
    <s v="Pune"/>
    <s v="Maharashtra"/>
    <s v="Mumbai"/>
    <d v="2024-11-06T00:00:00"/>
    <x v="0"/>
    <x v="1"/>
    <s v="Changed Mind"/>
    <d v="2024-11-28T00:00:00"/>
    <s v="Pending"/>
    <s v="OK"/>
    <b v="0"/>
    <s v="Discount_Not_Applied"/>
    <n v="1559.3999999999999"/>
    <s v="Mismatch"/>
    <n v="1"/>
    <s v="OK"/>
    <n v="8"/>
    <s v="OK"/>
    <n v="22"/>
    <x v="0"/>
    <x v="4"/>
  </r>
  <r>
    <x v="118"/>
    <d v="2024-10-29T00:00:00"/>
    <s v="CUST_10117"/>
    <x v="0"/>
    <s v="OUT-SHW-L"/>
    <s v="Outerwear"/>
    <s v="Pashmina Shawl"/>
    <n v="3999"/>
    <n v="1"/>
    <n v="3999"/>
    <s v="DIWALI40"/>
    <n v="40"/>
    <s v="Credit Card"/>
    <x v="1"/>
    <s v="Amritsar"/>
    <s v="Punjab"/>
    <s v="Delhi"/>
    <d v="2024-11-07T00:00:00"/>
    <x v="0"/>
    <x v="1"/>
    <s v="Size Issue"/>
    <d v="2024-12-01T00:00:00"/>
    <s v="Processed"/>
    <s v="OK"/>
    <b v="0"/>
    <s v="Discount_Not_Applied"/>
    <n v="2399.4"/>
    <s v="Mismatch"/>
    <n v="1"/>
    <s v="OK"/>
    <n v="9"/>
    <s v="OK"/>
    <n v="24"/>
    <x v="0"/>
    <x v="4"/>
  </r>
  <r>
    <x v="119"/>
    <d v="2024-10-29T00:00:00"/>
    <s v="CUST_10118"/>
    <x v="1"/>
    <s v="DRS-LHG-M"/>
    <s v="Dresses"/>
    <s v="Lehenga Set"/>
    <n v="8999"/>
    <n v="1"/>
    <n v="8999"/>
    <s v="DIWALI40"/>
    <n v="40"/>
    <s v="Credit Card"/>
    <x v="0"/>
    <s v="Ahmedabad"/>
    <s v="Gujarat"/>
    <s v="Mumbai"/>
    <d v="2024-11-06T00:00:00"/>
    <x v="0"/>
    <x v="1"/>
    <s v="Size Issue"/>
    <d v="2024-12-02T00:00:00"/>
    <s v="Processed"/>
    <s v="OK"/>
    <b v="0"/>
    <s v="Discount_Not_Applied"/>
    <n v="5399.4"/>
    <s v="Mismatch"/>
    <n v="1"/>
    <s v="OK"/>
    <n v="8"/>
    <s v="OK"/>
    <n v="26"/>
    <x v="0"/>
    <x v="4"/>
  </r>
  <r>
    <x v="120"/>
    <d v="2024-10-29T00:00:00"/>
    <s v="CUST_10119"/>
    <x v="0"/>
    <s v="ACC-STL-OS"/>
    <s v="Accessories"/>
    <s v="Statement Necklace"/>
    <n v="1299"/>
    <n v="2"/>
    <n v="2598"/>
    <s v="DIWALI40"/>
    <n v="40"/>
    <s v="COD"/>
    <x v="2"/>
    <s v="Kolkata"/>
    <s v="West Bengal"/>
    <s v="Delhi"/>
    <d v="2024-11-08T00:00:00"/>
    <x v="0"/>
    <x v="1"/>
    <s v="Damaged in Transit"/>
    <d v="2024-11-30T00:00:00"/>
    <s v="Processed"/>
    <s v="OK"/>
    <b v="0"/>
    <s v="Discount_Not_Applied"/>
    <n v="1558.8"/>
    <s v="Mismatch"/>
    <n v="1"/>
    <s v="OK"/>
    <n v="10"/>
    <s v="OK"/>
    <n v="22"/>
    <x v="0"/>
    <x v="4"/>
  </r>
  <r>
    <x v="121"/>
    <d v="2024-10-29T00:00:00"/>
    <s v="CUST_10120"/>
    <x v="0"/>
    <s v="TOP-SQN-S"/>
    <s v="Tops"/>
    <s v="Sequin Top"/>
    <n v="1999"/>
    <n v="1"/>
    <n v="1999"/>
    <s v="DIWALI40"/>
    <n v="40"/>
    <s v="UPI"/>
    <x v="1"/>
    <s v="Bangalore"/>
    <s v="Karnataka"/>
    <s v="Bangalore"/>
    <d v="2024-11-07T00:00:00"/>
    <x v="0"/>
    <x v="1"/>
    <s v="Quality Defect"/>
    <d v="2024-12-03T00:00:00"/>
    <s v="Processed"/>
    <s v="OK"/>
    <b v="0"/>
    <s v="Discount_Not_Applied"/>
    <n v="1199.3999999999999"/>
    <s v="Mismatch"/>
    <n v="1"/>
    <s v="OK"/>
    <n v="9"/>
    <s v="OK"/>
    <n v="26"/>
    <x v="0"/>
    <x v="4"/>
  </r>
  <r>
    <x v="122"/>
    <d v="2024-10-30T00:00:00"/>
    <s v="CUST_10121"/>
    <x v="0"/>
    <s v="BOT-LHG-S"/>
    <s v="Bottoms"/>
    <s v="Lehenga Skirt"/>
    <n v="5499"/>
    <n v="1"/>
    <n v="5499"/>
    <s v="DIWALI40"/>
    <n v="40"/>
    <s v="Wallet"/>
    <x v="0"/>
    <s v="Surat"/>
    <s v="Gujarat"/>
    <s v="Mumbai"/>
    <d v="2024-11-08T00:00:00"/>
    <x v="0"/>
    <x v="1"/>
    <s v="Size Issue"/>
    <d v="2024-12-01T00:00:00"/>
    <s v="Processed"/>
    <s v="OK"/>
    <b v="0"/>
    <s v="Discount_Not_Applied"/>
    <n v="3299.4"/>
    <s v="Mismatch"/>
    <n v="1"/>
    <s v="OK"/>
    <n v="9"/>
    <s v="OK"/>
    <n v="23"/>
    <x v="0"/>
    <x v="4"/>
  </r>
  <r>
    <x v="123"/>
    <d v="2024-10-30T00:00:00"/>
    <s v="CUST_10122"/>
    <x v="0"/>
    <s v="DRS-SAR-M"/>
    <s v="Dresses"/>
    <s v="Saree Gown"/>
    <n v="6999"/>
    <n v="1"/>
    <n v="6999"/>
    <s v="DIWALI40"/>
    <n v="40"/>
    <s v="Credit Card"/>
    <x v="2"/>
    <s v="Mumbai"/>
    <s v="Maharashtra"/>
    <s v="Mumbai"/>
    <d v="2024-11-09T00:00:00"/>
    <x v="0"/>
    <x v="1"/>
    <s v="Size Issue"/>
    <d v="2024-12-03T00:00:00"/>
    <s v="Processed"/>
    <s v="OK"/>
    <b v="0"/>
    <s v="Discount_Not_Applied"/>
    <n v="4199.3999999999996"/>
    <s v="Mismatch"/>
    <n v="1"/>
    <s v="OK"/>
    <n v="10"/>
    <s v="OK"/>
    <n v="24"/>
    <x v="0"/>
    <x v="4"/>
  </r>
  <r>
    <x v="124"/>
    <d v="2024-10-30T00:00:00"/>
    <s v="CUST_10123"/>
    <x v="1"/>
    <s v="OUT-BLS-M"/>
    <s v="Outerwear"/>
    <s v="Brocade Blazer"/>
    <n v="4999"/>
    <n v="1"/>
    <n v="4999"/>
    <s v="DIWALI40"/>
    <n v="40"/>
    <s v="Debit Card"/>
    <x v="1"/>
    <s v="Delhi"/>
    <s v="Delhi"/>
    <s v="Delhi"/>
    <d v="2024-11-10T00:00:00"/>
    <x v="0"/>
    <x v="0"/>
    <m/>
    <m/>
    <s v="Not Applicable"/>
    <s v="OK"/>
    <b v="0"/>
    <s v="Discount_Not_Applied"/>
    <n v="2999.4"/>
    <s v="Mismatch"/>
    <n v="1"/>
    <s v="OK"/>
    <n v="11"/>
    <s v="OK"/>
    <n v="0"/>
    <x v="0"/>
    <x v="4"/>
  </r>
  <r>
    <x v="125"/>
    <d v="2024-10-30T00:00:00"/>
    <s v="CUST_10124"/>
    <x v="0"/>
    <s v="ACC-MNG-OS"/>
    <s v="Accessories"/>
    <s v="Maang Tikka Set"/>
    <n v="899"/>
    <n v="1"/>
    <n v="899"/>
    <s v="DIWALI40"/>
    <n v="40"/>
    <s v="UPI"/>
    <x v="0"/>
    <s v="Varanasi"/>
    <s v="Uttar Pradesh"/>
    <s v="Delhi"/>
    <d v="2024-11-10T00:00:00"/>
    <x v="0"/>
    <x v="0"/>
    <m/>
    <m/>
    <s v="Not Applicable"/>
    <s v="OK"/>
    <b v="0"/>
    <s v="Discount_Not_Applied"/>
    <n v="539.4"/>
    <s v="Mismatch"/>
    <n v="1"/>
    <s v="OK"/>
    <n v="11"/>
    <s v="OK"/>
    <n v="0"/>
    <x v="0"/>
    <x v="4"/>
  </r>
  <r>
    <x v="126"/>
    <d v="2024-10-30T00:00:00"/>
    <s v="CUST_10125"/>
    <x v="0"/>
    <s v="TOP-ZAR-L"/>
    <s v="Tops"/>
    <s v="Zardozi Blouse"/>
    <n v="3299"/>
    <n v="1"/>
    <n v="3299"/>
    <s v="DIWALI40"/>
    <n v="40"/>
    <s v="COD"/>
    <x v="2"/>
    <s v="Jaipur"/>
    <s v="Rajasthan"/>
    <s v="Delhi"/>
    <d v="2024-11-12T00:00:00"/>
    <x v="0"/>
    <x v="1"/>
    <s v="Wrong Item"/>
    <d v="2024-12-05T00:00:00"/>
    <s v="Pending"/>
    <s v="OK"/>
    <b v="0"/>
    <s v="Discount_Not_Applied"/>
    <n v="1979.3999999999999"/>
    <s v="Mismatch"/>
    <n v="1"/>
    <s v="OK"/>
    <n v="13"/>
    <s v="OK"/>
    <n v="23"/>
    <x v="0"/>
    <x v="4"/>
  </r>
  <r>
    <x v="127"/>
    <d v="2024-10-31T00:00:00"/>
    <s v="CUST_10126"/>
    <x v="0"/>
    <s v="DRS-FES-L"/>
    <s v="Dresses"/>
    <s v="Festive Gown"/>
    <n v="7499"/>
    <n v="1"/>
    <n v="7499"/>
    <s v="DIWALI40"/>
    <n v="40"/>
    <s v="Credit Card"/>
    <x v="0"/>
    <s v="Lucknow"/>
    <s v="Uttar Pradesh"/>
    <s v="Delhi"/>
    <d v="2024-11-11T00:00:00"/>
    <x v="0"/>
    <x v="1"/>
    <s v="Size Issue"/>
    <d v="2024-12-04T00:00:00"/>
    <s v="Processed"/>
    <s v="OK"/>
    <b v="0"/>
    <s v="Discount_Not_Applied"/>
    <n v="4499.3999999999996"/>
    <s v="Mismatch"/>
    <n v="1"/>
    <s v="OK"/>
    <n v="11"/>
    <s v="OK"/>
    <n v="23"/>
    <x v="0"/>
    <x v="4"/>
  </r>
  <r>
    <x v="128"/>
    <d v="2024-10-31T00:00:00"/>
    <s v="CUST_10127"/>
    <x v="0"/>
    <s v="BOT-SLK-M"/>
    <s v="Bottoms"/>
    <s v="Silk Pants"/>
    <n v="3299"/>
    <n v="1"/>
    <n v="3299"/>
    <s v="DIWALI40"/>
    <n v="40"/>
    <s v="UPI"/>
    <x v="1"/>
    <s v="Chandigarh"/>
    <s v="Punjab"/>
    <s v="Delhi"/>
    <d v="2024-11-12T00:00:00"/>
    <x v="0"/>
    <x v="1"/>
    <s v="Changed Mind"/>
    <d v="2024-12-06T00:00:00"/>
    <s v="Processed"/>
    <s v="OK"/>
    <b v="0"/>
    <s v="Discount_Not_Applied"/>
    <n v="1979.3999999999999"/>
    <s v="Mismatch"/>
    <n v="1"/>
    <s v="OK"/>
    <n v="12"/>
    <s v="OK"/>
    <n v="24"/>
    <x v="0"/>
    <x v="4"/>
  </r>
  <r>
    <x v="129"/>
    <d v="2024-10-31T00:00:00"/>
    <s v="CUST_10128"/>
    <x v="1"/>
    <s v="OUT-VLV-L"/>
    <s v="Outerwear"/>
    <s v="Velvet Jacket"/>
    <n v="5499"/>
    <n v="1"/>
    <n v="5499"/>
    <s v="DIWALI40"/>
    <n v="40"/>
    <s v="Debit Card"/>
    <x v="2"/>
    <s v="Noida"/>
    <s v="Uttar Pradesh"/>
    <s v="Delhi"/>
    <d v="2024-11-13T00:00:00"/>
    <x v="0"/>
    <x v="1"/>
    <s v="Quality Defect"/>
    <d v="2024-12-08T00:00:00"/>
    <s v="Processed"/>
    <s v="OK"/>
    <b v="0"/>
    <s v="Discount_Not_Applied"/>
    <n v="3299.4"/>
    <s v="Mismatch"/>
    <n v="1"/>
    <s v="OK"/>
    <n v="13"/>
    <s v="OK"/>
    <n v="25"/>
    <x v="0"/>
    <x v="4"/>
  </r>
  <r>
    <x v="130"/>
    <d v="2024-10-31T00:00:00"/>
    <s v="CUST_10129"/>
    <x v="0"/>
    <s v="ACC-TKA-OS"/>
    <s v="Accessories"/>
    <s v="Tikka Headpiece"/>
    <n v="1199"/>
    <n v="1"/>
    <n v="1199"/>
    <s v="DIWALI40"/>
    <n v="40"/>
    <s v="COD"/>
    <x v="0"/>
    <s v="Gurgaon"/>
    <s v="Haryana"/>
    <s v="Delhi"/>
    <m/>
    <x v="2"/>
    <x v="0"/>
    <m/>
    <m/>
    <s v="Not Applicable"/>
    <s v="OK"/>
    <b v="0"/>
    <s v="Discount_Not_Applied"/>
    <n v="719.4"/>
    <s v="Mismatch"/>
    <n v="1"/>
    <s v="OK"/>
    <n v="-45596"/>
    <s v="Invalid_delivery_time"/>
    <n v="0"/>
    <x v="0"/>
    <x v="4"/>
  </r>
  <r>
    <x v="131"/>
    <d v="2024-10-31T00:00:00"/>
    <s v="CUST_10130"/>
    <x v="0"/>
    <s v="TOP-GOT-S"/>
    <s v="Tops"/>
    <s v="Gota Patti Top"/>
    <n v="2799"/>
    <n v="1"/>
    <n v="2799"/>
    <s v="DIWALI40"/>
    <n v="40"/>
    <s v="Wallet"/>
    <x v="1"/>
    <s v="Indore"/>
    <s v="Madhya Pradesh"/>
    <s v="Mumbai"/>
    <d v="2024-11-12T00:00:00"/>
    <x v="0"/>
    <x v="1"/>
    <s v="Size Issue"/>
    <d v="2024-12-07T00:00:00"/>
    <s v="Processed"/>
    <s v="OK"/>
    <b v="0"/>
    <s v="Discount_Not_Applied"/>
    <n v="1679.3999999999999"/>
    <s v="Mismatch"/>
    <n v="1"/>
    <s v="OK"/>
    <n v="12"/>
    <s v="OK"/>
    <n v="25"/>
    <x v="0"/>
    <x v="4"/>
  </r>
  <r>
    <x v="132"/>
    <d v="2024-11-01T00:00:00"/>
    <s v="CUST_10131"/>
    <x v="0"/>
    <s v="DRS-BND-M"/>
    <s v="Dresses"/>
    <s v="Bandhani Dress"/>
    <n v="3899"/>
    <n v="1"/>
    <n v="3899"/>
    <s v="DIWALI40"/>
    <n v="40"/>
    <s v="Credit Card"/>
    <x v="2"/>
    <s v="Surat"/>
    <s v="Gujarat"/>
    <s v="Mumbai"/>
    <d v="2024-11-10T00:00:00"/>
    <x v="0"/>
    <x v="1"/>
    <s v="Wrong Item"/>
    <d v="2024-12-05T00:00:00"/>
    <s v="Processed"/>
    <s v="OK"/>
    <b v="0"/>
    <s v="Discount_Not_Applied"/>
    <n v="2339.4"/>
    <s v="Mismatch"/>
    <n v="1"/>
    <s v="OK"/>
    <n v="9"/>
    <s v="OK"/>
    <n v="25"/>
    <x v="1"/>
    <x v="4"/>
  </r>
  <r>
    <x v="133"/>
    <d v="2024-11-01T00:00:00"/>
    <s v="CUST_10132"/>
    <x v="0"/>
    <s v="BOT-BRC-L"/>
    <s v="Bottoms"/>
    <s v="Brocade Pants"/>
    <n v="2999"/>
    <n v="1"/>
    <n v="2999"/>
    <s v="DIWALI40"/>
    <n v="40"/>
    <s v="UPI"/>
    <x v="0"/>
    <s v="Patna"/>
    <s v="Bihar"/>
    <s v="Delhi"/>
    <d v="2024-11-11T00:00:00"/>
    <x v="0"/>
    <x v="0"/>
    <m/>
    <m/>
    <s v="Not Applicable"/>
    <s v="OK"/>
    <b v="0"/>
    <s v="Discount_Not_Applied"/>
    <n v="1799.3999999999999"/>
    <s v="Mismatch"/>
    <n v="1"/>
    <s v="OK"/>
    <n v="10"/>
    <s v="OK"/>
    <n v="0"/>
    <x v="1"/>
    <x v="4"/>
  </r>
  <r>
    <x v="134"/>
    <d v="2024-11-01T00:00:00"/>
    <s v="CUST_10133"/>
    <x v="1"/>
    <s v="OUT-ZRI-M"/>
    <s v="Outerwear"/>
    <s v="Zari Work Jacket"/>
    <n v="6499"/>
    <n v="1"/>
    <n v="6499"/>
    <s v="DIWALI40"/>
    <n v="40"/>
    <s v="Credit Card"/>
    <x v="1"/>
    <s v="Bhopal"/>
    <s v="Madhya Pradesh"/>
    <s v="Mumbai"/>
    <d v="2024-11-13T00:00:00"/>
    <x v="0"/>
    <x v="1"/>
    <s v="Size Issue"/>
    <d v="2024-12-10T00:00:00"/>
    <s v="Processed"/>
    <s v="OK"/>
    <b v="0"/>
    <s v="Discount_Not_Applied"/>
    <n v="3899.3999999999996"/>
    <s v="Mismatch"/>
    <n v="1"/>
    <s v="OK"/>
    <n v="12"/>
    <s v="OK"/>
    <n v="27"/>
    <x v="1"/>
    <x v="4"/>
  </r>
  <r>
    <x v="135"/>
    <d v="2024-11-01T00:00:00"/>
    <s v="CUST_10134"/>
    <x v="0"/>
    <s v="ACC-JHM-OS"/>
    <s v="Accessories"/>
    <s v="Jhumka Earrings"/>
    <n v="999"/>
    <n v="2"/>
    <n v="1998"/>
    <s v="DIWALI40"/>
    <n v="40"/>
    <s v="Debit Card"/>
    <x v="2"/>
    <s v="Nagpur"/>
    <s v="Maharashtra"/>
    <s v="Mumbai"/>
    <d v="2024-11-11T00:00:00"/>
    <x v="0"/>
    <x v="0"/>
    <m/>
    <m/>
    <s v="Not Applicable"/>
    <s v="OK"/>
    <b v="0"/>
    <s v="Discount_Not_Applied"/>
    <n v="1198.8"/>
    <s v="Mismatch"/>
    <n v="1"/>
    <s v="OK"/>
    <n v="10"/>
    <s v="OK"/>
    <n v="0"/>
    <x v="1"/>
    <x v="4"/>
  </r>
  <r>
    <x v="136"/>
    <d v="2024-11-02T00:00:00"/>
    <s v="CUST_10135"/>
    <x v="0"/>
    <s v="TOP-MRR-S"/>
    <s v="Tops"/>
    <s v="Mirror Work Top"/>
    <n v="2499"/>
    <n v="1"/>
    <n v="2499"/>
    <s v="DIWALI40"/>
    <n v="40"/>
    <s v="COD"/>
    <x v="0"/>
    <s v="Coimbatore"/>
    <s v="Tamil Nadu"/>
    <s v="Bangalore"/>
    <d v="2024-11-12T00:00:00"/>
    <x v="0"/>
    <x v="1"/>
    <s v="Quality Defect"/>
    <d v="2024-12-08T00:00:00"/>
    <s v="Processed"/>
    <s v="OK"/>
    <b v="0"/>
    <s v="Discount_Not_Applied"/>
    <n v="1499.3999999999999"/>
    <s v="Mismatch"/>
    <n v="1"/>
    <s v="OK"/>
    <n v="10"/>
    <s v="OK"/>
    <n v="26"/>
    <x v="1"/>
    <x v="4"/>
  </r>
  <r>
    <x v="137"/>
    <d v="2024-11-02T00:00:00"/>
    <s v="CUST_10136"/>
    <x v="0"/>
    <s v="DRS-PTL-M"/>
    <s v="Dresses"/>
    <s v="Patiala Suit"/>
    <n v="4599"/>
    <n v="1"/>
    <n v="4599"/>
    <s v="DIWALI40"/>
    <n v="40"/>
    <s v="UPI"/>
    <x v="1"/>
    <s v="Kochi"/>
    <s v="Kerala"/>
    <s v="Bangalore"/>
    <d v="2024-11-14T00:00:00"/>
    <x v="0"/>
    <x v="1"/>
    <s v="Size Issue"/>
    <d v="2024-12-12T00:00:00"/>
    <s v="Processed"/>
    <s v="OK"/>
    <b v="0"/>
    <s v="Discount_Not_Applied"/>
    <n v="2759.4"/>
    <s v="Mismatch"/>
    <n v="1"/>
    <s v="OK"/>
    <n v="12"/>
    <s v="OK"/>
    <n v="28"/>
    <x v="1"/>
    <x v="4"/>
  </r>
  <r>
    <x v="138"/>
    <d v="2024-11-02T00:00:00"/>
    <s v="CUST_10137"/>
    <x v="0"/>
    <s v="BOT-DHT-L"/>
    <s v="Bottoms"/>
    <s v="Dhoti Pants"/>
    <n v="1799"/>
    <n v="1"/>
    <n v="1799"/>
    <s v="DIWALI40"/>
    <n v="40"/>
    <s v="Credit Card"/>
    <x v="2"/>
    <s v="Vizag"/>
    <s v="Andhra Pradesh"/>
    <s v="Bangalore"/>
    <d v="2024-11-13T00:00:00"/>
    <x v="0"/>
    <x v="0"/>
    <m/>
    <m/>
    <s v="Not Applicable"/>
    <s v="OK"/>
    <b v="0"/>
    <s v="Discount_Not_Applied"/>
    <n v="1079.3999999999999"/>
    <s v="Mismatch"/>
    <n v="1"/>
    <s v="OK"/>
    <n v="11"/>
    <s v="OK"/>
    <n v="0"/>
    <x v="1"/>
    <x v="4"/>
  </r>
  <r>
    <x v="139"/>
    <d v="2024-11-02T00:00:00"/>
    <s v="CUST_10138"/>
    <x v="1"/>
    <s v="OUT-KTN-M"/>
    <s v="Outerwear"/>
    <s v="Katan Silk Jacket"/>
    <n v="7999"/>
    <n v="1"/>
    <n v="7999"/>
    <s v="DIWALI40"/>
    <n v="40"/>
    <s v="Wallet"/>
    <x v="0"/>
    <s v="Thiruvananthapuram"/>
    <s v="Kerala"/>
    <s v="Bangalore"/>
    <d v="2024-11-15T00:00:00"/>
    <x v="0"/>
    <x v="1"/>
    <s v="Changed Mind"/>
    <d v="2024-12-14T00:00:00"/>
    <s v="Processed"/>
    <s v="OK"/>
    <b v="0"/>
    <s v="Discount_Not_Applied"/>
    <n v="4799.3999999999996"/>
    <s v="Mismatch"/>
    <n v="1"/>
    <s v="OK"/>
    <n v="13"/>
    <s v="OK"/>
    <n v="29"/>
    <x v="1"/>
    <x v="4"/>
  </r>
  <r>
    <x v="140"/>
    <d v="2024-11-03T00:00:00"/>
    <s v="CUST_10139"/>
    <x v="0"/>
    <s v="ACC-KDN-OS"/>
    <s v="Accessories"/>
    <s v="Kundan Set"/>
    <n v="2499"/>
    <n v="1"/>
    <n v="2499"/>
    <s v="DIWALI40"/>
    <n v="40"/>
    <s v="Debit Card"/>
    <x v="1"/>
    <s v="Mysore"/>
    <s v="Karnataka"/>
    <s v="Bangalore"/>
    <d v="2024-11-14T00:00:00"/>
    <x v="0"/>
    <x v="1"/>
    <s v="Damaged in Transit"/>
    <d v="2024-12-12T00:00:00"/>
    <s v="Processed"/>
    <s v="OK"/>
    <b v="0"/>
    <s v="Discount_Not_Applied"/>
    <n v="1499.3999999999999"/>
    <s v="Mismatch"/>
    <n v="1"/>
    <s v="OK"/>
    <n v="11"/>
    <s v="OK"/>
    <n v="28"/>
    <x v="1"/>
    <x v="5"/>
  </r>
  <r>
    <x v="141"/>
    <d v="2024-11-03T00:00:00"/>
    <s v="CUST_10140"/>
    <x v="0"/>
    <s v="TOP-CHK-L"/>
    <s v="Tops"/>
    <s v="Chikankari Top"/>
    <n v="2299"/>
    <n v="1"/>
    <n v="2299"/>
    <s v="DIWALI40"/>
    <n v="40"/>
    <s v="UPI"/>
    <x v="2"/>
    <s v="Vadodara"/>
    <s v="Gujarat"/>
    <s v="Mumbai"/>
    <d v="2024-11-15T00:00:00"/>
    <x v="0"/>
    <x v="1"/>
    <s v="Size Issue"/>
    <d v="2024-12-13T00:00:00"/>
    <s v="Processed"/>
    <s v="OK"/>
    <b v="0"/>
    <s v="Discount_Not_Applied"/>
    <n v="1379.3999999999999"/>
    <s v="Mismatch"/>
    <n v="1"/>
    <s v="OK"/>
    <n v="12"/>
    <s v="OK"/>
    <n v="28"/>
    <x v="1"/>
    <x v="5"/>
  </r>
  <r>
    <x v="142"/>
    <d v="2024-11-03T00:00:00"/>
    <s v="CUST_10141"/>
    <x v="0"/>
    <s v="DRS-SHR-S"/>
    <s v="Dresses"/>
    <s v="Sharara Set"/>
    <n v="5999"/>
    <n v="1"/>
    <n v="5999"/>
    <s v="DIWALI40"/>
    <n v="40"/>
    <s v="Credit Card"/>
    <x v="0"/>
    <s v="Rajkot"/>
    <s v="Gujarat"/>
    <s v="Mumbai"/>
    <d v="2024-11-16T00:00:00"/>
    <x v="0"/>
    <x v="1"/>
    <s v="Wrong Item"/>
    <d v="2024-12-15T00:00:00"/>
    <s v="Processed"/>
    <s v="OK"/>
    <b v="0"/>
    <s v="Discount_Not_Applied"/>
    <n v="3599.4"/>
    <s v="Mismatch"/>
    <n v="1"/>
    <s v="OK"/>
    <n v="13"/>
    <s v="OK"/>
    <n v="29"/>
    <x v="1"/>
    <x v="5"/>
  </r>
  <r>
    <x v="143"/>
    <d v="2024-11-03T00:00:00"/>
    <s v="CUST_10142"/>
    <x v="1"/>
    <s v="BOT-GRR-M"/>
    <s v="Bottoms"/>
    <s v="Gharara Pants"/>
    <n v="2599"/>
    <n v="1"/>
    <n v="2599"/>
    <s v="DIWALI40"/>
    <n v="40"/>
    <s v="COD"/>
    <x v="1"/>
    <s v="Kanpur"/>
    <s v="Uttar Pradesh"/>
    <s v="Delhi"/>
    <d v="2024-11-15T00:00:00"/>
    <x v="0"/>
    <x v="0"/>
    <m/>
    <m/>
    <s v="Not Applicable"/>
    <s v="OK"/>
    <b v="0"/>
    <s v="Discount_Not_Applied"/>
    <n v="1559.3999999999999"/>
    <s v="Mismatch"/>
    <n v="1"/>
    <s v="OK"/>
    <n v="12"/>
    <s v="OK"/>
    <n v="0"/>
    <x v="1"/>
    <x v="5"/>
  </r>
  <r>
    <x v="144"/>
    <d v="2024-11-04T00:00:00"/>
    <s v="CUST_10143"/>
    <x v="0"/>
    <s v="OUT-PHU-L"/>
    <s v="Outerwear"/>
    <s v="Phulkari Jacket"/>
    <n v="4299"/>
    <n v="1"/>
    <n v="4299"/>
    <s v="DIWALI40"/>
    <n v="40"/>
    <s v="Credit Card"/>
    <x v="2"/>
    <s v="Mumbai"/>
    <s v="Maharashtra"/>
    <s v="Mumbai"/>
    <d v="2024-11-17T00:00:00"/>
    <x v="0"/>
    <x v="1"/>
    <s v="Quality Defect"/>
    <d v="2024-12-16T00:00:00"/>
    <s v="Processed"/>
    <s v="OK"/>
    <b v="0"/>
    <s v="Discount_Not_Applied"/>
    <n v="2579.4"/>
    <s v="Mismatch"/>
    <n v="1"/>
    <s v="OK"/>
    <n v="13"/>
    <s v="OK"/>
    <n v="29"/>
    <x v="1"/>
    <x v="5"/>
  </r>
  <r>
    <x v="145"/>
    <d v="2024-11-04T00:00:00"/>
    <s v="CUST_10144"/>
    <x v="0"/>
    <s v="ACC-MNP-OS"/>
    <s v="Accessories"/>
    <s v="Mang Patti"/>
    <n v="799"/>
    <n v="1"/>
    <n v="799"/>
    <s v="DIWALI40"/>
    <n v="40"/>
    <s v="UPI"/>
    <x v="0"/>
    <s v="Delhi"/>
    <s v="Delhi"/>
    <s v="Delhi"/>
    <d v="2024-11-16T00:00:00"/>
    <x v="0"/>
    <x v="0"/>
    <m/>
    <m/>
    <s v="Not Applicable"/>
    <s v="OK"/>
    <b v="0"/>
    <s v="Discount_Not_Applied"/>
    <n v="479.4"/>
    <s v="Mismatch"/>
    <n v="1"/>
    <s v="OK"/>
    <n v="12"/>
    <s v="OK"/>
    <n v="0"/>
    <x v="1"/>
    <x v="5"/>
  </r>
  <r>
    <x v="146"/>
    <d v="2024-11-04T00:00:00"/>
    <s v="CUST_10145"/>
    <x v="0"/>
    <s v="TOP-BND-S"/>
    <s v="Tops"/>
    <s v="Bandhej Top"/>
    <n v="1899"/>
    <n v="1"/>
    <n v="1899"/>
    <s v="DIWALI40"/>
    <n v="40"/>
    <s v="Wallet"/>
    <x v="1"/>
    <s v="Kolkata"/>
    <s v="West Bengal"/>
    <s v="Delhi"/>
    <d v="2024-11-17T00:00:00"/>
    <x v="0"/>
    <x v="1"/>
    <s v="Size Issue"/>
    <d v="2024-12-15T00:00:00"/>
    <s v="Processed"/>
    <s v="OK"/>
    <b v="0"/>
    <s v="Discount_Not_Applied"/>
    <n v="1139.3999999999999"/>
    <s v="Mismatch"/>
    <n v="1"/>
    <s v="OK"/>
    <n v="13"/>
    <s v="OK"/>
    <n v="28"/>
    <x v="1"/>
    <x v="5"/>
  </r>
  <r>
    <x v="147"/>
    <d v="2024-11-05T00:00:00"/>
    <s v="CUST_10146"/>
    <x v="0"/>
    <s v="DRS-LKH-M"/>
    <s v="Dresses"/>
    <s v="Lucknowi Dress"/>
    <n v="4899"/>
    <n v="1"/>
    <n v="4899"/>
    <s v="DIWALI40"/>
    <n v="40"/>
    <s v="Debit Card"/>
    <x v="2"/>
    <s v="Chennai"/>
    <s v="Tamil Nadu"/>
    <s v="Bangalore"/>
    <d v="2024-11-18T00:00:00"/>
    <x v="0"/>
    <x v="1"/>
    <s v="Changed Mind"/>
    <d v="2024-12-17T00:00:00"/>
    <s v="Processed"/>
    <s v="OK"/>
    <b v="0"/>
    <s v="Discount_Not_Applied"/>
    <n v="2939.4"/>
    <s v="Mismatch"/>
    <n v="1"/>
    <s v="OK"/>
    <n v="13"/>
    <s v="OK"/>
    <n v="29"/>
    <x v="1"/>
    <x v="5"/>
  </r>
  <r>
    <x v="148"/>
    <d v="2024-11-05T00:00:00"/>
    <s v="CUST_10147"/>
    <x v="1"/>
    <s v="BOT-PTL-L"/>
    <s v="Bottoms"/>
    <s v="Patiala Pants"/>
    <n v="1499"/>
    <n v="1"/>
    <n v="1499"/>
    <s v="DIWALI40"/>
    <n v="40"/>
    <s v="Credit Card"/>
    <x v="0"/>
    <s v="Hyderabad"/>
    <s v="Telangana"/>
    <s v="Bangalore"/>
    <d v="2024-11-17T00:00:00"/>
    <x v="0"/>
    <x v="0"/>
    <m/>
    <m/>
    <s v="Not Applicable"/>
    <s v="OK"/>
    <b v="0"/>
    <s v="Discount_Not_Applied"/>
    <n v="899.4"/>
    <s v="Mismatch"/>
    <n v="1"/>
    <s v="OK"/>
    <n v="12"/>
    <s v="OK"/>
    <n v="0"/>
    <x v="1"/>
    <x v="5"/>
  </r>
  <r>
    <x v="149"/>
    <d v="2024-11-05T00:00:00"/>
    <s v="CUST_10148"/>
    <x v="0"/>
    <s v="OUT-KTH-M"/>
    <s v="Outerwear"/>
    <s v="Katha Work Jacket"/>
    <n v="5699"/>
    <n v="1"/>
    <n v="5699"/>
    <s v="DIWALI40"/>
    <n v="40"/>
    <s v="UPI"/>
    <x v="1"/>
    <s v="Pune"/>
    <s v="Maharashtra"/>
    <s v="Mumbai"/>
    <d v="2024-11-19T00:00:00"/>
    <x v="0"/>
    <x v="1"/>
    <s v="Size Issue"/>
    <d v="2024-12-18T00:00:00"/>
    <s v="Processed"/>
    <s v="OK"/>
    <b v="0"/>
    <s v="Discount_Not_Applied"/>
    <n v="3419.4"/>
    <s v="Mismatch"/>
    <n v="1"/>
    <s v="OK"/>
    <n v="14"/>
    <s v="OK"/>
    <n v="29"/>
    <x v="1"/>
    <x v="5"/>
  </r>
  <r>
    <x v="150"/>
    <d v="2024-11-05T00:00:00"/>
    <s v="CUST_10149"/>
    <x v="0"/>
    <s v="ACC-BNG-OS"/>
    <s v="Accessories"/>
    <s v="Bangle Set"/>
    <n v="599"/>
    <n v="4"/>
    <n v="2396"/>
    <s v="DIWALI40"/>
    <n v="40"/>
    <s v="COD"/>
    <x v="2"/>
    <s v="Ahmedabad"/>
    <s v="Gujarat"/>
    <s v="Mumbai"/>
    <d v="2024-11-18T00:00:00"/>
    <x v="0"/>
    <x v="1"/>
    <s v="Damaged in Transit"/>
    <d v="2024-12-16T00:00:00"/>
    <s v="Processed"/>
    <s v="OK"/>
    <b v="0"/>
    <s v="Discount_Not_Applied"/>
    <n v="1437.6"/>
    <s v="Mismatch"/>
    <n v="1"/>
    <s v="OK"/>
    <n v="13"/>
    <s v="OK"/>
    <n v="28"/>
    <x v="1"/>
    <x v="5"/>
  </r>
  <r>
    <x v="151"/>
    <d v="2024-11-06T00:00:00"/>
    <s v="CUST_10150"/>
    <x v="0"/>
    <s v="TOP-KSH-L"/>
    <s v="Tops"/>
    <s v="Kashmiri Top"/>
    <n v="2999"/>
    <n v="1"/>
    <n v="2999"/>
    <m/>
    <n v="0"/>
    <s v="Credit Card"/>
    <x v="0"/>
    <s v="Jaipur"/>
    <s v="Rajasthan"/>
    <s v="Delhi"/>
    <d v="2024-11-19T00:00:00"/>
    <x v="0"/>
    <x v="0"/>
    <m/>
    <m/>
    <s v="Not Applicable"/>
    <s v="OK"/>
    <b v="0"/>
    <s v="No_Discount"/>
    <n v="2999"/>
    <s v="OK"/>
    <n v="1"/>
    <s v="OK"/>
    <n v="13"/>
    <s v="OK"/>
    <n v="0"/>
    <x v="1"/>
    <x v="5"/>
  </r>
  <r>
    <x v="152"/>
    <d v="2024-11-06T00:00:00"/>
    <s v="CUST_10151"/>
    <x v="0"/>
    <s v="DRS-IDR-S"/>
    <s v="Dresses"/>
    <s v="Ikat Dress"/>
    <n v="2799"/>
    <n v="1"/>
    <n v="2799"/>
    <m/>
    <n v="0"/>
    <s v="UPI"/>
    <x v="1"/>
    <s v="Lucknow"/>
    <s v="Uttar Pradesh"/>
    <s v="Delhi"/>
    <d v="2024-11-20T00:00:00"/>
    <x v="0"/>
    <x v="1"/>
    <s v="Quality Defect"/>
    <d v="2024-12-18T00:00:00"/>
    <s v="Processed"/>
    <s v="OK"/>
    <b v="0"/>
    <s v="No_Discount"/>
    <n v="2799"/>
    <s v="OK"/>
    <n v="1"/>
    <s v="OK"/>
    <n v="14"/>
    <s v="OK"/>
    <n v="28"/>
    <x v="1"/>
    <x v="5"/>
  </r>
  <r>
    <x v="153"/>
    <d v="2024-11-06T00:00:00"/>
    <s v="CUST_10152"/>
    <x v="1"/>
    <s v="BOT-KLN-M"/>
    <s v="Bottoms"/>
    <s v="Kalamkari Pants"/>
    <n v="1699"/>
    <n v="1"/>
    <n v="1699"/>
    <d v="2026-11-15T00:00:00"/>
    <n v="15"/>
    <s v="Debit Card"/>
    <x v="2"/>
    <s v="Bangalore"/>
    <s v="Karnataka"/>
    <s v="Bangalore"/>
    <d v="2024-11-18T00:00:00"/>
    <x v="0"/>
    <x v="0"/>
    <m/>
    <m/>
    <s v="Not Applicable"/>
    <s v="OK"/>
    <b v="0"/>
    <s v="Discount_Not_Applied"/>
    <n v="1444.1499999999999"/>
    <s v="Mismatch"/>
    <n v="1"/>
    <s v="OK"/>
    <n v="12"/>
    <s v="OK"/>
    <n v="0"/>
    <x v="1"/>
    <x v="5"/>
  </r>
  <r>
    <x v="154"/>
    <d v="2024-11-07T00:00:00"/>
    <s v="CUST_10153"/>
    <x v="0"/>
    <s v="OUT-JQD-L"/>
    <s v="Outerwear"/>
    <s v="Jacquard Jacket"/>
    <n v="4599"/>
    <n v="1"/>
    <n v="4599"/>
    <m/>
    <n v="0"/>
    <s v="Credit Card"/>
    <x v="0"/>
    <s v="Mumbai"/>
    <s v="Maharashtra"/>
    <s v="Mumbai"/>
    <d v="2024-11-21T00:00:00"/>
    <x v="0"/>
    <x v="1"/>
    <s v="Size Issue"/>
    <d v="2024-12-20T00:00:00"/>
    <s v="Processed"/>
    <s v="OK"/>
    <b v="0"/>
    <s v="No_Discount"/>
    <n v="4599"/>
    <s v="OK"/>
    <n v="1"/>
    <s v="OK"/>
    <n v="14"/>
    <s v="OK"/>
    <n v="29"/>
    <x v="1"/>
    <x v="5"/>
  </r>
  <r>
    <x v="155"/>
    <d v="2024-11-07T00:00:00"/>
    <s v="CUST_10154"/>
    <x v="0"/>
    <s v="ACC-CHN-OS"/>
    <s v="Accessories"/>
    <s v="Choker Necklace"/>
    <n v="899"/>
    <n v="1"/>
    <n v="899"/>
    <m/>
    <n v="0"/>
    <s v="COD"/>
    <x v="1"/>
    <s v="Delhi"/>
    <s v="Delhi"/>
    <s v="Delhi"/>
    <d v="2024-11-19T00:00:00"/>
    <x v="0"/>
    <x v="0"/>
    <m/>
    <m/>
    <s v="Not Applicable"/>
    <s v="OK"/>
    <b v="0"/>
    <s v="No_Discount"/>
    <n v="899"/>
    <s v="OK"/>
    <n v="1"/>
    <s v="OK"/>
    <n v="12"/>
    <s v="OK"/>
    <n v="0"/>
    <x v="1"/>
    <x v="5"/>
  </r>
  <r>
    <x v="156"/>
    <d v="2024-11-07T00:00:00"/>
    <s v="CUST_10155"/>
    <x v="0"/>
    <s v="TOP-AJR-M"/>
    <s v="Tops"/>
    <s v="Ajrakh Print Top"/>
    <n v="1799"/>
    <n v="1"/>
    <n v="1799"/>
    <d v="2026-11-15T00:00:00"/>
    <n v="15"/>
    <s v="UPI"/>
    <x v="2"/>
    <s v="Chandigarh"/>
    <s v="Punjab"/>
    <s v="Delhi"/>
    <d v="2024-11-20T00:00:00"/>
    <x v="0"/>
    <x v="1"/>
    <s v="Wrong Item"/>
    <d v="2024-12-19T00:00:00"/>
    <s v="Processed"/>
    <s v="OK"/>
    <b v="0"/>
    <s v="Discount_Not_Applied"/>
    <n v="1529.1499999999999"/>
    <s v="Mismatch"/>
    <n v="1"/>
    <s v="OK"/>
    <n v="13"/>
    <s v="OK"/>
    <n v="29"/>
    <x v="1"/>
    <x v="5"/>
  </r>
  <r>
    <x v="157"/>
    <d v="2024-11-08T00:00:00"/>
    <s v="CUST_10156"/>
    <x v="0"/>
    <s v="DRS-BLK-L"/>
    <s v="Dresses"/>
    <s v="Block Print Dress"/>
    <n v="2599"/>
    <n v="1"/>
    <n v="2599"/>
    <m/>
    <n v="0"/>
    <s v="Wallet"/>
    <x v="0"/>
    <s v="Noida"/>
    <s v="Uttar Pradesh"/>
    <s v="Delhi"/>
    <d v="2024-11-22T00:00:00"/>
    <x v="0"/>
    <x v="0"/>
    <m/>
    <m/>
    <s v="Not Applicable"/>
    <s v="OK"/>
    <b v="0"/>
    <s v="No_Discount"/>
    <n v="2599"/>
    <s v="OK"/>
    <n v="1"/>
    <s v="OK"/>
    <n v="14"/>
    <s v="OK"/>
    <n v="0"/>
    <x v="1"/>
    <x v="5"/>
  </r>
  <r>
    <x v="158"/>
    <d v="2024-11-08T00:00:00"/>
    <s v="CUST_10157"/>
    <x v="1"/>
    <s v="BOT-TIE-S"/>
    <s v="Bottoms"/>
    <s v="Tie Dye Pants"/>
    <n v="1599"/>
    <n v="1"/>
    <n v="1599"/>
    <m/>
    <n v="0"/>
    <s v="Credit Card"/>
    <x v="1"/>
    <s v="Gurgaon"/>
    <s v="Haryana"/>
    <s v="Delhi"/>
    <d v="2024-11-20T00:00:00"/>
    <x v="0"/>
    <x v="1"/>
    <s v="Changed Mind"/>
    <d v="2024-12-18T00:00:00"/>
    <s v="Processed"/>
    <s v="OK"/>
    <b v="0"/>
    <s v="No_Discount"/>
    <n v="1599"/>
    <s v="OK"/>
    <n v="1"/>
    <s v="OK"/>
    <n v="12"/>
    <s v="OK"/>
    <n v="28"/>
    <x v="1"/>
    <x v="5"/>
  </r>
  <r>
    <x v="159"/>
    <d v="2024-11-08T00:00:00"/>
    <s v="CUST_10158"/>
    <x v="0"/>
    <s v="OUT-EMB-M"/>
    <s v="Outerwear"/>
    <s v="Embellished Jacket"/>
    <n v="5299"/>
    <n v="1"/>
    <n v="5299"/>
    <d v="2026-11-15T00:00:00"/>
    <n v="15"/>
    <s v="Debit Card"/>
    <x v="2"/>
    <s v="Indore"/>
    <s v="Madhya Pradesh"/>
    <s v="Mumbai"/>
    <d v="2024-11-23T00:00:00"/>
    <x v="0"/>
    <x v="0"/>
    <m/>
    <m/>
    <s v="Not Applicable"/>
    <s v="OK"/>
    <b v="0"/>
    <s v="Discount_Not_Applied"/>
    <n v="4504.1499999999996"/>
    <s v="Mismatch"/>
    <n v="1"/>
    <s v="OK"/>
    <n v="15"/>
    <s v="OK"/>
    <n v="0"/>
    <x v="1"/>
    <x v="5"/>
  </r>
  <r>
    <x v="160"/>
    <d v="2024-11-09T00:00:00"/>
    <s v="CUST_10159"/>
    <x v="0"/>
    <s v="ACC-HRM-OS"/>
    <s v="Accessories"/>
    <s v="Hair Clip Set"/>
    <n v="499"/>
    <n v="3"/>
    <n v="1497"/>
    <m/>
    <n v="0"/>
    <s v="UPI"/>
    <x v="0"/>
    <s v="Surat"/>
    <s v="Gujarat"/>
    <s v="Mumbai"/>
    <d v="2024-11-21T00:00:00"/>
    <x v="0"/>
    <x v="1"/>
    <s v="Damaged in Transit"/>
    <d v="2024-12-19T00:00:00"/>
    <s v="Processed"/>
    <s v="OK"/>
    <b v="0"/>
    <s v="No_Discount"/>
    <n v="1497"/>
    <s v="OK"/>
    <n v="1"/>
    <s v="OK"/>
    <n v="12"/>
    <s v="OK"/>
    <n v="28"/>
    <x v="1"/>
    <x v="5"/>
  </r>
  <r>
    <x v="161"/>
    <d v="2024-11-09T00:00:00"/>
    <s v="CUST_10160"/>
    <x v="0"/>
    <s v="TOP-PRN-L"/>
    <s v="Tops"/>
    <s v="Printed Kurta"/>
    <n v="2099"/>
    <n v="1"/>
    <n v="2099"/>
    <m/>
    <n v="0"/>
    <s v="COD"/>
    <x v="1"/>
    <s v="Patna"/>
    <s v="Bihar"/>
    <s v="Delhi"/>
    <m/>
    <x v="2"/>
    <x v="0"/>
    <m/>
    <m/>
    <s v="Not Applicable"/>
    <s v="OK"/>
    <b v="0"/>
    <s v="No_Discount"/>
    <n v="2099"/>
    <s v="OK"/>
    <n v="1"/>
    <s v="OK"/>
    <n v="-45605"/>
    <s v="Invalid_delivery_time"/>
    <n v="0"/>
    <x v="1"/>
    <x v="5"/>
  </r>
  <r>
    <x v="162"/>
    <d v="2024-11-09T00:00:00"/>
    <s v="CUST_10161"/>
    <x v="0"/>
    <s v="DRS-FLR-S"/>
    <s v="Dresses"/>
    <s v="Floral Print Dress"/>
    <n v="2399"/>
    <n v="1"/>
    <n v="2399"/>
    <d v="2026-11-15T00:00:00"/>
    <n v="15"/>
    <s v="Credit Card"/>
    <x v="2"/>
    <s v="Bhopal"/>
    <s v="Madhya Pradesh"/>
    <s v="Mumbai"/>
    <d v="2024-11-24T00:00:00"/>
    <x v="0"/>
    <x v="1"/>
    <s v="Size Issue"/>
    <d v="2024-12-22T00:00:00"/>
    <s v="Processed"/>
    <s v="OK"/>
    <b v="0"/>
    <s v="Discount_Not_Applied"/>
    <n v="2039.1499999999999"/>
    <s v="Mismatch"/>
    <n v="1"/>
    <s v="OK"/>
    <n v="15"/>
    <s v="OK"/>
    <n v="28"/>
    <x v="1"/>
    <x v="5"/>
  </r>
  <r>
    <x v="163"/>
    <d v="2024-11-10T00:00:00"/>
    <s v="CUST_10162"/>
    <x v="1"/>
    <s v="BOT-DOT-M"/>
    <s v="Bottoms"/>
    <s v="Polka Dot Pants"/>
    <n v="1799"/>
    <n v="1"/>
    <n v="1799"/>
    <m/>
    <n v="0"/>
    <s v="Wallet"/>
    <x v="0"/>
    <s v="Nagpur"/>
    <s v="Maharashtra"/>
    <s v="Mumbai"/>
    <d v="2024-11-22T00:00:00"/>
    <x v="0"/>
    <x v="0"/>
    <m/>
    <m/>
    <s v="Not Applicable"/>
    <s v="OK"/>
    <b v="0"/>
    <s v="No_Discount"/>
    <n v="1799"/>
    <s v="OK"/>
    <n v="1"/>
    <s v="OK"/>
    <n v="12"/>
    <s v="OK"/>
    <n v="0"/>
    <x v="1"/>
    <x v="6"/>
  </r>
  <r>
    <x v="164"/>
    <d v="2024-11-10T00:00:00"/>
    <s v="CUST_10164"/>
    <x v="0"/>
    <s v="ACC-TBR-OS"/>
    <s v="Accessories"/>
    <s v="Tassel Earrings"/>
    <n v="699"/>
    <n v="2"/>
    <n v="1398"/>
    <m/>
    <n v="0"/>
    <s v="Debit Card"/>
    <x v="2"/>
    <s v="Kochi"/>
    <s v="Kerala"/>
    <s v="Bangalore"/>
    <d v="2024-11-23T00:00:00"/>
    <x v="0"/>
    <x v="0"/>
    <m/>
    <m/>
    <s v="Not Applicable"/>
    <s v="OK"/>
    <b v="0"/>
    <s v="No_Discount"/>
    <n v="1398"/>
    <s v="OK"/>
    <n v="1"/>
    <s v="OK"/>
    <n v="13"/>
    <s v="OK"/>
    <n v="0"/>
    <x v="1"/>
    <x v="6"/>
  </r>
  <r>
    <x v="165"/>
    <d v="2024-11-11T00:00:00"/>
    <s v="CUST_10165"/>
    <x v="0"/>
    <s v="TOP-SLV-S"/>
    <s v="Tops"/>
    <s v="Sleeve Detail Top"/>
    <n v="1599"/>
    <n v="1"/>
    <n v="1599"/>
    <d v="2026-11-15T00:00:00"/>
    <n v="15"/>
    <s v="Credit Card"/>
    <x v="0"/>
    <s v="Vizag"/>
    <s v="Andhra Pradesh"/>
    <s v="Bangalore"/>
    <d v="2024-11-24T00:00:00"/>
    <x v="0"/>
    <x v="1"/>
    <s v="Size Issue"/>
    <d v="2024-12-23T00:00:00"/>
    <s v="Processed"/>
    <s v="OK"/>
    <b v="0"/>
    <s v="Discount_Not_Applied"/>
    <n v="1359.1499999999999"/>
    <s v="Mismatch"/>
    <n v="1"/>
    <s v="OK"/>
    <n v="13"/>
    <s v="OK"/>
    <n v="29"/>
    <x v="1"/>
    <x v="6"/>
  </r>
  <r>
    <x v="166"/>
    <d v="2024-11-11T00:00:00"/>
    <s v="CUST_10166"/>
    <x v="0"/>
    <s v="DRS-ASY-M"/>
    <s v="Dresses"/>
    <s v="Asymmetric Dress"/>
    <n v="2899"/>
    <n v="1"/>
    <n v="2899"/>
    <m/>
    <n v="0"/>
    <s v="COD"/>
    <x v="1"/>
    <s v="Thiruvananthapuram"/>
    <s v="Kerala"/>
    <s v="Bangalore"/>
    <d v="2024-11-26T00:00:00"/>
    <x v="0"/>
    <x v="1"/>
    <s v="Wrong Item"/>
    <d v="2024-12-25T00:00:00"/>
    <s v="Processed"/>
    <s v="OK"/>
    <b v="0"/>
    <s v="No_Discount"/>
    <n v="2899"/>
    <s v="OK"/>
    <n v="1"/>
    <s v="OK"/>
    <n v="15"/>
    <s v="OK"/>
    <n v="29"/>
    <x v="1"/>
    <x v="6"/>
  </r>
  <r>
    <x v="167"/>
    <d v="2024-11-11T00:00:00"/>
    <s v="CUST_10167"/>
    <x v="1"/>
    <s v="BOT-FRN-L"/>
    <s v="Bottoms"/>
    <s v="Fringe Pants"/>
    <n v="2199"/>
    <n v="1"/>
    <n v="2199"/>
    <m/>
    <n v="0"/>
    <s v="UPI"/>
    <x v="2"/>
    <s v="Mysore"/>
    <s v="Karnataka"/>
    <s v="Bangalore"/>
    <d v="2024-11-24T00:00:00"/>
    <x v="0"/>
    <x v="0"/>
    <m/>
    <m/>
    <s v="Not Applicable"/>
    <s v="OK"/>
    <b v="0"/>
    <s v="No_Discount"/>
    <n v="2199"/>
    <s v="OK"/>
    <n v="1"/>
    <s v="OK"/>
    <n v="13"/>
    <s v="OK"/>
    <n v="0"/>
    <x v="1"/>
    <x v="6"/>
  </r>
  <r>
    <x v="168"/>
    <d v="2024-11-12T00:00:00"/>
    <s v="CUST_10168"/>
    <x v="0"/>
    <s v="OUT-TWD-M"/>
    <s v="Outerwear"/>
    <s v="Tweed Jacket"/>
    <n v="5599"/>
    <n v="1"/>
    <n v="5599"/>
    <m/>
    <n v="0"/>
    <s v="Credit Card"/>
    <x v="0"/>
    <s v="Vadodara"/>
    <s v="Gujarat"/>
    <s v="Mumbai"/>
    <d v="2024-11-27T00:00:00"/>
    <x v="0"/>
    <x v="1"/>
    <s v="Changed Mind"/>
    <d v="2024-12-26T00:00:00"/>
    <s v="Processed"/>
    <s v="OK"/>
    <b v="0"/>
    <s v="No_Discount"/>
    <n v="5599"/>
    <s v="OK"/>
    <n v="1"/>
    <s v="OK"/>
    <n v="15"/>
    <s v="OK"/>
    <n v="29"/>
    <x v="1"/>
    <x v="6"/>
  </r>
  <r>
    <x v="169"/>
    <d v="2024-11-12T00:00:00"/>
    <s v="CUST_10169"/>
    <x v="0"/>
    <s v="ACC-PIN-OS"/>
    <s v="Accessories"/>
    <s v="Brooch Pin"/>
    <n v="399"/>
    <n v="2"/>
    <n v="798"/>
    <d v="2026-11-15T00:00:00"/>
    <n v="15"/>
    <s v="Wallet"/>
    <x v="1"/>
    <s v="Rajkot"/>
    <s v="Gujarat"/>
    <s v="Mumbai"/>
    <d v="2024-11-25T00:00:00"/>
    <x v="0"/>
    <x v="0"/>
    <m/>
    <m/>
    <s v="Not Applicable"/>
    <s v="OK"/>
    <b v="0"/>
    <s v="Discount_Not_Applied"/>
    <n v="678.3"/>
    <s v="Mismatch"/>
    <n v="1"/>
    <s v="OK"/>
    <n v="13"/>
    <s v="OK"/>
    <n v="0"/>
    <x v="1"/>
    <x v="6"/>
  </r>
  <r>
    <x v="170"/>
    <d v="2024-11-12T00:00:00"/>
    <s v="CUST_10170"/>
    <x v="0"/>
    <s v="TOP-MCR-M"/>
    <s v="Tops"/>
    <s v="Macrame Top"/>
    <n v="1899"/>
    <n v="1"/>
    <n v="1899"/>
    <m/>
    <n v="0"/>
    <s v="Debit Card"/>
    <x v="2"/>
    <s v="Kanpur"/>
    <s v="Uttar Pradesh"/>
    <s v="Delhi"/>
    <d v="2024-11-26T00:00:00"/>
    <x v="0"/>
    <x v="1"/>
    <s v="Quality Defect"/>
    <d v="2024-12-24T00:00:00"/>
    <s v="Processed"/>
    <s v="OK"/>
    <b v="0"/>
    <s v="No_Discount"/>
    <n v="1899"/>
    <s v="OK"/>
    <n v="1"/>
    <s v="OK"/>
    <n v="14"/>
    <s v="OK"/>
    <n v="28"/>
    <x v="1"/>
    <x v="6"/>
  </r>
  <r>
    <x v="171"/>
    <d v="2024-11-13T00:00:00"/>
    <s v="CUST_10171"/>
    <x v="0"/>
    <s v="DRS-PLT-S"/>
    <s v="Dresses"/>
    <s v="Pleated Midi Dress"/>
    <n v="2699"/>
    <n v="1"/>
    <n v="2699"/>
    <m/>
    <n v="0"/>
    <s v="UPI"/>
    <x v="0"/>
    <s v="Mumbai"/>
    <s v="Maharashtra"/>
    <s v="Mumbai"/>
    <d v="2024-11-28T00:00:00"/>
    <x v="0"/>
    <x v="0"/>
    <m/>
    <m/>
    <s v="Not Applicable"/>
    <s v="OK"/>
    <b v="0"/>
    <s v="No_Discount"/>
    <n v="2699"/>
    <s v="OK"/>
    <n v="1"/>
    <s v="OK"/>
    <n v="15"/>
    <s v="OK"/>
    <n v="0"/>
    <x v="1"/>
    <x v="6"/>
  </r>
  <r>
    <x v="172"/>
    <d v="2024-11-13T00:00:00"/>
    <s v="CUST_10172"/>
    <x v="1"/>
    <s v="BOT-VLT-L"/>
    <s v="Bottoms"/>
    <s v="Velvet Pants"/>
    <n v="2499"/>
    <n v="1"/>
    <n v="2499"/>
    <d v="2026-11-15T00:00:00"/>
    <n v="15"/>
    <s v="Credit Card"/>
    <x v="1"/>
    <s v="Delhi"/>
    <s v="Delhi"/>
    <s v="Delhi"/>
    <d v="2024-11-26T00:00:00"/>
    <x v="0"/>
    <x v="1"/>
    <s v="Size Issue"/>
    <d v="2024-12-25T00:00:00"/>
    <s v="Processed"/>
    <s v="OK"/>
    <b v="0"/>
    <s v="Discount_Not_Applied"/>
    <n v="2124.15"/>
    <s v="Mismatch"/>
    <n v="1"/>
    <s v="OK"/>
    <n v="13"/>
    <s v="OK"/>
    <n v="29"/>
    <x v="1"/>
    <x v="6"/>
  </r>
  <r>
    <x v="173"/>
    <d v="2024-11-13T00:00:00"/>
    <s v="CUST_10173"/>
    <x v="0"/>
    <s v="OUT-CHK-M"/>
    <s v="Outerwear"/>
    <s v="Check Coat"/>
    <n v="6299"/>
    <n v="1"/>
    <n v="6299"/>
    <m/>
    <n v="0"/>
    <s v="COD"/>
    <x v="2"/>
    <s v="Kolkata"/>
    <s v="West Bengal"/>
    <s v="Delhi"/>
    <m/>
    <x v="2"/>
    <x v="0"/>
    <m/>
    <m/>
    <s v="Not Applicable"/>
    <s v="OK"/>
    <b v="0"/>
    <s v="No_Discount"/>
    <n v="6299"/>
    <s v="OK"/>
    <n v="1"/>
    <s v="OK"/>
    <n v="-45609"/>
    <s v="Invalid_delivery_time"/>
    <n v="0"/>
    <x v="1"/>
    <x v="6"/>
  </r>
  <r>
    <x v="174"/>
    <d v="2024-11-14T00:00:00"/>
    <s v="CUST_10174"/>
    <x v="0"/>
    <s v="ACC-WVN-OS"/>
    <s v="Accessories"/>
    <s v="Woven Bag"/>
    <n v="1599"/>
    <n v="1"/>
    <n v="1599"/>
    <m/>
    <n v="0"/>
    <s v="Wallet"/>
    <x v="0"/>
    <s v="Chennai"/>
    <s v="Tamil Nadu"/>
    <s v="Bangalore"/>
    <d v="2024-11-27T00:00:00"/>
    <x v="0"/>
    <x v="1"/>
    <s v="Damaged in Transit"/>
    <d v="2024-12-26T00:00:00"/>
    <s v="Processed"/>
    <s v="OK"/>
    <b v="0"/>
    <s v="No_Discount"/>
    <n v="1599"/>
    <s v="OK"/>
    <n v="1"/>
    <s v="OK"/>
    <n v="13"/>
    <s v="OK"/>
    <n v="29"/>
    <x v="1"/>
    <x v="6"/>
  </r>
  <r>
    <x v="175"/>
    <d v="2024-11-14T00:00:00"/>
    <s v="CUST_10175"/>
    <x v="0"/>
    <s v="TOP-BLN-L"/>
    <s v="Tops"/>
    <s v="Balloon Sleeve Top"/>
    <n v="1699"/>
    <n v="1"/>
    <n v="1699"/>
    <m/>
    <n v="0"/>
    <s v="UPI"/>
    <x v="1"/>
    <s v="Hyderabad"/>
    <s v="Telangana"/>
    <s v="Bangalore"/>
    <d v="2024-11-28T00:00:00"/>
    <x v="0"/>
    <x v="0"/>
    <m/>
    <m/>
    <s v="Not Applicable"/>
    <s v="OK"/>
    <b v="0"/>
    <s v="No_Discount"/>
    <n v="1699"/>
    <s v="OK"/>
    <n v="1"/>
    <s v="OK"/>
    <n v="14"/>
    <s v="OK"/>
    <n v="0"/>
    <x v="1"/>
    <x v="6"/>
  </r>
  <r>
    <x v="176"/>
    <d v="2024-11-14T00:00:00"/>
    <s v="CUST_10176"/>
    <x v="0"/>
    <s v="DRS-CRO-S"/>
    <s v="Dresses"/>
    <s v="Crochet Dress"/>
    <n v="3199"/>
    <n v="1"/>
    <n v="3199"/>
    <d v="2026-11-15T00:00:00"/>
    <n v="15"/>
    <s v="Debit Card"/>
    <x v="2"/>
    <s v="Pune"/>
    <s v="Maharashtra"/>
    <s v="Mumbai"/>
    <d v="2024-11-29T00:00:00"/>
    <x v="0"/>
    <x v="1"/>
    <s v="Size Issue"/>
    <d v="2024-12-28T00:00:00"/>
    <s v="Processed"/>
    <s v="OK"/>
    <b v="0"/>
    <s v="Discount_Not_Applied"/>
    <n v="2719.15"/>
    <s v="Mismatch"/>
    <n v="1"/>
    <s v="OK"/>
    <n v="15"/>
    <s v="OK"/>
    <n v="29"/>
    <x v="1"/>
    <x v="6"/>
  </r>
  <r>
    <x v="177"/>
    <d v="2024-11-15T00:00:00"/>
    <s v="CUST_10177"/>
    <x v="1"/>
    <s v="BOT-PTW-M"/>
    <s v="Bottoms"/>
    <s v="Patchwork Pants"/>
    <n v="2099"/>
    <n v="1"/>
    <n v="2099"/>
    <m/>
    <n v="0"/>
    <s v="Credit Card"/>
    <x v="0"/>
    <s v="Ahmedabad"/>
    <s v="Gujarat"/>
    <s v="Mumbai"/>
    <d v="2024-11-28T00:00:00"/>
    <x v="0"/>
    <x v="0"/>
    <m/>
    <m/>
    <s v="Not Applicable"/>
    <s v="OK"/>
    <b v="0"/>
    <s v="No_Discount"/>
    <n v="2099"/>
    <s v="OK"/>
    <n v="1"/>
    <s v="OK"/>
    <n v="13"/>
    <s v="OK"/>
    <n v="0"/>
    <x v="1"/>
    <x v="6"/>
  </r>
  <r>
    <x v="178"/>
    <d v="2024-11-15T00:00:00"/>
    <s v="CUST_10178"/>
    <x v="0"/>
    <s v="OUT-HRN-L"/>
    <s v="Outerwear"/>
    <s v="Herringbone Coat"/>
    <n v="6999"/>
    <n v="1"/>
    <n v="6999"/>
    <m/>
    <n v="0"/>
    <s v="UPI"/>
    <x v="1"/>
    <s v="Jaipur"/>
    <s v="Rajasthan"/>
    <s v="Delhi"/>
    <d v="2024-11-30T00:00:00"/>
    <x v="0"/>
    <x v="1"/>
    <s v="Wrong Item"/>
    <d v="2024-12-29T00:00:00"/>
    <s v="Processed"/>
    <s v="OK"/>
    <b v="0"/>
    <s v="No_Discount"/>
    <n v="6999"/>
    <s v="OK"/>
    <n v="1"/>
    <s v="OK"/>
    <n v="15"/>
    <s v="OK"/>
    <n v="29"/>
    <x v="1"/>
    <x v="6"/>
  </r>
  <r>
    <x v="179"/>
    <d v="2024-11-15T00:00:00"/>
    <s v="CUST_10179"/>
    <x v="0"/>
    <s v="ACC-MTL-OS"/>
    <s v="Accessories"/>
    <s v="Metal Belt"/>
    <n v="899"/>
    <n v="1"/>
    <n v="899"/>
    <m/>
    <n v="0"/>
    <s v="COD"/>
    <x v="2"/>
    <s v="Lucknow"/>
    <s v="Uttar Pradesh"/>
    <s v="Delhi"/>
    <d v="2024-11-28T00:00:00"/>
    <x v="0"/>
    <x v="1"/>
    <s v="Changed Mind"/>
    <d v="2024-12-27T00:00:00"/>
    <s v="Processed"/>
    <s v="OK"/>
    <b v="0"/>
    <s v="No_Discount"/>
    <n v="899"/>
    <s v="OK"/>
    <n v="1"/>
    <s v="OK"/>
    <n v="13"/>
    <s v="OK"/>
    <n v="29"/>
    <x v="1"/>
    <x v="6"/>
  </r>
  <r>
    <x v="180"/>
    <d v="2024-11-16T00:00:00"/>
    <s v="CUST_10180"/>
    <x v="0"/>
    <s v="TOP-RCH-S"/>
    <s v="Tops"/>
    <s v="Rouched Top"/>
    <n v="1499"/>
    <n v="1"/>
    <n v="1499"/>
    <d v="2026-11-15T00:00:00"/>
    <n v="15"/>
    <s v="Wallet"/>
    <x v="0"/>
    <s v="Bangalore"/>
    <s v="Karnataka"/>
    <s v="Bangalore"/>
    <d v="2024-11-29T00:00:00"/>
    <x v="0"/>
    <x v="0"/>
    <m/>
    <m/>
    <s v="Not Applicable"/>
    <s v="OK"/>
    <b v="0"/>
    <s v="Discount_Not_Applied"/>
    <n v="1274.1499999999999"/>
    <s v="Mismatch"/>
    <n v="1"/>
    <s v="OK"/>
    <n v="13"/>
    <s v="OK"/>
    <n v="0"/>
    <x v="1"/>
    <x v="6"/>
  </r>
  <r>
    <x v="181"/>
    <d v="2024-11-16T00:00:00"/>
    <s v="CUST_10181"/>
    <x v="0"/>
    <s v="DRS-TRF-M"/>
    <s v="Dresses"/>
    <s v="Tiered Ruffle Dress"/>
    <n v="2999"/>
    <n v="1"/>
    <n v="2999"/>
    <m/>
    <n v="0"/>
    <s v="Debit Card"/>
    <x v="1"/>
    <s v="Mumbai"/>
    <s v="Maharashtra"/>
    <s v="Mumbai"/>
    <d v="2024-12-01T00:00:00"/>
    <x v="0"/>
    <x v="1"/>
    <s v="Quality Defect"/>
    <d v="2024-12-30T00:00:00"/>
    <s v="Processed"/>
    <s v="OK"/>
    <b v="0"/>
    <s v="No_Discount"/>
    <n v="2999"/>
    <s v="OK"/>
    <n v="1"/>
    <s v="OK"/>
    <n v="15"/>
    <s v="OK"/>
    <n v="29"/>
    <x v="1"/>
    <x v="6"/>
  </r>
  <r>
    <x v="182"/>
    <d v="2024-11-16T00:00:00"/>
    <s v="CUST_10182"/>
    <x v="1"/>
    <s v="BOT-BND-L"/>
    <s v="Bottoms"/>
    <s v="Banded Pants"/>
    <n v="1899"/>
    <n v="1"/>
    <n v="1899"/>
    <m/>
    <n v="0"/>
    <s v="Credit Card"/>
    <x v="2"/>
    <s v="Delhi"/>
    <s v="Delhi"/>
    <s v="Delhi"/>
    <d v="2024-11-29T00:00:00"/>
    <x v="0"/>
    <x v="0"/>
    <m/>
    <m/>
    <s v="Not Applicable"/>
    <s v="OK"/>
    <b v="0"/>
    <s v="No_Discount"/>
    <n v="1899"/>
    <s v="OK"/>
    <n v="1"/>
    <s v="OK"/>
    <n v="13"/>
    <s v="OK"/>
    <n v="0"/>
    <x v="1"/>
    <x v="6"/>
  </r>
  <r>
    <x v="183"/>
    <d v="2024-11-17T00:00:00"/>
    <s v="CUST_10183"/>
    <x v="0"/>
    <s v="OUT-CML-M"/>
    <s v="Outerwear"/>
    <s v="Camel Coat"/>
    <n v="7499"/>
    <n v="1"/>
    <n v="7499"/>
    <m/>
    <n v="0"/>
    <s v="UPI"/>
    <x v="0"/>
    <s v="Chandigarh"/>
    <s v="Punjab"/>
    <s v="Delhi"/>
    <d v="2024-12-02T00:00:00"/>
    <x v="0"/>
    <x v="1"/>
    <s v="Size Issue"/>
    <d v="2024-12-31T00:00:00"/>
    <s v="Processed"/>
    <s v="OK"/>
    <b v="0"/>
    <s v="No_Discount"/>
    <n v="7499"/>
    <s v="OK"/>
    <n v="1"/>
    <s v="OK"/>
    <n v="15"/>
    <s v="OK"/>
    <n v="29"/>
    <x v="1"/>
    <x v="7"/>
  </r>
  <r>
    <x v="184"/>
    <d v="2024-11-17T00:00:00"/>
    <s v="CUST_10184"/>
    <x v="0"/>
    <s v="ACC-STN-OS"/>
    <s v="Accessories"/>
    <s v="Stone Necklace"/>
    <n v="1299"/>
    <n v="1"/>
    <n v="1299"/>
    <d v="2026-11-15T00:00:00"/>
    <n v="15"/>
    <s v="COD"/>
    <x v="1"/>
    <s v="Noida"/>
    <s v="Uttar Pradesh"/>
    <s v="Delhi"/>
    <d v="2024-11-30T00:00:00"/>
    <x v="0"/>
    <x v="0"/>
    <m/>
    <m/>
    <s v="Not Applicable"/>
    <s v="OK"/>
    <b v="0"/>
    <s v="Discount_Not_Applied"/>
    <n v="1104.1499999999999"/>
    <s v="Mismatch"/>
    <n v="1"/>
    <s v="OK"/>
    <n v="13"/>
    <s v="OK"/>
    <n v="0"/>
    <x v="1"/>
    <x v="7"/>
  </r>
  <r>
    <x v="185"/>
    <d v="2024-11-17T00:00:00"/>
    <s v="CUST_10185"/>
    <x v="0"/>
    <s v="TOP-KNT-M"/>
    <s v="Tops"/>
    <s v="Knotted Top"/>
    <n v="1599"/>
    <n v="1"/>
    <n v="1599"/>
    <m/>
    <n v="0"/>
    <s v="Credit Card"/>
    <x v="2"/>
    <s v="Gurgaon"/>
    <s v="Haryana"/>
    <s v="Delhi"/>
    <d v="2024-12-01T00:00:00"/>
    <x v="0"/>
    <x v="1"/>
    <s v="Damaged in Transit"/>
    <d v="2024-12-29T00:00:00"/>
    <s v="Processed"/>
    <s v="OK"/>
    <b v="0"/>
    <s v="No_Discount"/>
    <n v="1599"/>
    <s v="OK"/>
    <n v="1"/>
    <s v="OK"/>
    <n v="14"/>
    <s v="OK"/>
    <n v="28"/>
    <x v="1"/>
    <x v="7"/>
  </r>
  <r>
    <x v="186"/>
    <d v="2024-11-18T00:00:00"/>
    <s v="CUST_10186"/>
    <x v="0"/>
    <s v="DRS-SQN-L"/>
    <s v="Dresses"/>
    <s v="Sequin Midi Dress"/>
    <n v="3799"/>
    <n v="1"/>
    <n v="3799"/>
    <m/>
    <n v="0"/>
    <s v="Wallet"/>
    <x v="0"/>
    <s v="Indore"/>
    <s v="Madhya Pradesh"/>
    <s v="Mumbai"/>
    <d v="2024-12-03T00:00:00"/>
    <x v="0"/>
    <x v="0"/>
    <m/>
    <m/>
    <s v="Not Applicable"/>
    <s v="OK"/>
    <b v="0"/>
    <s v="No_Discount"/>
    <n v="3799"/>
    <s v="OK"/>
    <n v="1"/>
    <s v="OK"/>
    <n v="15"/>
    <s v="OK"/>
    <n v="0"/>
    <x v="1"/>
    <x v="7"/>
  </r>
  <r>
    <x v="187"/>
    <d v="2024-11-18T00:00:00"/>
    <s v="CUST_10187"/>
    <x v="1"/>
    <s v="BOT-GLT-S"/>
    <s v="Bottoms"/>
    <s v="Glitter Pants"/>
    <n v="2299"/>
    <n v="1"/>
    <n v="2299"/>
    <m/>
    <n v="0"/>
    <s v="UPI"/>
    <x v="1"/>
    <s v="Surat"/>
    <s v="Gujarat"/>
    <s v="Mumbai"/>
    <d v="2024-12-01T00:00:00"/>
    <x v="0"/>
    <x v="1"/>
    <s v="Size Issue"/>
    <d v="2024-12-30T00:00:00"/>
    <s v="Processed"/>
    <s v="OK"/>
    <b v="0"/>
    <s v="No_Discount"/>
    <n v="2299"/>
    <s v="OK"/>
    <n v="1"/>
    <s v="OK"/>
    <n v="13"/>
    <s v="OK"/>
    <n v="29"/>
    <x v="1"/>
    <x v="7"/>
  </r>
  <r>
    <x v="188"/>
    <d v="2024-11-18T00:00:00"/>
    <s v="CUST_10188"/>
    <x v="0"/>
    <s v="OUT-FXF-M"/>
    <s v="Outerwear"/>
    <s v="Faux Fur Jacket"/>
    <n v="5999"/>
    <n v="1"/>
    <n v="5999"/>
    <d v="2026-11-15T00:00:00"/>
    <n v="15"/>
    <s v="Debit Card"/>
    <x v="2"/>
    <s v="Patna"/>
    <s v="Bihar"/>
    <s v="Delhi"/>
    <d v="2024-12-04T00:00:00"/>
    <x v="0"/>
    <x v="1"/>
    <s v="Wrong Item"/>
    <d v="2025-01-02T00:00:00"/>
    <s v="Processed"/>
    <s v="OK"/>
    <b v="0"/>
    <s v="Discount_Not_Applied"/>
    <n v="5099.1499999999996"/>
    <s v="Mismatch"/>
    <n v="1"/>
    <s v="OK"/>
    <n v="16"/>
    <s v="OK"/>
    <n v="29"/>
    <x v="1"/>
    <x v="7"/>
  </r>
  <r>
    <x v="189"/>
    <d v="2024-11-19T00:00:00"/>
    <s v="CUST_10189"/>
    <x v="0"/>
    <s v="ACC-CHM-OS"/>
    <s v="Accessories"/>
    <s v="Charm Anklet"/>
    <n v="499"/>
    <n v="2"/>
    <n v="998"/>
    <m/>
    <n v="0"/>
    <s v="Credit Card"/>
    <x v="0"/>
    <s v="Bhopal"/>
    <s v="Madhya Pradesh"/>
    <s v="Mumbai"/>
    <d v="2024-12-02T00:00:00"/>
    <x v="0"/>
    <x v="0"/>
    <m/>
    <m/>
    <s v="Not Applicable"/>
    <s v="OK"/>
    <b v="0"/>
    <s v="No_Discount"/>
    <n v="998"/>
    <s v="OK"/>
    <n v="1"/>
    <s v="OK"/>
    <n v="13"/>
    <s v="OK"/>
    <n v="0"/>
    <x v="1"/>
    <x v="7"/>
  </r>
  <r>
    <x v="190"/>
    <d v="2024-11-19T00:00:00"/>
    <s v="CUST_10190"/>
    <x v="0"/>
    <s v="TOP-TXD-L"/>
    <s v="Tops"/>
    <s v="Textured Top"/>
    <n v="1799"/>
    <n v="1"/>
    <n v="1799"/>
    <m/>
    <n v="0"/>
    <s v="COD"/>
    <x v="1"/>
    <s v="Nagpur"/>
    <s v="Maharashtra"/>
    <s v="Mumbai"/>
    <m/>
    <x v="2"/>
    <x v="0"/>
    <m/>
    <m/>
    <s v="Not Applicable"/>
    <s v="OK"/>
    <b v="0"/>
    <s v="No_Discount"/>
    <n v="1799"/>
    <s v="OK"/>
    <n v="1"/>
    <s v="OK"/>
    <n v="-45615"/>
    <s v="Invalid_delivery_time"/>
    <n v="0"/>
    <x v="1"/>
    <x v="7"/>
  </r>
  <r>
    <x v="191"/>
    <d v="2024-11-19T00:00:00"/>
    <s v="CUST_10191"/>
    <x v="0"/>
    <s v="DRS-VLR-S"/>
    <s v="Dresses"/>
    <s v="Velour Dress"/>
    <n v="2999"/>
    <n v="1"/>
    <n v="2999"/>
    <m/>
    <n v="0"/>
    <s v="UPI"/>
    <x v="2"/>
    <s v="Coimbatore"/>
    <s v="Tamil Nadu"/>
    <s v="Bangalore"/>
    <d v="2024-12-05T00:00:00"/>
    <x v="0"/>
    <x v="1"/>
    <s v="Changed Mind"/>
    <d v="2025-01-03T00:00:00"/>
    <s v="Processed"/>
    <s v="OK"/>
    <b v="0"/>
    <s v="No_Discount"/>
    <n v="2999"/>
    <s v="OK"/>
    <n v="1"/>
    <s v="OK"/>
    <n v="16"/>
    <s v="OK"/>
    <n v="29"/>
    <x v="1"/>
    <x v="7"/>
  </r>
  <r>
    <x v="192"/>
    <d v="2024-11-20T00:00:00"/>
    <s v="CUST_10192"/>
    <x v="1"/>
    <s v="BOT-STN-M"/>
    <s v="Bottoms"/>
    <s v="Satin Pants"/>
    <n v="2199"/>
    <n v="1"/>
    <n v="2199"/>
    <d v="2026-11-15T00:00:00"/>
    <n v="15"/>
    <s v="Wallet"/>
    <x v="0"/>
    <s v="Kochi"/>
    <s v="Kerala"/>
    <s v="Bangalore"/>
    <d v="2024-12-03T00:00:00"/>
    <x v="0"/>
    <x v="0"/>
    <m/>
    <m/>
    <s v="Not Applicable"/>
    <s v="OK"/>
    <b v="0"/>
    <s v="Discount_Not_Applied"/>
    <n v="1869.1499999999999"/>
    <s v="Mismatch"/>
    <n v="1"/>
    <s v="OK"/>
    <n v="13"/>
    <s v="OK"/>
    <n v="0"/>
    <x v="1"/>
    <x v="7"/>
  </r>
  <r>
    <x v="193"/>
    <d v="2024-11-20T00:00:00"/>
    <s v="CUST_10193"/>
    <x v="0"/>
    <s v="OUT-SHN-L"/>
    <s v="Outerwear"/>
    <s v="Shiny Jacket"/>
    <n v="4899"/>
    <n v="1"/>
    <n v="4899"/>
    <m/>
    <n v="0"/>
    <s v="Debit Card"/>
    <x v="1"/>
    <s v="Vizag"/>
    <s v="Andhra Pradesh"/>
    <s v="Bangalore"/>
    <d v="2024-12-06T00:00:00"/>
    <x v="0"/>
    <x v="1"/>
    <s v="Quality Defect"/>
    <d v="2025-01-04T00:00:00"/>
    <s v="Processed"/>
    <s v="OK"/>
    <b v="0"/>
    <s v="No_Discount"/>
    <n v="4899"/>
    <s v="OK"/>
    <n v="1"/>
    <s v="OK"/>
    <n v="16"/>
    <s v="OK"/>
    <n v="29"/>
    <x v="1"/>
    <x v="7"/>
  </r>
  <r>
    <x v="194"/>
    <d v="2024-11-20T00:00:00"/>
    <s v="CUST_10194"/>
    <x v="0"/>
    <s v="ACC-PRL-OS"/>
    <s v="Accessories"/>
    <s v="Pearl Earrings"/>
    <n v="799"/>
    <n v="1"/>
    <n v="799"/>
    <m/>
    <n v="0"/>
    <s v="Credit Card"/>
    <x v="2"/>
    <s v="Thiruvananthapuram"/>
    <s v="Kerala"/>
    <s v="Bangalore"/>
    <d v="2024-12-04T00:00:00"/>
    <x v="0"/>
    <x v="0"/>
    <m/>
    <m/>
    <s v="Not Applicable"/>
    <s v="OK"/>
    <b v="0"/>
    <s v="No_Discount"/>
    <n v="799"/>
    <s v="OK"/>
    <n v="1"/>
    <s v="OK"/>
    <n v="14"/>
    <s v="OK"/>
    <n v="0"/>
    <x v="1"/>
    <x v="7"/>
  </r>
  <r>
    <x v="195"/>
    <d v="2024-11-21T00:00:00"/>
    <s v="CUST_10195"/>
    <x v="0"/>
    <s v="TOP-MTL-S"/>
    <s v="Tops"/>
    <s v="Metallic Top"/>
    <n v="1999"/>
    <n v="1"/>
    <n v="1999"/>
    <m/>
    <n v="0"/>
    <s v="UPI"/>
    <x v="0"/>
    <s v="Mysore"/>
    <s v="Karnataka"/>
    <s v="Bangalore"/>
    <d v="2024-12-05T00:00:00"/>
    <x v="0"/>
    <x v="1"/>
    <s v="Size Issue"/>
    <d v="2025-01-03T00:00:00"/>
    <s v="Processed"/>
    <s v="OK"/>
    <b v="0"/>
    <s v="No_Discount"/>
    <n v="1999"/>
    <s v="OK"/>
    <n v="1"/>
    <s v="OK"/>
    <n v="14"/>
    <s v="OK"/>
    <n v="29"/>
    <x v="1"/>
    <x v="7"/>
  </r>
  <r>
    <x v="196"/>
    <d v="2024-11-21T00:00:00"/>
    <s v="CUST_10196"/>
    <x v="0"/>
    <s v="DRS-GLM-M"/>
    <s v="Dresses"/>
    <s v="Glamour Dress"/>
    <n v="3499"/>
    <n v="1"/>
    <n v="3499"/>
    <d v="2026-11-15T00:00:00"/>
    <n v="15"/>
    <s v="COD"/>
    <x v="1"/>
    <s v="Vadodara"/>
    <s v="Gujarat"/>
    <s v="Mumbai"/>
    <d v="2024-12-07T00:00:00"/>
    <x v="0"/>
    <x v="1"/>
    <s v="Wrong Item"/>
    <d v="2025-01-05T00:00:00"/>
    <s v="Processed"/>
    <s v="OK"/>
    <b v="0"/>
    <s v="Discount_Not_Applied"/>
    <n v="2974.15"/>
    <s v="Mismatch"/>
    <n v="1"/>
    <s v="OK"/>
    <n v="16"/>
    <s v="OK"/>
    <n v="29"/>
    <x v="1"/>
    <x v="7"/>
  </r>
  <r>
    <x v="197"/>
    <d v="2024-11-21T00:00:00"/>
    <s v="CUST_10197"/>
    <x v="1"/>
    <s v="BOT-LME-L"/>
    <s v="Bottoms"/>
    <s v="Lame Pants"/>
    <n v="2599"/>
    <n v="1"/>
    <n v="2599"/>
    <m/>
    <n v="0"/>
    <s v="Credit Card"/>
    <x v="2"/>
    <s v="Rajkot"/>
    <s v="Gujarat"/>
    <s v="Mumbai"/>
    <d v="2024-12-05T00:00:00"/>
    <x v="0"/>
    <x v="0"/>
    <m/>
    <m/>
    <s v="Not Applicable"/>
    <s v="OK"/>
    <b v="0"/>
    <s v="No_Discount"/>
    <n v="2599"/>
    <s v="OK"/>
    <n v="1"/>
    <s v="OK"/>
    <n v="14"/>
    <s v="OK"/>
    <n v="0"/>
    <x v="1"/>
    <x v="7"/>
  </r>
  <r>
    <x v="198"/>
    <d v="2024-11-22T00:00:00"/>
    <s v="CUST_10198"/>
    <x v="0"/>
    <s v="OUT-SPK-M"/>
    <s v="Outerwear"/>
    <s v="Sparkle Jacket"/>
    <n v="5499"/>
    <n v="1"/>
    <n v="5499"/>
    <m/>
    <n v="0"/>
    <s v="Wallet"/>
    <x v="0"/>
    <s v="Kanpur"/>
    <s v="Uttar Pradesh"/>
    <s v="Delhi"/>
    <d v="2024-12-08T00:00:00"/>
    <x v="0"/>
    <x v="1"/>
    <s v="Changed Mind"/>
    <d v="2025-01-06T00:00:00"/>
    <s v="Processed"/>
    <s v="OK"/>
    <b v="0"/>
    <s v="No_Discount"/>
    <n v="5499"/>
    <s v="OK"/>
    <n v="1"/>
    <s v="OK"/>
    <n v="16"/>
    <s v="OK"/>
    <n v="29"/>
    <x v="1"/>
    <x v="7"/>
  </r>
  <r>
    <x v="199"/>
    <d v="2024-11-22T00:00:00"/>
    <s v="CUST_10199"/>
    <x v="0"/>
    <s v="ACC-CRY-OS"/>
    <s v="Accessories"/>
    <s v="Crystal Bracelet"/>
    <n v="999"/>
    <n v="1"/>
    <n v="999"/>
    <m/>
    <n v="0"/>
    <s v="Debit Card"/>
    <x v="1"/>
    <s v="Mumbai"/>
    <s v="Maharashtra"/>
    <s v="Mumbai"/>
    <d v="2024-12-06T00:00:00"/>
    <x v="0"/>
    <x v="0"/>
    <m/>
    <m/>
    <s v="Not Applicable"/>
    <s v="OK"/>
    <b v="0"/>
    <s v="No_Discount"/>
    <n v="999"/>
    <s v="OK"/>
    <n v="1"/>
    <s v="OK"/>
    <n v="14"/>
    <s v="OK"/>
    <n v="0"/>
    <x v="1"/>
    <x v="7"/>
  </r>
  <r>
    <x v="200"/>
    <d v="2024-11-22T00:00:00"/>
    <s v="CUST_10200"/>
    <x v="0"/>
    <s v="TOP-SHR-L"/>
    <s v="Tops"/>
    <s v="Sheer Top"/>
    <n v="1699"/>
    <n v="1"/>
    <n v="1699"/>
    <d v="2026-11-15T00:00:00"/>
    <n v="15"/>
    <s v="UPI"/>
    <x v="2"/>
    <s v="Delhi"/>
    <s v="Delhi"/>
    <s v="Delhi"/>
    <d v="2024-12-07T00:00:00"/>
    <x v="0"/>
    <x v="1"/>
    <s v="Damaged in Transit"/>
    <d v="2025-01-05T00:00:00"/>
    <s v="Processed"/>
    <s v="OK"/>
    <b v="0"/>
    <s v="Discount_Not_Applied"/>
    <n v="1444.1499999999999"/>
    <s v="Mismatch"/>
    <n v="1"/>
    <s v="OK"/>
    <n v="15"/>
    <s v="OK"/>
    <n v="29"/>
    <x v="1"/>
    <x v="7"/>
  </r>
  <r>
    <x v="201"/>
    <d v="2024-11-23T00:00:00"/>
    <s v="CUST_10201"/>
    <x v="0"/>
    <s v="DRS-CHF-S"/>
    <s v="Dresses"/>
    <s v="Chiffon Dress"/>
    <n v="2799"/>
    <n v="1"/>
    <n v="2799"/>
    <m/>
    <n v="0"/>
    <s v="Credit Card"/>
    <x v="0"/>
    <s v="Kolkata"/>
    <s v="West Bengal"/>
    <s v="Delhi"/>
    <d v="2024-12-09T00:00:00"/>
    <x v="0"/>
    <x v="0"/>
    <m/>
    <m/>
    <s v="Not Applicable"/>
    <s v="OK"/>
    <b v="0"/>
    <s v="No_Discount"/>
    <n v="2799"/>
    <s v="OK"/>
    <n v="1"/>
    <s v="OK"/>
    <n v="16"/>
    <s v="OK"/>
    <n v="0"/>
    <x v="1"/>
    <x v="7"/>
  </r>
  <r>
    <x v="202"/>
    <d v="2024-11-23T00:00:00"/>
    <s v="CUST_10202"/>
    <x v="1"/>
    <s v="BOT-ORG-M"/>
    <s v="Bottoms"/>
    <s v="Organza Pants"/>
    <n v="2399"/>
    <n v="1"/>
    <n v="2399"/>
    <m/>
    <n v="0"/>
    <s v="COD"/>
    <x v="1"/>
    <s v="Chennai"/>
    <s v="Tamil Nadu"/>
    <s v="Bangalore"/>
    <d v="2024-12-07T00:00:00"/>
    <x v="0"/>
    <x v="1"/>
    <s v="Quality Defect"/>
    <d v="2025-01-04T00:00:00"/>
    <s v="Processed"/>
    <s v="OK"/>
    <b v="0"/>
    <s v="No_Discount"/>
    <n v="2399"/>
    <s v="OK"/>
    <n v="1"/>
    <s v="OK"/>
    <n v="14"/>
    <s v="OK"/>
    <n v="28"/>
    <x v="1"/>
    <x v="7"/>
  </r>
  <r>
    <x v="203"/>
    <d v="2024-11-23T00:00:00"/>
    <s v="CUST_10203"/>
    <x v="0"/>
    <s v="OUT-MET-L"/>
    <s v="Outerwear"/>
    <s v="Metallic Coat"/>
    <n v="6799"/>
    <n v="1"/>
    <n v="6799"/>
    <m/>
    <n v="0"/>
    <s v="UPI"/>
    <x v="2"/>
    <s v="Hyderabad"/>
    <s v="Telangana"/>
    <s v="Bangalore"/>
    <d v="2024-12-10T00:00:00"/>
    <x v="0"/>
    <x v="1"/>
    <s v="Size Issue"/>
    <d v="2025-01-08T00:00:00"/>
    <s v="Processed"/>
    <s v="OK"/>
    <b v="0"/>
    <s v="No_Discount"/>
    <n v="6799"/>
    <s v="OK"/>
    <n v="1"/>
    <s v="OK"/>
    <n v="17"/>
    <s v="OK"/>
    <n v="29"/>
    <x v="1"/>
    <x v="7"/>
  </r>
  <r>
    <x v="204"/>
    <d v="2024-11-24T00:00:00"/>
    <s v="CUST_10204"/>
    <x v="0"/>
    <s v="ACC-DMD-OS"/>
    <s v="Accessories"/>
    <s v="Diamond Studs"/>
    <n v="1499"/>
    <n v="1"/>
    <n v="1499"/>
    <d v="2026-11-15T00:00:00"/>
    <n v="15"/>
    <s v="Wallet"/>
    <x v="0"/>
    <s v="Pune"/>
    <s v="Maharashtra"/>
    <s v="Mumbai"/>
    <d v="2024-12-08T00:00:00"/>
    <x v="0"/>
    <x v="0"/>
    <m/>
    <m/>
    <s v="Not Applicable"/>
    <s v="OK"/>
    <b v="0"/>
    <s v="Discount_Not_Applied"/>
    <n v="1274.1499999999999"/>
    <s v="Mismatch"/>
    <n v="1"/>
    <s v="OK"/>
    <n v="14"/>
    <s v="OK"/>
    <n v="0"/>
    <x v="1"/>
    <x v="8"/>
  </r>
  <r>
    <x v="205"/>
    <d v="2024-11-24T00:00:00"/>
    <s v="CUST_10205"/>
    <x v="0"/>
    <s v="TOP-BDS-M"/>
    <s v="Tops"/>
    <s v="Beaded Top"/>
    <n v="2299"/>
    <n v="1"/>
    <n v="2299"/>
    <m/>
    <n v="0"/>
    <s v="Debit Card"/>
    <x v="1"/>
    <s v="Ahmedabad"/>
    <s v="Gujarat"/>
    <s v="Mumbai"/>
    <d v="2024-12-09T00:00:00"/>
    <x v="0"/>
    <x v="1"/>
    <s v="Wrong Item"/>
    <d v="2025-01-07T00:00:00"/>
    <s v="Processed"/>
    <s v="OK"/>
    <b v="0"/>
    <s v="No_Discount"/>
    <n v="2299"/>
    <s v="OK"/>
    <n v="1"/>
    <s v="OK"/>
    <n v="15"/>
    <s v="OK"/>
    <n v="29"/>
    <x v="1"/>
    <x v="8"/>
  </r>
  <r>
    <x v="206"/>
    <d v="2024-11-24T00:00:00"/>
    <s v="CUST_10206"/>
    <x v="0"/>
    <s v="DRS-SPL-L"/>
    <s v="Dresses"/>
    <s v="Sparkle Gown"/>
    <n v="4999"/>
    <n v="1"/>
    <n v="4999"/>
    <m/>
    <n v="0"/>
    <s v="Credit Card"/>
    <x v="2"/>
    <s v="Jaipur"/>
    <s v="Rajasthan"/>
    <s v="Delhi"/>
    <d v="2024-12-11T00:00:00"/>
    <x v="0"/>
    <x v="0"/>
    <m/>
    <m/>
    <s v="Not Applicable"/>
    <s v="OK"/>
    <b v="0"/>
    <s v="No_Discount"/>
    <n v="4999"/>
    <s v="OK"/>
    <n v="1"/>
    <s v="OK"/>
    <n v="17"/>
    <s v="OK"/>
    <n v="0"/>
    <x v="1"/>
    <x v="8"/>
  </r>
  <r>
    <x v="207"/>
    <d v="2024-11-25T00:00:00"/>
    <s v="CUST_10207"/>
    <x v="1"/>
    <s v="BOT-EMB-S"/>
    <s v="Bottoms"/>
    <s v="Embroidered Pants"/>
    <n v="2099"/>
    <n v="1"/>
    <n v="2099"/>
    <m/>
    <n v="0"/>
    <s v="UPI"/>
    <x v="0"/>
    <s v="Lucknow"/>
    <s v="Uttar Pradesh"/>
    <s v="Delhi"/>
    <d v="2024-12-09T00:00:00"/>
    <x v="0"/>
    <x v="1"/>
    <s v="Changed Mind"/>
    <d v="2025-01-06T00:00:00"/>
    <s v="Processed"/>
    <s v="OK"/>
    <b v="0"/>
    <s v="No_Discount"/>
    <n v="2099"/>
    <s v="OK"/>
    <n v="1"/>
    <s v="OK"/>
    <n v="14"/>
    <s v="OK"/>
    <n v="28"/>
    <x v="1"/>
    <x v="8"/>
  </r>
  <r>
    <x v="208"/>
    <d v="2024-11-25T00:00:00"/>
    <s v="CUST_10208"/>
    <x v="0"/>
    <s v="OUT-NYE-M"/>
    <s v="Outerwear"/>
    <s v="NYE Jacket"/>
    <n v="5799"/>
    <n v="1"/>
    <n v="5799"/>
    <d v="2026-11-15T00:00:00"/>
    <n v="15"/>
    <s v="COD"/>
    <x v="1"/>
    <s v="Bangalore"/>
    <s v="Karnataka"/>
    <s v="Bangalore"/>
    <d v="2024-12-12T00:00:00"/>
    <x v="0"/>
    <x v="1"/>
    <s v="Size Issue"/>
    <d v="2025-01-10T00:00:00"/>
    <s v="Processed"/>
    <s v="OK"/>
    <b v="0"/>
    <s v="Discount_Not_Applied"/>
    <n v="4929.1499999999996"/>
    <s v="Mismatch"/>
    <n v="1"/>
    <s v="OK"/>
    <n v="17"/>
    <s v="OK"/>
    <n v="29"/>
    <x v="1"/>
    <x v="8"/>
  </r>
  <r>
    <x v="209"/>
    <d v="2024-11-25T00:00:00"/>
    <s v="CUST_10209"/>
    <x v="0"/>
    <s v="ACC-GLD-OS"/>
    <s v="Accessories"/>
    <s v="Gold Cuff"/>
    <n v="1199"/>
    <n v="1"/>
    <n v="1199"/>
    <m/>
    <n v="0"/>
    <s v="Credit Card"/>
    <x v="2"/>
    <s v="Mumbai"/>
    <s v="Maharashtra"/>
    <s v="Mumbai"/>
    <d v="2024-12-10T00:00:00"/>
    <x v="0"/>
    <x v="0"/>
    <m/>
    <m/>
    <s v="Not Applicable"/>
    <s v="OK"/>
    <b v="0"/>
    <s v="No_Discount"/>
    <n v="1199"/>
    <s v="OK"/>
    <n v="1"/>
    <s v="OK"/>
    <n v="15"/>
    <s v="OK"/>
    <n v="0"/>
    <x v="1"/>
    <x v="8"/>
  </r>
  <r>
    <x v="210"/>
    <d v="2024-11-26T00:00:00"/>
    <s v="CUST_10210"/>
    <x v="0"/>
    <s v="TOP-FTR-S"/>
    <s v="Tops"/>
    <s v="Feather Top"/>
    <n v="1899"/>
    <n v="1"/>
    <n v="1899"/>
    <m/>
    <n v="0"/>
    <s v="Wallet"/>
    <x v="0"/>
    <s v="Delhi"/>
    <s v="Delhi"/>
    <s v="Delhi"/>
    <d v="2024-12-11T00:00:00"/>
    <x v="0"/>
    <x v="1"/>
    <s v="Damaged in Transit"/>
    <d v="2025-01-08T00:00:00"/>
    <s v="Processed"/>
    <s v="OK"/>
    <b v="0"/>
    <s v="No_Discount"/>
    <n v="1899"/>
    <s v="OK"/>
    <n v="1"/>
    <s v="OK"/>
    <n v="15"/>
    <s v="OK"/>
    <n v="28"/>
    <x v="1"/>
    <x v="8"/>
  </r>
  <r>
    <x v="211"/>
    <d v="2024-11-26T00:00:00"/>
    <s v="CUST_10211"/>
    <x v="0"/>
    <s v="DRS-CCK-M"/>
    <s v="Dresses"/>
    <s v="Cocktail Dress"/>
    <n v="3699"/>
    <n v="1"/>
    <n v="3699"/>
    <m/>
    <n v="0"/>
    <s v="Debit Card"/>
    <x v="1"/>
    <s v="Chandigarh"/>
    <s v="Punjab"/>
    <s v="Delhi"/>
    <d v="2024-12-13T00:00:00"/>
    <x v="0"/>
    <x v="0"/>
    <m/>
    <m/>
    <s v="Not Applicable"/>
    <s v="OK"/>
    <b v="0"/>
    <s v="No_Discount"/>
    <n v="3699"/>
    <s v="OK"/>
    <n v="1"/>
    <s v="OK"/>
    <n v="17"/>
    <s v="OK"/>
    <n v="0"/>
    <x v="1"/>
    <x v="8"/>
  </r>
  <r>
    <x v="212"/>
    <d v="2024-11-26T00:00:00"/>
    <s v="CUST_10212"/>
    <x v="1"/>
    <s v="BOT-SQN-L"/>
    <s v="Bottoms"/>
    <s v="Sequin Skirt"/>
    <n v="2699"/>
    <n v="1"/>
    <n v="2699"/>
    <d v="2026-11-15T00:00:00"/>
    <n v="15"/>
    <s v="UPI"/>
    <x v="2"/>
    <s v="Noida"/>
    <s v="Uttar Pradesh"/>
    <s v="Delhi"/>
    <d v="2024-12-11T00:00:00"/>
    <x v="0"/>
    <x v="1"/>
    <s v="Quality Defect"/>
    <d v="2025-01-09T00:00:00"/>
    <s v="Processed"/>
    <s v="OK"/>
    <b v="0"/>
    <s v="Discount_Not_Applied"/>
    <n v="2294.15"/>
    <s v="Mismatch"/>
    <n v="1"/>
    <s v="OK"/>
    <n v="15"/>
    <s v="OK"/>
    <n v="29"/>
    <x v="1"/>
    <x v="8"/>
  </r>
  <r>
    <x v="213"/>
    <d v="2024-11-27T00:00:00"/>
    <s v="CUST_10213"/>
    <x v="0"/>
    <s v="OUT-PRT-M"/>
    <s v="Outerwear"/>
    <s v="Party Jacket"/>
    <n v="4999"/>
    <n v="1"/>
    <n v="4999"/>
    <m/>
    <n v="0"/>
    <s v="Credit Card"/>
    <x v="0"/>
    <s v="Gurgaon"/>
    <s v="Haryana"/>
    <s v="Delhi"/>
    <d v="2024-12-14T00:00:00"/>
    <x v="0"/>
    <x v="1"/>
    <s v="Size Issue"/>
    <d v="2025-01-12T00:00:00"/>
    <s v="Processed"/>
    <s v="OK"/>
    <b v="0"/>
    <s v="No_Discount"/>
    <n v="4999"/>
    <s v="OK"/>
    <n v="1"/>
    <s v="OK"/>
    <n v="17"/>
    <s v="OK"/>
    <n v="29"/>
    <x v="1"/>
    <x v="8"/>
  </r>
  <r>
    <x v="214"/>
    <d v="2024-11-27T00:00:00"/>
    <s v="CUST_10214"/>
    <x v="0"/>
    <s v="ACC-SLV-OS"/>
    <s v="Accessories"/>
    <s v="Silver Bangle"/>
    <n v="899"/>
    <n v="2"/>
    <n v="1798"/>
    <m/>
    <n v="0"/>
    <s v="COD"/>
    <x v="1"/>
    <s v="Indore"/>
    <s v="Madhya Pradesh"/>
    <s v="Mumbai"/>
    <d v="2024-12-12T00:00:00"/>
    <x v="0"/>
    <x v="0"/>
    <m/>
    <m/>
    <s v="Not Applicable"/>
    <s v="OK"/>
    <b v="0"/>
    <s v="No_Discount"/>
    <n v="1798"/>
    <s v="OK"/>
    <n v="1"/>
    <s v="OK"/>
    <n v="15"/>
    <s v="OK"/>
    <n v="0"/>
    <x v="1"/>
    <x v="8"/>
  </r>
  <r>
    <x v="215"/>
    <d v="2024-11-27T00:00:00"/>
    <s v="CUST_10215"/>
    <x v="0"/>
    <s v="TOP-GLT-L"/>
    <s v="Tops"/>
    <s v="Glitter Tank"/>
    <n v="1599"/>
    <n v="1"/>
    <n v="1599"/>
    <m/>
    <n v="0"/>
    <s v="UPI"/>
    <x v="2"/>
    <s v="Surat"/>
    <s v="Gujarat"/>
    <s v="Mumbai"/>
    <d v="2024-12-13T00:00:00"/>
    <x v="0"/>
    <x v="1"/>
    <s v="Wrong Item"/>
    <d v="2025-01-10T00:00:00"/>
    <s v="Processed"/>
    <s v="OK"/>
    <b v="0"/>
    <s v="No_Discount"/>
    <n v="1599"/>
    <s v="OK"/>
    <n v="1"/>
    <s v="OK"/>
    <n v="16"/>
    <s v="OK"/>
    <n v="28"/>
    <x v="1"/>
    <x v="8"/>
  </r>
  <r>
    <x v="216"/>
    <d v="2024-11-28T00:00:00"/>
    <s v="CUST_10216"/>
    <x v="0"/>
    <s v="DRS-STR-S"/>
    <s v="Dresses"/>
    <s v="Star Print Dress"/>
    <n v="2599"/>
    <n v="1"/>
    <n v="2599"/>
    <d v="2026-11-15T00:00:00"/>
    <n v="15"/>
    <s v="Wallet"/>
    <x v="0"/>
    <s v="Patna"/>
    <s v="Bihar"/>
    <s v="Delhi"/>
    <d v="2024-12-15T00:00:00"/>
    <x v="0"/>
    <x v="0"/>
    <m/>
    <m/>
    <s v="Not Applicable"/>
    <s v="OK"/>
    <b v="0"/>
    <s v="Discount_Not_Applied"/>
    <n v="2209.15"/>
    <s v="Mismatch"/>
    <n v="1"/>
    <s v="OK"/>
    <n v="17"/>
    <s v="OK"/>
    <n v="0"/>
    <x v="1"/>
    <x v="8"/>
  </r>
  <r>
    <x v="217"/>
    <d v="2024-11-28T00:00:00"/>
    <s v="CUST_10217"/>
    <x v="1"/>
    <s v="BOT-MTL-M"/>
    <s v="Bottoms"/>
    <s v="Metallic Pants"/>
    <n v="2399"/>
    <n v="1"/>
    <n v="2399"/>
    <m/>
    <n v="0"/>
    <s v="Debit Card"/>
    <x v="1"/>
    <s v="Bhopal"/>
    <s v="Madhya Pradesh"/>
    <s v="Mumbai"/>
    <d v="2024-12-13T00:00:00"/>
    <x v="0"/>
    <x v="1"/>
    <s v="Changed Mind"/>
    <d v="2025-01-11T00:00:00"/>
    <s v="Processed"/>
    <s v="OK"/>
    <b v="0"/>
    <s v="No_Discount"/>
    <n v="2399"/>
    <s v="OK"/>
    <n v="1"/>
    <s v="OK"/>
    <n v="15"/>
    <s v="OK"/>
    <n v="29"/>
    <x v="1"/>
    <x v="8"/>
  </r>
  <r>
    <x v="218"/>
    <d v="2024-11-28T00:00:00"/>
    <s v="CUST_10218"/>
    <x v="0"/>
    <s v="OUT-FRM-L"/>
    <s v="Outerwear"/>
    <s v="Formal Coat"/>
    <n v="6499"/>
    <n v="1"/>
    <n v="6499"/>
    <m/>
    <n v="0"/>
    <s v="Credit Card"/>
    <x v="2"/>
    <s v="Nagpur"/>
    <s v="Maharashtra"/>
    <s v="Mumbai"/>
    <d v="2024-12-16T00:00:00"/>
    <x v="0"/>
    <x v="1"/>
    <s v="Size Issue"/>
    <d v="2025-01-14T00:00:00"/>
    <s v="Processed"/>
    <s v="OK"/>
    <b v="0"/>
    <s v="No_Discount"/>
    <n v="6499"/>
    <s v="OK"/>
    <n v="1"/>
    <s v="OK"/>
    <n v="18"/>
    <s v="OK"/>
    <n v="29"/>
    <x v="1"/>
    <x v="8"/>
  </r>
  <r>
    <x v="219"/>
    <d v="2024-11-29T00:00:00"/>
    <s v="CUST_10219"/>
    <x v="0"/>
    <s v="ACC-RBN-OS"/>
    <s v="Accessories"/>
    <s v="Ribbon Choker"/>
    <n v="499"/>
    <n v="2"/>
    <n v="998"/>
    <m/>
    <n v="0"/>
    <s v="UPI"/>
    <x v="0"/>
    <s v="Coimbatore"/>
    <s v="Tamil Nadu"/>
    <s v="Bangalore"/>
    <d v="2024-12-14T00:00:00"/>
    <x v="0"/>
    <x v="0"/>
    <m/>
    <m/>
    <s v="Not Applicable"/>
    <s v="OK"/>
    <b v="0"/>
    <s v="No_Discount"/>
    <n v="998"/>
    <s v="OK"/>
    <n v="1"/>
    <s v="OK"/>
    <n v="15"/>
    <s v="OK"/>
    <n v="0"/>
    <x v="1"/>
    <x v="8"/>
  </r>
  <r>
    <x v="220"/>
    <d v="2024-11-29T00:00:00"/>
    <s v="CUST_10220"/>
    <x v="0"/>
    <s v="TOP-VNY-M"/>
    <s v="Tops"/>
    <s v="Vinyl Top"/>
    <n v="1999"/>
    <n v="1"/>
    <n v="1999"/>
    <m/>
    <n v="0"/>
    <s v="COD"/>
    <x v="1"/>
    <s v="Kochi"/>
    <s v="Kerala"/>
    <s v="Bangalore"/>
    <m/>
    <x v="2"/>
    <x v="0"/>
    <m/>
    <m/>
    <s v="Not Applicable"/>
    <s v="OK"/>
    <b v="0"/>
    <s v="No_Discount"/>
    <n v="1999"/>
    <s v="OK"/>
    <n v="1"/>
    <s v="OK"/>
    <n v="-45625"/>
    <s v="Invalid_delivery_time"/>
    <n v="0"/>
    <x v="1"/>
    <x v="8"/>
  </r>
  <r>
    <x v="221"/>
    <d v="2024-11-29T00:00:00"/>
    <s v="CUST_10221"/>
    <x v="0"/>
    <s v="DRS-NYE-L"/>
    <s v="Dresses"/>
    <s v="New Year Gown"/>
    <n v="5499"/>
    <n v="1"/>
    <n v="5499"/>
    <d v="2026-11-15T00:00:00"/>
    <n v="15"/>
    <s v="Credit Card"/>
    <x v="2"/>
    <s v="Vizag"/>
    <s v="Andhra Pradesh"/>
    <s v="Bangalore"/>
    <d v="2024-12-17T00:00:00"/>
    <x v="0"/>
    <x v="1"/>
    <s v="Quality Defect"/>
    <d v="2025-01-15T00:00:00"/>
    <s v="Processed"/>
    <s v="OK"/>
    <b v="0"/>
    <s v="Discount_Not_Applied"/>
    <n v="4674.1499999999996"/>
    <s v="Mismatch"/>
    <n v="1"/>
    <s v="OK"/>
    <n v="18"/>
    <s v="OK"/>
    <n v="29"/>
    <x v="1"/>
    <x v="8"/>
  </r>
  <r>
    <x v="222"/>
    <d v="2024-11-30T00:00:00"/>
    <s v="CUST_10222"/>
    <x v="1"/>
    <s v="BOT-LTX-S"/>
    <s v="Bottoms"/>
    <s v="Latex Pants"/>
    <n v="2799"/>
    <n v="1"/>
    <n v="2799"/>
    <m/>
    <n v="0"/>
    <s v="Wallet"/>
    <x v="0"/>
    <s v="Thiruvananthapuram"/>
    <s v="Kerala"/>
    <s v="Bangalore"/>
    <d v="2024-12-15T00:00:00"/>
    <x v="0"/>
    <x v="0"/>
    <m/>
    <m/>
    <s v="Not Applicable"/>
    <s v="OK"/>
    <b v="0"/>
    <s v="No_Discount"/>
    <n v="2799"/>
    <s v="OK"/>
    <n v="1"/>
    <s v="OK"/>
    <n v="15"/>
    <s v="OK"/>
    <n v="0"/>
    <x v="1"/>
    <x v="8"/>
  </r>
  <r>
    <x v="223"/>
    <d v="2024-11-30T00:00:00"/>
    <s v="CUST_10223"/>
    <x v="0"/>
    <s v="OUT-GLM-M"/>
    <s v="Outerwear"/>
    <s v="Glam Jacket"/>
    <n v="5299"/>
    <n v="1"/>
    <n v="5299"/>
    <m/>
    <n v="0"/>
    <s v="Debit Card"/>
    <x v="1"/>
    <s v="Mysore"/>
    <s v="Karnataka"/>
    <s v="Bangalore"/>
    <d v="2024-12-18T00:00:00"/>
    <x v="0"/>
    <x v="1"/>
    <s v="Damaged in Transit"/>
    <d v="2025-01-16T00:00:00"/>
    <s v="Processed"/>
    <s v="OK"/>
    <b v="0"/>
    <s v="No_Discount"/>
    <n v="5299"/>
    <s v="OK"/>
    <n v="1"/>
    <s v="OK"/>
    <n v="18"/>
    <s v="OK"/>
    <n v="29"/>
    <x v="1"/>
    <x v="8"/>
  </r>
  <r>
    <x v="224"/>
    <d v="2024-11-30T00:00:00"/>
    <s v="CUST_10224"/>
    <x v="0"/>
    <s v="ACC-GEM-OS"/>
    <s v="Accessories"/>
    <s v="Gemstone Ring"/>
    <n v="1099"/>
    <n v="1"/>
    <n v="1099"/>
    <m/>
    <n v="0"/>
    <s v="UPI"/>
    <x v="2"/>
    <s v="Vadodara"/>
    <s v="Gujarat"/>
    <s v="Mumbai"/>
    <d v="2024-12-16T00:00:00"/>
    <x v="0"/>
    <x v="1"/>
    <s v="Size Issue"/>
    <d v="2025-01-14T00:00:00"/>
    <s v="Processed"/>
    <s v="OK"/>
    <b v="0"/>
    <s v="No_Discount"/>
    <n v="1099"/>
    <s v="OK"/>
    <n v="1"/>
    <s v="OK"/>
    <n v="16"/>
    <s v="OK"/>
    <n v="29"/>
    <x v="1"/>
    <x v="8"/>
  </r>
  <r>
    <x v="225"/>
    <d v="2024-12-01T00:00:00"/>
    <s v="CUST_10225"/>
    <x v="0"/>
    <s v="TOP-HOD-L"/>
    <s v="Tops"/>
    <s v="Zip Hoodie"/>
    <n v="2499"/>
    <n v="1"/>
    <n v="2499"/>
    <d v="2026-12-20T00:00:00"/>
    <n v="20"/>
    <s v="Credit Card"/>
    <x v="0"/>
    <s v="Mumbai"/>
    <s v="Maharashtra"/>
    <s v="Mumbai"/>
    <d v="2024-12-06T00:00:00"/>
    <x v="0"/>
    <x v="0"/>
    <m/>
    <m/>
    <s v="Not Applicable"/>
    <s v="OK"/>
    <b v="0"/>
    <s v="Discount_Not_Applied"/>
    <n v="1999.2"/>
    <s v="Mismatch"/>
    <n v="1"/>
    <s v="OK"/>
    <n v="5"/>
    <s v="OK"/>
    <n v="0"/>
    <x v="2"/>
    <x v="9"/>
  </r>
  <r>
    <x v="226"/>
    <d v="2024-12-01T00:00:00"/>
    <s v="CUST_10226"/>
    <x v="0"/>
    <s v="OUT-COT-M"/>
    <s v="Outerwear"/>
    <s v="Puffer Coat"/>
    <n v="6499"/>
    <n v="1"/>
    <n v="6499"/>
    <d v="2026-12-20T00:00:00"/>
    <n v="20"/>
    <s v="COD"/>
    <x v="1"/>
    <s v="Delhi"/>
    <s v="Delhi"/>
    <s v="Delhi"/>
    <d v="2024-12-08T00:00:00"/>
    <x v="0"/>
    <x v="1"/>
    <s v="Changed Mind"/>
    <d v="2024-12-28T00:00:00"/>
    <s v="Pending"/>
    <s v="OK"/>
    <b v="0"/>
    <s v="Discount_Not_Applied"/>
    <n v="5199.2000000000007"/>
    <s v="Mismatch"/>
    <n v="1"/>
    <s v="OK"/>
    <n v="7"/>
    <s v="OK"/>
    <n v="20"/>
    <x v="2"/>
    <x v="9"/>
  </r>
  <r>
    <x v="227"/>
    <d v="2024-12-01T00:00:00"/>
    <s v="CUST_10227"/>
    <x v="1"/>
    <s v="ACC-MFL-OS"/>
    <s v="Accessories"/>
    <s v="Cashmere Scarf"/>
    <n v="1499"/>
    <n v="1"/>
    <n v="1499"/>
    <m/>
    <n v="0"/>
    <s v="UPI"/>
    <x v="2"/>
    <s v="Chandigarh"/>
    <s v="Punjab"/>
    <s v="Delhi"/>
    <d v="2024-12-07T00:00:00"/>
    <x v="0"/>
    <x v="0"/>
    <m/>
    <m/>
    <s v="Not Applicable"/>
    <s v="OK"/>
    <b v="0"/>
    <s v="No_Discount"/>
    <n v="1499"/>
    <s v="OK"/>
    <n v="1"/>
    <s v="OK"/>
    <n v="6"/>
    <s v="OK"/>
    <n v="0"/>
    <x v="2"/>
    <x v="9"/>
  </r>
  <r>
    <x v="228"/>
    <d v="2024-12-01T00:00:00"/>
    <s v="CUST_10228"/>
    <x v="0"/>
    <s v="DRS-PLT-M"/>
    <s v="Dresses"/>
    <s v="Pleated Dress"/>
    <n v="2899"/>
    <n v="1"/>
    <n v="2899"/>
    <d v="2026-12-20T00:00:00"/>
    <n v="20"/>
    <s v="Debit Card"/>
    <x v="0"/>
    <s v="Amritsar"/>
    <s v="Punjab"/>
    <s v="Delhi"/>
    <d v="2024-12-09T00:00:00"/>
    <x v="0"/>
    <x v="1"/>
    <s v="Size Issue"/>
    <d v="2024-12-30T00:00:00"/>
    <s v="Processed"/>
    <s v="OK"/>
    <b v="0"/>
    <s v="Discount_Not_Applied"/>
    <n v="2319.2000000000003"/>
    <s v="Mismatch"/>
    <n v="1"/>
    <s v="OK"/>
    <n v="8"/>
    <s v="OK"/>
    <n v="21"/>
    <x v="2"/>
    <x v="9"/>
  </r>
  <r>
    <x v="229"/>
    <d v="2024-12-02T00:00:00"/>
    <s v="CUST_10229"/>
    <x v="0"/>
    <s v="TOP-THR-L"/>
    <s v="Tops"/>
    <s v="Thermal Top"/>
    <n v="1599"/>
    <n v="2"/>
    <n v="3198"/>
    <m/>
    <n v="0"/>
    <s v="Credit Card"/>
    <x v="1"/>
    <s v="Shimla"/>
    <s v="Himachal Pradesh"/>
    <s v="Delhi"/>
    <d v="2024-12-09T00:00:00"/>
    <x v="0"/>
    <x v="0"/>
    <m/>
    <m/>
    <s v="Not Applicable"/>
    <s v="OK"/>
    <b v="0"/>
    <s v="No_Discount"/>
    <n v="3198"/>
    <s v="OK"/>
    <n v="1"/>
    <s v="OK"/>
    <n v="7"/>
    <s v="OK"/>
    <n v="0"/>
    <x v="2"/>
    <x v="9"/>
  </r>
  <r>
    <x v="230"/>
    <d v="2024-12-02T00:00:00"/>
    <s v="CUST_10230"/>
    <x v="0"/>
    <s v="BOT-FLC-M"/>
    <s v="Bottoms"/>
    <s v="Fleece Joggers"/>
    <n v="1799"/>
    <n v="1"/>
    <n v="1799"/>
    <d v="2026-12-20T00:00:00"/>
    <n v="20"/>
    <s v="Wallet"/>
    <x v="2"/>
    <s v="Dehradun"/>
    <s v="Uttarakhand"/>
    <s v="Delhi"/>
    <d v="2024-12-10T00:00:00"/>
    <x v="0"/>
    <x v="0"/>
    <m/>
    <m/>
    <s v="Not Applicable"/>
    <s v="OK"/>
    <b v="0"/>
    <s v="Discount_Not_Applied"/>
    <n v="1439.2"/>
    <s v="Mismatch"/>
    <n v="1"/>
    <s v="OK"/>
    <n v="8"/>
    <s v="OK"/>
    <n v="0"/>
    <x v="2"/>
    <x v="9"/>
  </r>
  <r>
    <x v="231"/>
    <d v="2024-12-02T00:00:00"/>
    <s v="CUST_10231"/>
    <x v="0"/>
    <s v="OUT-WND-L"/>
    <s v="Outerwear"/>
    <s v="Windbreaker"/>
    <n v="3299"/>
    <n v="1"/>
    <n v="3299"/>
    <m/>
    <n v="0"/>
    <s v="UPI"/>
    <x v="0"/>
    <s v="Srinagar"/>
    <s v="Jammu &amp; Kashmir"/>
    <s v="Delhi"/>
    <d v="2024-12-11T00:00:00"/>
    <x v="0"/>
    <x v="1"/>
    <s v="Wrong Item"/>
    <d v="2025-01-02T00:00:00"/>
    <s v="Pending"/>
    <s v="OK"/>
    <b v="0"/>
    <s v="No_Discount"/>
    <n v="3299"/>
    <s v="OK"/>
    <n v="1"/>
    <s v="OK"/>
    <n v="9"/>
    <s v="OK"/>
    <n v="22"/>
    <x v="2"/>
    <x v="9"/>
  </r>
  <r>
    <x v="232"/>
    <d v="2024-12-02T00:00:00"/>
    <s v="CUST_10232"/>
    <x v="1"/>
    <s v="ACC-BNE-OS"/>
    <s v="Accessories"/>
    <s v="Beanie Cap"/>
    <n v="599"/>
    <n v="2"/>
    <n v="1198"/>
    <d v="2026-12-20T00:00:00"/>
    <n v="20"/>
    <s v="COD"/>
    <x v="1"/>
    <s v="Manali"/>
    <s v="Himachal Pradesh"/>
    <s v="Delhi"/>
    <d v="2024-12-10T00:00:00"/>
    <x v="0"/>
    <x v="0"/>
    <m/>
    <m/>
    <s v="Not Applicable"/>
    <s v="OK"/>
    <b v="0"/>
    <s v="Discount_Not_Applied"/>
    <n v="958.40000000000009"/>
    <s v="Mismatch"/>
    <n v="1"/>
    <s v="OK"/>
    <n v="8"/>
    <s v="OK"/>
    <n v="0"/>
    <x v="2"/>
    <x v="9"/>
  </r>
  <r>
    <x v="233"/>
    <d v="2024-12-03T00:00:00"/>
    <s v="CUST_10233"/>
    <x v="0"/>
    <s v="TOP-SWT-S"/>
    <s v="Tops"/>
    <s v="Cropped Sweater"/>
    <n v="2199"/>
    <n v="1"/>
    <n v="2199"/>
    <m/>
    <n v="0"/>
    <s v="Debit Card"/>
    <x v="2"/>
    <s v="Darjeeling"/>
    <s v="West Bengal"/>
    <s v="Delhi"/>
    <d v="2024-12-12T00:00:00"/>
    <x v="0"/>
    <x v="1"/>
    <s v="Size Issue"/>
    <d v="2025-01-03T00:00:00"/>
    <s v="Processed"/>
    <s v="OK"/>
    <b v="0"/>
    <s v="No_Discount"/>
    <n v="2199"/>
    <s v="OK"/>
    <n v="1"/>
    <s v="OK"/>
    <n v="9"/>
    <s v="OK"/>
    <n v="22"/>
    <x v="2"/>
    <x v="9"/>
  </r>
  <r>
    <x v="234"/>
    <d v="2024-12-03T00:00:00"/>
    <s v="CUST_10234"/>
    <x v="0"/>
    <s v="DRS-WRM-M"/>
    <s v="Dresses"/>
    <s v="Wrap Dress"/>
    <n v="2499"/>
    <n v="1"/>
    <n v="2499"/>
    <d v="2026-12-20T00:00:00"/>
    <n v="20"/>
    <s v="Credit Card"/>
    <x v="0"/>
    <s v="Gangtok"/>
    <s v="Sikkim"/>
    <s v="Delhi"/>
    <d v="2024-12-12T00:00:00"/>
    <x v="0"/>
    <x v="0"/>
    <m/>
    <m/>
    <s v="Not Applicable"/>
    <s v="OK"/>
    <b v="0"/>
    <s v="Discount_Not_Applied"/>
    <n v="1999.2"/>
    <s v="Mismatch"/>
    <n v="1"/>
    <s v="OK"/>
    <n v="9"/>
    <s v="OK"/>
    <n v="0"/>
    <x v="2"/>
    <x v="9"/>
  </r>
  <r>
    <x v="235"/>
    <d v="2024-12-03T00:00:00"/>
    <s v="CUST_10235"/>
    <x v="0"/>
    <s v="BOT-WOL-L"/>
    <s v="Bottoms"/>
    <s v="Wool Trousers"/>
    <n v="2999"/>
    <n v="1"/>
    <n v="2999"/>
    <m/>
    <n v="0"/>
    <s v="UPI"/>
    <x v="1"/>
    <s v="Shillong"/>
    <s v="Meghalaya"/>
    <s v="Delhi"/>
    <d v="2024-12-14T00:00:00"/>
    <x v="0"/>
    <x v="1"/>
    <s v="Quality Defect"/>
    <d v="2025-01-05T00:00:00"/>
    <s v="Processed"/>
    <s v="OK"/>
    <b v="0"/>
    <s v="No_Discount"/>
    <n v="2999"/>
    <s v="OK"/>
    <n v="1"/>
    <s v="OK"/>
    <n v="11"/>
    <s v="OK"/>
    <n v="22"/>
    <x v="2"/>
    <x v="9"/>
  </r>
  <r>
    <x v="236"/>
    <d v="2024-12-03T00:00:00"/>
    <s v="CUST_10236"/>
    <x v="0"/>
    <s v="OUT-DWN-M"/>
    <s v="Outerwear"/>
    <s v="Down Jacket"/>
    <n v="7999"/>
    <n v="1"/>
    <n v="7999"/>
    <d v="2026-12-20T00:00:00"/>
    <n v="20"/>
    <s v="Wallet"/>
    <x v="2"/>
    <s v="Leh"/>
    <s v="Ladakh"/>
    <s v="Delhi"/>
    <d v="2024-12-14T00:00:00"/>
    <x v="0"/>
    <x v="0"/>
    <m/>
    <m/>
    <s v="Not Applicable"/>
    <s v="OK"/>
    <b v="0"/>
    <s v="Discount_Not_Applied"/>
    <n v="6399.2000000000007"/>
    <s v="Mismatch"/>
    <n v="1"/>
    <s v="OK"/>
    <n v="11"/>
    <s v="OK"/>
    <n v="0"/>
    <x v="2"/>
    <x v="9"/>
  </r>
  <r>
    <x v="237"/>
    <d v="2024-12-04T00:00:00"/>
    <s v="CUST_10237"/>
    <x v="1"/>
    <s v="TOP-VLV-S"/>
    <s v="Tops"/>
    <s v="Velvet Top"/>
    <n v="1999"/>
    <n v="1"/>
    <n v="1999"/>
    <m/>
    <n v="0"/>
    <s v="Credit Card"/>
    <x v="0"/>
    <s v="Ooty"/>
    <s v="Tamil Nadu"/>
    <s v="Bangalore"/>
    <d v="2024-12-13T00:00:00"/>
    <x v="0"/>
    <x v="0"/>
    <m/>
    <m/>
    <s v="Not Applicable"/>
    <s v="OK"/>
    <b v="0"/>
    <s v="No_Discount"/>
    <n v="1999"/>
    <s v="OK"/>
    <n v="1"/>
    <s v="OK"/>
    <n v="9"/>
    <s v="OK"/>
    <n v="0"/>
    <x v="2"/>
    <x v="9"/>
  </r>
  <r>
    <x v="238"/>
    <d v="2024-12-04T00:00:00"/>
    <s v="CUST_10238"/>
    <x v="0"/>
    <s v="ACC-ERM-OS"/>
    <s v="Accessories"/>
    <s v="Ear Muffs"/>
    <n v="499"/>
    <n v="2"/>
    <n v="998"/>
    <d v="2026-12-20T00:00:00"/>
    <n v="20"/>
    <s v="COD"/>
    <x v="1"/>
    <s v="Munnar"/>
    <s v="Kerala"/>
    <s v="Bangalore"/>
    <d v="2024-12-13T00:00:00"/>
    <x v="0"/>
    <x v="0"/>
    <m/>
    <m/>
    <s v="Not Applicable"/>
    <s v="OK"/>
    <b v="0"/>
    <s v="Discount_Not_Applied"/>
    <n v="798.40000000000009"/>
    <s v="Mismatch"/>
    <n v="1"/>
    <s v="OK"/>
    <n v="9"/>
    <s v="OK"/>
    <n v="0"/>
    <x v="2"/>
    <x v="9"/>
  </r>
  <r>
    <x v="239"/>
    <d v="2024-12-04T00:00:00"/>
    <s v="CUST_10239"/>
    <x v="0"/>
    <s v="DRS-NYE-S"/>
    <s v="Dresses"/>
    <s v="Sequin Party Dress"/>
    <n v="4999"/>
    <n v="1"/>
    <n v="4999"/>
    <m/>
    <n v="0"/>
    <s v="Debit Card"/>
    <x v="2"/>
    <s v="Goa"/>
    <s v="Goa"/>
    <s v="Mumbai"/>
    <d v="2024-12-14T00:00:00"/>
    <x v="0"/>
    <x v="1"/>
    <s v="Size Issue"/>
    <d v="2025-01-06T00:00:00"/>
    <s v="Processed"/>
    <s v="OK"/>
    <b v="0"/>
    <s v="No_Discount"/>
    <n v="4999"/>
    <s v="OK"/>
    <n v="1"/>
    <s v="OK"/>
    <n v="10"/>
    <s v="OK"/>
    <n v="23"/>
    <x v="2"/>
    <x v="9"/>
  </r>
  <r>
    <x v="240"/>
    <d v="2024-12-04T00:00:00"/>
    <s v="CUST_10240"/>
    <x v="0"/>
    <s v="TOP-SPK-M"/>
    <s v="Tops"/>
    <s v="Sparkle Top"/>
    <n v="2299"/>
    <n v="1"/>
    <n v="2299"/>
    <d v="2026-12-20T00:00:00"/>
    <n v="20"/>
    <s v="UPI"/>
    <x v="0"/>
    <s v="Mumbai"/>
    <s v="Maharashtra"/>
    <s v="Mumbai"/>
    <d v="2024-12-13T00:00:00"/>
    <x v="0"/>
    <x v="0"/>
    <m/>
    <m/>
    <s v="Not Applicable"/>
    <s v="OK"/>
    <b v="0"/>
    <s v="Discount_Not_Applied"/>
    <n v="1839.2"/>
    <s v="Mismatch"/>
    <n v="1"/>
    <s v="OK"/>
    <n v="9"/>
    <s v="OK"/>
    <n v="0"/>
    <x v="2"/>
    <x v="9"/>
  </r>
  <r>
    <x v="241"/>
    <d v="2024-12-05T00:00:00"/>
    <s v="CUST_10241"/>
    <x v="0"/>
    <s v="BOT-VLV-S"/>
    <s v="Bottoms"/>
    <s v="Velvet Pants"/>
    <n v="2599"/>
    <n v="1"/>
    <n v="2599"/>
    <m/>
    <n v="0"/>
    <s v="Credit Card"/>
    <x v="1"/>
    <s v="Bangalore"/>
    <s v="Karnataka"/>
    <s v="Bangalore"/>
    <d v="2024-12-15T00:00:00"/>
    <x v="0"/>
    <x v="1"/>
    <s v="Changed Mind"/>
    <d v="2025-01-08T00:00:00"/>
    <s v="Processed"/>
    <s v="OK"/>
    <b v="0"/>
    <s v="No_Discount"/>
    <n v="2599"/>
    <s v="OK"/>
    <n v="1"/>
    <s v="OK"/>
    <n v="10"/>
    <s v="OK"/>
    <n v="24"/>
    <x v="2"/>
    <x v="9"/>
  </r>
  <r>
    <x v="242"/>
    <d v="2024-12-05T00:00:00"/>
    <s v="CUST_10242"/>
    <x v="1"/>
    <s v="OUT-FUR-L"/>
    <s v="Outerwear"/>
    <s v="Faux Fur Coat"/>
    <n v="8999"/>
    <n v="1"/>
    <n v="8999"/>
    <d v="2026-12-20T00:00:00"/>
    <n v="20"/>
    <s v="Wallet"/>
    <x v="2"/>
    <s v="Delhi"/>
    <s v="Delhi"/>
    <s v="Delhi"/>
    <d v="2024-12-17T00:00:00"/>
    <x v="0"/>
    <x v="1"/>
    <s v="Size Issue"/>
    <d v="2025-01-10T00:00:00"/>
    <s v="Pending"/>
    <s v="OK"/>
    <b v="0"/>
    <s v="Discount_Not_Applied"/>
    <n v="7199.2000000000007"/>
    <s v="Mismatch"/>
    <n v="1"/>
    <s v="OK"/>
    <n v="12"/>
    <s v="OK"/>
    <n v="24"/>
    <x v="2"/>
    <x v="9"/>
  </r>
  <r>
    <x v="243"/>
    <d v="2024-12-05T00:00:00"/>
    <s v="CUST_10243"/>
    <x v="0"/>
    <s v="ACC-CLT-OS"/>
    <s v="Accessories"/>
    <s v="Evening Clutch"/>
    <n v="1799"/>
    <n v="1"/>
    <n v="1799"/>
    <m/>
    <n v="0"/>
    <s v="UPI"/>
    <x v="0"/>
    <s v="Hyderabad"/>
    <s v="Telangana"/>
    <s v="Bangalore"/>
    <d v="2024-12-16T00:00:00"/>
    <x v="0"/>
    <x v="0"/>
    <m/>
    <m/>
    <s v="Not Applicable"/>
    <s v="OK"/>
    <b v="0"/>
    <s v="No_Discount"/>
    <n v="1799"/>
    <s v="OK"/>
    <n v="1"/>
    <s v="OK"/>
    <n v="11"/>
    <s v="OK"/>
    <n v="0"/>
    <x v="2"/>
    <x v="9"/>
  </r>
  <r>
    <x v="244"/>
    <d v="2024-12-05T00:00:00"/>
    <s v="CUST_10244"/>
    <x v="0"/>
    <s v="TOP-MET-S"/>
    <s v="Tops"/>
    <s v="Metallic Blouse"/>
    <n v="2199"/>
    <n v="1"/>
    <n v="2199"/>
    <m/>
    <n v="0"/>
    <s v="Debit Card"/>
    <x v="1"/>
    <s v="Chennai"/>
    <s v="Tamil Nadu"/>
    <s v="Bangalore"/>
    <d v="2024-12-16T00:00:00"/>
    <x v="0"/>
    <x v="0"/>
    <m/>
    <m/>
    <s v="Not Applicable"/>
    <s v="OK"/>
    <b v="0"/>
    <s v="No_Discount"/>
    <n v="2199"/>
    <s v="OK"/>
    <n v="1"/>
    <s v="OK"/>
    <n v="11"/>
    <s v="OK"/>
    <n v="0"/>
    <x v="2"/>
    <x v="9"/>
  </r>
  <r>
    <x v="245"/>
    <d v="2024-12-06T00:00:00"/>
    <s v="CUST_10245"/>
    <x v="0"/>
    <s v="DRS-GLT-M"/>
    <s v="Dresses"/>
    <s v="Glitter Dress"/>
    <n v="3799"/>
    <n v="1"/>
    <n v="3799"/>
    <d v="2026-12-20T00:00:00"/>
    <n v="20"/>
    <s v="COD"/>
    <x v="2"/>
    <s v="Pune"/>
    <s v="Maharashtra"/>
    <s v="Mumbai"/>
    <d v="2024-12-18T00:00:00"/>
    <x v="0"/>
    <x v="1"/>
    <s v="Quality Defect"/>
    <d v="2025-01-12T00:00:00"/>
    <s v="Processed"/>
    <s v="OK"/>
    <b v="0"/>
    <s v="Discount_Not_Applied"/>
    <n v="3039.2000000000003"/>
    <s v="Mismatch"/>
    <n v="1"/>
    <s v="OK"/>
    <n v="12"/>
    <s v="OK"/>
    <n v="25"/>
    <x v="2"/>
    <x v="9"/>
  </r>
  <r>
    <x v="246"/>
    <d v="2024-12-06T00:00:00"/>
    <s v="CUST_10246"/>
    <x v="0"/>
    <s v="BOT-SLK-S"/>
    <s v="Bottoms"/>
    <s v="Silk Trousers"/>
    <n v="2899"/>
    <n v="1"/>
    <n v="2899"/>
    <m/>
    <n v="0"/>
    <s v="Credit Card"/>
    <x v="0"/>
    <s v="Kolkata"/>
    <s v="West Bengal"/>
    <s v="Delhi"/>
    <d v="2024-12-18T00:00:00"/>
    <x v="0"/>
    <x v="0"/>
    <m/>
    <m/>
    <s v="Not Applicable"/>
    <s v="OK"/>
    <b v="0"/>
    <s v="No_Discount"/>
    <n v="2899"/>
    <s v="OK"/>
    <n v="1"/>
    <s v="OK"/>
    <n v="12"/>
    <s v="OK"/>
    <n v="0"/>
    <x v="2"/>
    <x v="9"/>
  </r>
  <r>
    <x v="247"/>
    <d v="2024-12-06T00:00:00"/>
    <s v="CUST_10247"/>
    <x v="1"/>
    <s v="OUT-CPE-M"/>
    <s v="Outerwear"/>
    <s v="Velvet Cape"/>
    <n v="4599"/>
    <n v="1"/>
    <n v="4599"/>
    <d v="2026-12-20T00:00:00"/>
    <n v="20"/>
    <s v="UPI"/>
    <x v="1"/>
    <s v="Jaipur"/>
    <s v="Rajasthan"/>
    <s v="Delhi"/>
    <d v="2024-12-19T00:00:00"/>
    <x v="0"/>
    <x v="1"/>
    <s v="Size Issue"/>
    <d v="2025-01-14T00:00:00"/>
    <s v="Processed"/>
    <s v="OK"/>
    <b v="0"/>
    <s v="Discount_Not_Applied"/>
    <n v="3679.2000000000003"/>
    <s v="Mismatch"/>
    <n v="1"/>
    <s v="OK"/>
    <n v="13"/>
    <s v="OK"/>
    <n v="26"/>
    <x v="2"/>
    <x v="9"/>
  </r>
  <r>
    <x v="248"/>
    <d v="2024-12-06T00:00:00"/>
    <s v="CUST_10248"/>
    <x v="0"/>
    <s v="ACC-HDB-OS"/>
    <s v="Accessories"/>
    <s v="Embellished Handbag"/>
    <n v="2499"/>
    <n v="1"/>
    <n v="2499"/>
    <m/>
    <n v="0"/>
    <s v="Wallet"/>
    <x v="2"/>
    <s v="Lucknow"/>
    <s v="Uttar Pradesh"/>
    <s v="Delhi"/>
    <d v="2024-12-19T00:00:00"/>
    <x v="0"/>
    <x v="0"/>
    <m/>
    <m/>
    <s v="Not Applicable"/>
    <s v="OK"/>
    <b v="0"/>
    <s v="No_Discount"/>
    <n v="2499"/>
    <s v="OK"/>
    <n v="1"/>
    <s v="OK"/>
    <n v="13"/>
    <s v="OK"/>
    <n v="0"/>
    <x v="2"/>
    <x v="9"/>
  </r>
  <r>
    <x v="249"/>
    <d v="2024-12-07T00:00:00"/>
    <s v="CUST_10249"/>
    <x v="0"/>
    <s v="TOP-NYE-XS"/>
    <s v="Tops"/>
    <s v="Party Bodysuit"/>
    <n v="1899"/>
    <n v="1"/>
    <n v="1899"/>
    <m/>
    <n v="0"/>
    <s v="Debit Card"/>
    <x v="0"/>
    <s v="Goa"/>
    <s v="Goa"/>
    <s v="Mumbai"/>
    <m/>
    <x v="2"/>
    <x v="0"/>
    <m/>
    <m/>
    <s v="Not Applicable"/>
    <s v="OK"/>
    <b v="0"/>
    <s v="No_Discount"/>
    <n v="1899"/>
    <s v="OK"/>
    <n v="1"/>
    <s v="OK"/>
    <n v="-45633"/>
    <s v="Invalid_delivery_time"/>
    <n v="0"/>
    <x v="2"/>
    <x v="9"/>
  </r>
  <r>
    <x v="250"/>
    <d v="2024-12-07T00:00:00"/>
    <s v="CUST_10250"/>
    <x v="0"/>
    <s v="DRS-CCT-S"/>
    <s v="Dresses"/>
    <s v="Cocktail Dress"/>
    <n v="3299"/>
    <n v="1"/>
    <n v="3299"/>
    <d v="2026-12-20T00:00:00"/>
    <n v="20"/>
    <s v="Credit Card"/>
    <x v="1"/>
    <s v="Mumbai"/>
    <s v="Maharashtra"/>
    <s v="Mumbai"/>
    <d v="2024-12-20T00:00:00"/>
    <x v="0"/>
    <x v="0"/>
    <m/>
    <m/>
    <s v="Not Applicable"/>
    <s v="OK"/>
    <b v="0"/>
    <s v="Discount_Not_Applied"/>
    <n v="2639.2000000000003"/>
    <s v="Mismatch"/>
    <n v="1"/>
    <s v="OK"/>
    <n v="13"/>
    <s v="OK"/>
    <n v="0"/>
    <x v="2"/>
    <x v="9"/>
  </r>
  <r>
    <x v="251"/>
    <d v="2024-12-07T00:00:00"/>
    <s v="CUST_10251"/>
    <x v="0"/>
    <s v="BOT-SQN-M"/>
    <s v="Bottoms"/>
    <s v="Sequin Skirt"/>
    <n v="2199"/>
    <n v="1"/>
    <n v="2199"/>
    <m/>
    <n v="0"/>
    <s v="COD"/>
    <x v="2"/>
    <s v="Delhi"/>
    <s v="Delhi"/>
    <s v="Delhi"/>
    <d v="2024-12-21T00:00:00"/>
    <x v="0"/>
    <x v="1"/>
    <s v="Damaged in Transit"/>
    <d v="2025-01-15T00:00:00"/>
    <s v="Pending"/>
    <s v="OK"/>
    <b v="0"/>
    <s v="No_Discount"/>
    <n v="2199"/>
    <s v="OK"/>
    <n v="1"/>
    <s v="OK"/>
    <n v="14"/>
    <s v="OK"/>
    <n v="25"/>
    <x v="2"/>
    <x v="9"/>
  </r>
  <r>
    <x v="252"/>
    <d v="2024-12-07T00:00:00"/>
    <s v="CUST_10252"/>
    <x v="1"/>
    <s v="OUT-BLZ-S"/>
    <s v="Outerwear"/>
    <s v="Tuxedo Blazer"/>
    <n v="5499"/>
    <n v="1"/>
    <n v="5499"/>
    <d v="2026-12-20T00:00:00"/>
    <n v="20"/>
    <s v="UPI"/>
    <x v="0"/>
    <s v="Bangalore"/>
    <s v="Karnataka"/>
    <s v="Bangalore"/>
    <d v="2024-12-21T00:00:00"/>
    <x v="0"/>
    <x v="0"/>
    <m/>
    <m/>
    <s v="Not Applicable"/>
    <s v="OK"/>
    <b v="0"/>
    <s v="Discount_Not_Applied"/>
    <n v="4399.2"/>
    <s v="Mismatch"/>
    <n v="1"/>
    <s v="OK"/>
    <n v="14"/>
    <s v="OK"/>
    <n v="0"/>
    <x v="2"/>
    <x v="9"/>
  </r>
  <r>
    <x v="253"/>
    <d v="2024-12-08T00:00:00"/>
    <s v="CUST_10253"/>
    <x v="0"/>
    <s v="ACC-TRA-OS"/>
    <s v="Accessories"/>
    <s v="Tiara Headband"/>
    <n v="999"/>
    <n v="1"/>
    <n v="999"/>
    <m/>
    <n v="0"/>
    <s v="Wallet"/>
    <x v="1"/>
    <s v="Ahmedabad"/>
    <s v="Gujarat"/>
    <s v="Mumbai"/>
    <d v="2024-12-22T00:00:00"/>
    <x v="0"/>
    <x v="0"/>
    <m/>
    <m/>
    <s v="Not Applicable"/>
    <s v="OK"/>
    <b v="0"/>
    <s v="No_Discount"/>
    <n v="999"/>
    <s v="OK"/>
    <n v="1"/>
    <s v="OK"/>
    <n v="14"/>
    <s v="OK"/>
    <n v="0"/>
    <x v="2"/>
    <x v="10"/>
  </r>
  <r>
    <x v="254"/>
    <d v="2024-12-08T00:00:00"/>
    <s v="CUST_10254"/>
    <x v="0"/>
    <s v="TOP-OFF-M"/>
    <s v="Tops"/>
    <s v="Off-Shoulder Top"/>
    <n v="1699"/>
    <n v="2"/>
    <n v="3398"/>
    <m/>
    <n v="0"/>
    <s v="Debit Card"/>
    <x v="2"/>
    <s v="Surat"/>
    <s v="Gujarat"/>
    <s v="Mumbai"/>
    <d v="2024-12-22T00:00:00"/>
    <x v="0"/>
    <x v="1"/>
    <s v="Size Issue"/>
    <d v="2025-01-16T00:00:00"/>
    <s v="Processed"/>
    <s v="OK"/>
    <b v="0"/>
    <s v="No_Discount"/>
    <n v="3398"/>
    <s v="OK"/>
    <n v="1"/>
    <s v="OK"/>
    <n v="14"/>
    <s v="OK"/>
    <n v="25"/>
    <x v="2"/>
    <x v="10"/>
  </r>
  <r>
    <x v="255"/>
    <d v="2024-12-08T00:00:00"/>
    <s v="CUST_10255"/>
    <x v="0"/>
    <s v="DRS-BLB-S"/>
    <s v="Dresses"/>
    <s v="Balloon Sleeve Dress"/>
    <n v="2799"/>
    <n v="1"/>
    <n v="2799"/>
    <d v="2026-12-20T00:00:00"/>
    <n v="20"/>
    <s v="Credit Card"/>
    <x v="0"/>
    <s v="Vadodara"/>
    <s v="Gujarat"/>
    <s v="Mumbai"/>
    <d v="2024-12-23T00:00:00"/>
    <x v="0"/>
    <x v="1"/>
    <s v="Wrong Item"/>
    <d v="2025-01-18T00:00:00"/>
    <s v="Processed"/>
    <s v="OK"/>
    <b v="0"/>
    <s v="Discount_Not_Applied"/>
    <n v="2239.2000000000003"/>
    <s v="Mismatch"/>
    <n v="1"/>
    <s v="OK"/>
    <n v="15"/>
    <s v="OK"/>
    <n v="26"/>
    <x v="2"/>
    <x v="10"/>
  </r>
  <r>
    <x v="256"/>
    <d v="2024-12-08T00:00:00"/>
    <s v="CUST_10256"/>
    <x v="0"/>
    <s v="BOT-WDE-L"/>
    <s v="Bottoms"/>
    <s v="Wide Leg Pants"/>
    <n v="2299"/>
    <n v="1"/>
    <n v="2299"/>
    <m/>
    <n v="0"/>
    <s v="UPI"/>
    <x v="1"/>
    <s v="Rajkot"/>
    <s v="Gujarat"/>
    <s v="Mumbai"/>
    <d v="2024-12-23T00:00:00"/>
    <x v="0"/>
    <x v="0"/>
    <m/>
    <m/>
    <s v="Not Applicable"/>
    <s v="OK"/>
    <b v="0"/>
    <s v="No_Discount"/>
    <n v="2299"/>
    <s v="OK"/>
    <n v="1"/>
    <s v="OK"/>
    <n v="15"/>
    <s v="OK"/>
    <n v="0"/>
    <x v="2"/>
    <x v="10"/>
  </r>
  <r>
    <x v="257"/>
    <d v="2024-12-09T00:00:00"/>
    <s v="CUST_10257"/>
    <x v="1"/>
    <s v="OUT-SQN-M"/>
    <s v="Outerwear"/>
    <s v="Sequin Jacket"/>
    <n v="5999"/>
    <n v="1"/>
    <n v="5999"/>
    <m/>
    <n v="0"/>
    <s v="COD"/>
    <x v="2"/>
    <s v="Kanpur"/>
    <s v="Uttar Pradesh"/>
    <s v="Delhi"/>
    <d v="2024-12-24T00:00:00"/>
    <x v="0"/>
    <x v="1"/>
    <s v="Changed Mind"/>
    <d v="2025-01-20T00:00:00"/>
    <s v="Processed"/>
    <s v="OK"/>
    <b v="0"/>
    <s v="No_Discount"/>
    <n v="5999"/>
    <s v="OK"/>
    <n v="1"/>
    <s v="OK"/>
    <n v="15"/>
    <s v="OK"/>
    <n v="27"/>
    <x v="2"/>
    <x v="10"/>
  </r>
  <r>
    <x v="258"/>
    <d v="2024-12-09T00:00:00"/>
    <s v="CUST_10258"/>
    <x v="0"/>
    <s v="ACC-PRT-OS"/>
    <s v="Accessories"/>
    <s v="Party Earrings"/>
    <n v="899"/>
    <n v="2"/>
    <n v="1798"/>
    <d v="2026-12-20T00:00:00"/>
    <n v="20"/>
    <s v="Wallet"/>
    <x v="0"/>
    <s v="Mumbai"/>
    <s v="Maharashtra"/>
    <s v="Mumbai"/>
    <d v="2024-12-23T00:00:00"/>
    <x v="0"/>
    <x v="0"/>
    <m/>
    <m/>
    <s v="Not Applicable"/>
    <s v="OK"/>
    <b v="0"/>
    <s v="Discount_Not_Applied"/>
    <n v="1438.4"/>
    <s v="Mismatch"/>
    <n v="1"/>
    <s v="OK"/>
    <n v="14"/>
    <s v="OK"/>
    <n v="0"/>
    <x v="2"/>
    <x v="10"/>
  </r>
  <r>
    <x v="259"/>
    <d v="2024-12-09T00:00:00"/>
    <s v="CUST_10259"/>
    <x v="0"/>
    <s v="TOP-FTH-S"/>
    <s v="Tops"/>
    <s v="Feather Trim Top"/>
    <n v="2099"/>
    <n v="1"/>
    <n v="2099"/>
    <m/>
    <n v="0"/>
    <s v="Debit Card"/>
    <x v="1"/>
    <s v="Delhi"/>
    <s v="Delhi"/>
    <s v="Delhi"/>
    <d v="2024-12-24T00:00:00"/>
    <x v="0"/>
    <x v="1"/>
    <s v="Quality Defect"/>
    <d v="2025-01-19T00:00:00"/>
    <s v="Processed"/>
    <s v="OK"/>
    <b v="0"/>
    <s v="No_Discount"/>
    <n v="2099"/>
    <s v="OK"/>
    <n v="1"/>
    <s v="OK"/>
    <n v="15"/>
    <s v="OK"/>
    <n v="26"/>
    <x v="2"/>
    <x v="10"/>
  </r>
  <r>
    <x v="260"/>
    <d v="2024-12-10T00:00:00"/>
    <s v="CUST_10260"/>
    <x v="0"/>
    <s v="DRS-PRY-M"/>
    <s v="Dresses"/>
    <s v="Party Maxi"/>
    <n v="3999"/>
    <n v="1"/>
    <n v="3999"/>
    <m/>
    <n v="0"/>
    <s v="Credit Card"/>
    <x v="2"/>
    <s v="Chandigarh"/>
    <s v="Punjab"/>
    <s v="Delhi"/>
    <d v="2024-12-25T00:00:00"/>
    <x v="0"/>
    <x v="1"/>
    <s v="Size Issue"/>
    <d v="2025-01-22T00:00:00"/>
    <s v="Processed"/>
    <s v="OK"/>
    <b v="0"/>
    <s v="No_Discount"/>
    <n v="3999"/>
    <s v="OK"/>
    <n v="1"/>
    <s v="OK"/>
    <n v="15"/>
    <s v="OK"/>
    <n v="28"/>
    <x v="2"/>
    <x v="10"/>
  </r>
  <r>
    <x v="261"/>
    <d v="2024-12-10T00:00:00"/>
    <s v="CUST_10261"/>
    <x v="0"/>
    <s v="BOT-GLM-S"/>
    <s v="Bottoms"/>
    <s v="Glam Pants"/>
    <n v="2499"/>
    <n v="1"/>
    <n v="2499"/>
    <d v="2026-12-20T00:00:00"/>
    <n v="20"/>
    <s v="UPI"/>
    <x v="0"/>
    <s v="Noida"/>
    <s v="Uttar Pradesh"/>
    <s v="Delhi"/>
    <d v="2024-12-25T00:00:00"/>
    <x v="0"/>
    <x v="0"/>
    <m/>
    <m/>
    <s v="Not Applicable"/>
    <s v="OK"/>
    <b v="0"/>
    <s v="Discount_Not_Applied"/>
    <n v="1999.2"/>
    <s v="Mismatch"/>
    <n v="1"/>
    <s v="OK"/>
    <n v="15"/>
    <s v="OK"/>
    <n v="0"/>
    <x v="2"/>
    <x v="10"/>
  </r>
  <r>
    <x v="262"/>
    <d v="2024-12-10T00:00:00"/>
    <s v="CUST_10262"/>
    <x v="1"/>
    <s v="OUT-LME-L"/>
    <s v="Outerwear"/>
    <s v="Lame Blazer"/>
    <n v="4899"/>
    <n v="1"/>
    <n v="4899"/>
    <m/>
    <n v="0"/>
    <s v="COD"/>
    <x v="1"/>
    <s v="Gurgaon"/>
    <s v="Haryana"/>
    <s v="Delhi"/>
    <d v="2024-12-26T00:00:00"/>
    <x v="0"/>
    <x v="1"/>
    <s v="Wrong Item"/>
    <d v="2025-01-23T00:00:00"/>
    <s v="Processed"/>
    <s v="OK"/>
    <b v="0"/>
    <s v="No_Discount"/>
    <n v="4899"/>
    <s v="OK"/>
    <n v="1"/>
    <s v="OK"/>
    <n v="16"/>
    <s v="OK"/>
    <n v="28"/>
    <x v="2"/>
    <x v="10"/>
  </r>
  <r>
    <x v="263"/>
    <d v="2024-12-10T00:00:00"/>
    <s v="CUST_10263"/>
    <x v="0"/>
    <s v="ACC-NYE-OS"/>
    <s v="Accessories"/>
    <s v="NYE Headpiece"/>
    <n v="1199"/>
    <n v="1"/>
    <n v="1199"/>
    <m/>
    <n v="0"/>
    <s v="Wallet"/>
    <x v="2"/>
    <s v="Indore"/>
    <s v="Madhya Pradesh"/>
    <s v="Mumbai"/>
    <d v="2024-12-25T00:00:00"/>
    <x v="0"/>
    <x v="0"/>
    <m/>
    <m/>
    <s v="Not Applicable"/>
    <s v="OK"/>
    <b v="0"/>
    <s v="No_Discount"/>
    <n v="1199"/>
    <s v="OK"/>
    <n v="1"/>
    <s v="OK"/>
    <n v="15"/>
    <s v="OK"/>
    <n v="0"/>
    <x v="2"/>
    <x v="10"/>
  </r>
  <r>
    <x v="264"/>
    <d v="2024-12-10T00:00:00"/>
    <s v="CUST_10264"/>
    <x v="0"/>
    <s v="TOP-SHM-M"/>
    <s v="Tops"/>
    <s v="Shimmer Top"/>
    <n v="1899"/>
    <n v="1"/>
    <n v="1899"/>
    <d v="2026-12-20T00:00:00"/>
    <n v="20"/>
    <s v="Debit Card"/>
    <x v="0"/>
    <s v="Surat"/>
    <s v="Gujarat"/>
    <s v="Mumbai"/>
    <d v="2024-12-26T00:00:00"/>
    <x v="0"/>
    <x v="1"/>
    <s v="Damaged in Transit"/>
    <d v="2025-01-21T00:00:00"/>
    <s v="Processed"/>
    <s v="OK"/>
    <b v="0"/>
    <s v="Discount_Not_Applied"/>
    <n v="1519.2"/>
    <s v="Mismatch"/>
    <n v="1"/>
    <s v="OK"/>
    <n v="16"/>
    <s v="OK"/>
    <n v="26"/>
    <x v="2"/>
    <x v="10"/>
  </r>
  <r>
    <x v="265"/>
    <d v="2024-12-11T00:00:00"/>
    <s v="CUST_10265"/>
    <x v="0"/>
    <s v="DRS-CNT-L"/>
    <s v="Dresses"/>
    <s v="Countdown Dress"/>
    <n v="3599"/>
    <n v="1"/>
    <n v="3599"/>
    <m/>
    <n v="0"/>
    <s v="Credit Card"/>
    <x v="1"/>
    <s v="Patna"/>
    <s v="Bihar"/>
    <s v="Delhi"/>
    <d v="2024-12-27T00:00:00"/>
    <x v="0"/>
    <x v="0"/>
    <m/>
    <m/>
    <s v="Not Applicable"/>
    <s v="OK"/>
    <b v="0"/>
    <s v="No_Discount"/>
    <n v="3599"/>
    <s v="OK"/>
    <n v="1"/>
    <s v="OK"/>
    <n v="16"/>
    <s v="OK"/>
    <n v="0"/>
    <x v="2"/>
    <x v="10"/>
  </r>
  <r>
    <x v="266"/>
    <d v="2024-12-11T00:00:00"/>
    <s v="CUST_10266"/>
    <x v="0"/>
    <s v="BOT-CHM-S"/>
    <s v="Bottoms"/>
    <s v="Champagne Pants"/>
    <n v="2699"/>
    <n v="1"/>
    <n v="2699"/>
    <m/>
    <n v="0"/>
    <s v="UPI"/>
    <x v="2"/>
    <s v="Bhopal"/>
    <s v="Madhya Pradesh"/>
    <s v="Mumbai"/>
    <d v="2024-12-27T00:00:00"/>
    <x v="0"/>
    <x v="1"/>
    <s v="Size Issue"/>
    <d v="2025-01-24T00:00:00"/>
    <s v="Processed"/>
    <s v="OK"/>
    <b v="0"/>
    <s v="No_Discount"/>
    <n v="2699"/>
    <s v="OK"/>
    <n v="1"/>
    <s v="OK"/>
    <n v="16"/>
    <s v="OK"/>
    <n v="28"/>
    <x v="2"/>
    <x v="10"/>
  </r>
  <r>
    <x v="267"/>
    <d v="2024-12-11T00:00:00"/>
    <s v="CUST_10267"/>
    <x v="1"/>
    <s v="OUT-RSE-M"/>
    <s v="Outerwear"/>
    <s v="Rose Gold Jacket"/>
    <n v="5599"/>
    <n v="1"/>
    <n v="5599"/>
    <d v="2026-12-20T00:00:00"/>
    <n v="20"/>
    <s v="COD"/>
    <x v="0"/>
    <s v="Nagpur"/>
    <s v="Maharashtra"/>
    <s v="Mumbai"/>
    <d v="2024-12-28T00:00:00"/>
    <x v="0"/>
    <x v="1"/>
    <s v="Changed Mind"/>
    <d v="2025-01-25T00:00:00"/>
    <s v="Processed"/>
    <s v="OK"/>
    <b v="0"/>
    <s v="Discount_Not_Applied"/>
    <n v="4479.2"/>
    <s v="Mismatch"/>
    <n v="1"/>
    <s v="OK"/>
    <n v="17"/>
    <s v="OK"/>
    <n v="28"/>
    <x v="2"/>
    <x v="10"/>
  </r>
  <r>
    <x v="268"/>
    <d v="2024-12-11T00:00:00"/>
    <s v="CUST_10268"/>
    <x v="0"/>
    <s v="ACC-MSK-OS"/>
    <s v="Accessories"/>
    <s v="Mask Chain"/>
    <n v="399"/>
    <n v="3"/>
    <n v="1197"/>
    <m/>
    <n v="0"/>
    <s v="Wallet"/>
    <x v="1"/>
    <s v="Coimbatore"/>
    <s v="Tamil Nadu"/>
    <s v="Bangalore"/>
    <d v="2024-12-27T00:00:00"/>
    <x v="0"/>
    <x v="0"/>
    <m/>
    <m/>
    <s v="Not Applicable"/>
    <s v="OK"/>
    <b v="0"/>
    <s v="No_Discount"/>
    <n v="1197"/>
    <s v="OK"/>
    <n v="1"/>
    <s v="OK"/>
    <n v="16"/>
    <s v="OK"/>
    <n v="0"/>
    <x v="2"/>
    <x v="10"/>
  </r>
  <r>
    <x v="269"/>
    <d v="2024-12-12T00:00:00"/>
    <s v="CUST_10269"/>
    <x v="0"/>
    <s v="TOP-CEL-L"/>
    <s v="Tops"/>
    <s v="Celebration Top"/>
    <n v="2199"/>
    <n v="1"/>
    <n v="2199"/>
    <m/>
    <n v="0"/>
    <s v="Debit Card"/>
    <x v="2"/>
    <s v="Kochi"/>
    <s v="Kerala"/>
    <s v="Bangalore"/>
    <d v="2024-12-28T00:00:00"/>
    <x v="0"/>
    <x v="1"/>
    <s v="Quality Defect"/>
    <d v="2025-01-23T00:00:00"/>
    <s v="Processed"/>
    <s v="OK"/>
    <b v="0"/>
    <s v="No_Discount"/>
    <n v="2199"/>
    <s v="OK"/>
    <n v="1"/>
    <s v="OK"/>
    <n v="16"/>
    <s v="OK"/>
    <n v="26"/>
    <x v="2"/>
    <x v="10"/>
  </r>
  <r>
    <x v="270"/>
    <d v="2024-12-12T00:00:00"/>
    <s v="CUST_10270"/>
    <x v="0"/>
    <s v="DRS-MID-S"/>
    <s v="Dresses"/>
    <s v="Midnight Dress"/>
    <n v="4299"/>
    <n v="1"/>
    <n v="4299"/>
    <d v="2026-12-20T00:00:00"/>
    <n v="20"/>
    <s v="Credit Card"/>
    <x v="0"/>
    <s v="Vizag"/>
    <s v="Andhra Pradesh"/>
    <s v="Bangalore"/>
    <d v="2024-12-29T00:00:00"/>
    <x v="0"/>
    <x v="0"/>
    <m/>
    <m/>
    <s v="Not Applicable"/>
    <s v="OK"/>
    <b v="0"/>
    <s v="Discount_Not_Applied"/>
    <n v="3439.2000000000003"/>
    <s v="Mismatch"/>
    <n v="1"/>
    <s v="OK"/>
    <n v="17"/>
    <s v="OK"/>
    <n v="0"/>
    <x v="2"/>
    <x v="10"/>
  </r>
  <r>
    <x v="271"/>
    <d v="2024-12-12T00:00:00"/>
    <s v="CUST_10271"/>
    <x v="0"/>
    <s v="BOT-NYS-M"/>
    <s v="Bottoms"/>
    <s v="NYE Skirt"/>
    <n v="2399"/>
    <n v="1"/>
    <n v="2399"/>
    <m/>
    <n v="0"/>
    <s v="UPI"/>
    <x v="1"/>
    <s v="Thiruvananthapuram"/>
    <s v="Kerala"/>
    <s v="Bangalore"/>
    <d v="2024-12-29T00:00:00"/>
    <x v="0"/>
    <x v="1"/>
    <s v="Wrong Item"/>
    <d v="2025-01-26T00:00:00"/>
    <s v="Processed"/>
    <s v="OK"/>
    <b v="0"/>
    <s v="No_Discount"/>
    <n v="2399"/>
    <s v="OK"/>
    <n v="1"/>
    <s v="OK"/>
    <n v="17"/>
    <s v="OK"/>
    <n v="28"/>
    <x v="2"/>
    <x v="10"/>
  </r>
  <r>
    <x v="272"/>
    <d v="2024-12-12T00:00:00"/>
    <s v="CUST_10272"/>
    <x v="1"/>
    <s v="OUT-FRS-L"/>
    <s v="Outerwear"/>
    <s v="Frost Jacket"/>
    <n v="6299"/>
    <n v="1"/>
    <n v="6299"/>
    <m/>
    <n v="0"/>
    <s v="COD"/>
    <x v="2"/>
    <s v="Mysore"/>
    <s v="Karnataka"/>
    <s v="Bangalore"/>
    <m/>
    <x v="2"/>
    <x v="0"/>
    <m/>
    <m/>
    <s v="Not Applicable"/>
    <s v="OK"/>
    <b v="0"/>
    <s v="No_Discount"/>
    <n v="6299"/>
    <s v="OK"/>
    <n v="1"/>
    <s v="OK"/>
    <n v="-45638"/>
    <s v="Invalid_delivery_time"/>
    <n v="0"/>
    <x v="2"/>
    <x v="10"/>
  </r>
  <r>
    <x v="273"/>
    <d v="2024-12-13T00:00:00"/>
    <s v="CUST_10273"/>
    <x v="0"/>
    <s v="ACC-SPR-OS"/>
    <s v="Accessories"/>
    <s v="Sparkle Hair Clip"/>
    <n v="599"/>
    <n v="2"/>
    <n v="1198"/>
    <d v="2026-12-20T00:00:00"/>
    <n v="20"/>
    <s v="Wallet"/>
    <x v="0"/>
    <s v="Vadodara"/>
    <s v="Gujarat"/>
    <s v="Mumbai"/>
    <d v="2024-12-29T00:00:00"/>
    <x v="0"/>
    <x v="0"/>
    <m/>
    <m/>
    <s v="Not Applicable"/>
    <s v="OK"/>
    <b v="0"/>
    <s v="Discount_Not_Applied"/>
    <n v="958.40000000000009"/>
    <s v="Mismatch"/>
    <n v="1"/>
    <s v="OK"/>
    <n v="16"/>
    <s v="OK"/>
    <n v="0"/>
    <x v="2"/>
    <x v="10"/>
  </r>
  <r>
    <x v="274"/>
    <d v="2024-12-13T00:00:00"/>
    <s v="CUST_10274"/>
    <x v="0"/>
    <s v="TOP-GLS-M"/>
    <s v="Tops"/>
    <s v="Glass Bead Top"/>
    <n v="2399"/>
    <n v="1"/>
    <n v="2399"/>
    <m/>
    <n v="0"/>
    <s v="Debit Card"/>
    <x v="1"/>
    <s v="Rajkot"/>
    <s v="Gujarat"/>
    <s v="Mumbai"/>
    <d v="2024-12-30T00:00:00"/>
    <x v="0"/>
    <x v="1"/>
    <s v="Size Issue"/>
    <d v="2025-01-27T00:00:00"/>
    <s v="Processed"/>
    <s v="OK"/>
    <b v="0"/>
    <s v="No_Discount"/>
    <n v="2399"/>
    <s v="OK"/>
    <n v="1"/>
    <s v="OK"/>
    <n v="17"/>
    <s v="OK"/>
    <n v="28"/>
    <x v="2"/>
    <x v="10"/>
  </r>
  <r>
    <x v="275"/>
    <d v="2024-12-13T00:00:00"/>
    <s v="CUST_10275"/>
    <x v="0"/>
    <s v="DRS-FNL-L"/>
    <s v="Dresses"/>
    <s v="Finale Gown"/>
    <n v="5999"/>
    <n v="1"/>
    <n v="5999"/>
    <m/>
    <n v="0"/>
    <s v="Credit Card"/>
    <x v="2"/>
    <s v="Kanpur"/>
    <s v="Uttar Pradesh"/>
    <s v="Delhi"/>
    <d v="2024-12-31T00:00:00"/>
    <x v="0"/>
    <x v="1"/>
    <s v="Damaged in Transit"/>
    <d v="2025-01-28T00:00:00"/>
    <s v="Processed"/>
    <s v="OK"/>
    <b v="0"/>
    <s v="No_Discount"/>
    <n v="5999"/>
    <s v="OK"/>
    <n v="1"/>
    <s v="OK"/>
    <n v="18"/>
    <s v="OK"/>
    <n v="28"/>
    <x v="2"/>
    <x v="10"/>
  </r>
  <r>
    <x v="276"/>
    <d v="2024-12-13T00:00:00"/>
    <s v="CUST_10276"/>
    <x v="0"/>
    <s v="BOT-PRY-S"/>
    <s v="Bottoms"/>
    <s v="Party Leggings"/>
    <n v="1899"/>
    <n v="1"/>
    <n v="1899"/>
    <d v="2026-12-20T00:00:00"/>
    <n v="20"/>
    <s v="UPI"/>
    <x v="0"/>
    <s v="Mumbai"/>
    <s v="Maharashtra"/>
    <s v="Mumbai"/>
    <d v="2024-12-30T00:00:00"/>
    <x v="0"/>
    <x v="0"/>
    <m/>
    <m/>
    <s v="Not Applicable"/>
    <s v="OK"/>
    <b v="0"/>
    <s v="Discount_Not_Applied"/>
    <n v="1519.2"/>
    <s v="Mismatch"/>
    <n v="1"/>
    <s v="OK"/>
    <n v="17"/>
    <s v="OK"/>
    <n v="0"/>
    <x v="2"/>
    <x v="10"/>
  </r>
  <r>
    <x v="277"/>
    <d v="2024-12-14T00:00:00"/>
    <s v="CUST_10277"/>
    <x v="1"/>
    <s v="OUT-CHR-M"/>
    <s v="Outerwear"/>
    <s v="Christmas Jacket"/>
    <n v="4999"/>
    <n v="1"/>
    <n v="4999"/>
    <m/>
    <n v="0"/>
    <s v="COD"/>
    <x v="1"/>
    <s v="Delhi"/>
    <s v="Delhi"/>
    <s v="Delhi"/>
    <d v="2024-12-31T00:00:00"/>
    <x v="0"/>
    <x v="1"/>
    <s v="Changed Mind"/>
    <d v="2025-01-29T00:00:00"/>
    <s v="Processed"/>
    <s v="OK"/>
    <b v="0"/>
    <s v="No_Discount"/>
    <n v="4999"/>
    <s v="OK"/>
    <n v="1"/>
    <s v="OK"/>
    <n v="17"/>
    <s v="OK"/>
    <n v="29"/>
    <x v="2"/>
    <x v="10"/>
  </r>
  <r>
    <x v="278"/>
    <d v="2024-12-14T00:00:00"/>
    <s v="CUST_10278"/>
    <x v="0"/>
    <s v="ACC-BLS-OS"/>
    <s v="Accessories"/>
    <s v="Blush Bag"/>
    <n v="1699"/>
    <n v="1"/>
    <n v="1699"/>
    <m/>
    <n v="0"/>
    <s v="Wallet"/>
    <x v="2"/>
    <s v="Kolkata"/>
    <s v="West Bengal"/>
    <s v="Delhi"/>
    <d v="2024-12-30T00:00:00"/>
    <x v="0"/>
    <x v="1"/>
    <s v="Quality Defect"/>
    <d v="2025-01-26T00:00:00"/>
    <s v="Processed"/>
    <s v="OK"/>
    <b v="0"/>
    <s v="No_Discount"/>
    <n v="1699"/>
    <s v="OK"/>
    <n v="1"/>
    <s v="OK"/>
    <n v="16"/>
    <s v="OK"/>
    <n v="27"/>
    <x v="2"/>
    <x v="10"/>
  </r>
  <r>
    <x v="279"/>
    <d v="2024-12-14T00:00:00"/>
    <s v="CUST_10279"/>
    <x v="0"/>
    <s v="TOP-YRS-L"/>
    <s v="Tops"/>
    <s v="Year End Top"/>
    <n v="2099"/>
    <n v="1"/>
    <n v="2099"/>
    <d v="2026-12-20T00:00:00"/>
    <n v="20"/>
    <s v="Debit Card"/>
    <x v="0"/>
    <s v="Chennai"/>
    <s v="Tamil Nadu"/>
    <s v="Bangalore"/>
    <d v="2024-12-31T00:00:00"/>
    <x v="0"/>
    <x v="0"/>
    <m/>
    <m/>
    <s v="Not Applicable"/>
    <s v="OK"/>
    <b v="0"/>
    <s v="Discount_Not_Applied"/>
    <n v="1679.2"/>
    <s v="Mismatch"/>
    <n v="1"/>
    <s v="OK"/>
    <n v="17"/>
    <s v="OK"/>
    <n v="0"/>
    <x v="2"/>
    <x v="10"/>
  </r>
  <r>
    <x v="280"/>
    <d v="2024-12-14T00:00:00"/>
    <s v="CUST_10280"/>
    <x v="0"/>
    <s v="DRS-EVE-S"/>
    <s v="Dresses"/>
    <s v="Evening Elegance"/>
    <n v="4599"/>
    <n v="1"/>
    <n v="4599"/>
    <m/>
    <n v="0"/>
    <s v="Credit Card"/>
    <x v="1"/>
    <s v="Hyderabad"/>
    <s v="Telangana"/>
    <s v="Bangalore"/>
    <d v="2025-01-02T00:00:00"/>
    <x v="0"/>
    <x v="1"/>
    <s v="Size Issue"/>
    <d v="2025-01-30T00:00:00"/>
    <s v="Processed"/>
    <s v="OK"/>
    <b v="0"/>
    <s v="No_Discount"/>
    <n v="4599"/>
    <s v="OK"/>
    <n v="1"/>
    <s v="OK"/>
    <n v="19"/>
    <s v="OK"/>
    <n v="28"/>
    <x v="2"/>
    <x v="10"/>
  </r>
  <r>
    <x v="281"/>
    <d v="2024-12-15T00:00:00"/>
    <s v="CUST_10281"/>
    <x v="0"/>
    <s v="BOT-FNS-M"/>
    <s v="Bottoms"/>
    <s v="Finish Line Pants"/>
    <n v="2299"/>
    <n v="1"/>
    <n v="2299"/>
    <m/>
    <n v="0"/>
    <s v="UPI"/>
    <x v="2"/>
    <s v="Pune"/>
    <s v="Maharashtra"/>
    <s v="Mumbai"/>
    <d v="2025-01-02T00:00:00"/>
    <x v="0"/>
    <x v="0"/>
    <m/>
    <m/>
    <s v="Not Applicable"/>
    <s v="OK"/>
    <b v="0"/>
    <s v="No_Discount"/>
    <n v="2299"/>
    <s v="OK"/>
    <n v="1"/>
    <s v="OK"/>
    <n v="18"/>
    <s v="OK"/>
    <n v="0"/>
    <x v="2"/>
    <x v="11"/>
  </r>
  <r>
    <x v="282"/>
    <d v="2024-12-15T00:00:00"/>
    <s v="CUST_10282"/>
    <x v="1"/>
    <s v="OUT-NYB-L"/>
    <s v="Outerwear"/>
    <s v="NYE Blazer"/>
    <n v="5799"/>
    <n v="1"/>
    <n v="5799"/>
    <d v="2026-12-20T00:00:00"/>
    <n v="20"/>
    <s v="COD"/>
    <x v="0"/>
    <s v="Ahmedabad"/>
    <s v="Gujarat"/>
    <s v="Mumbai"/>
    <d v="2025-01-03T00:00:00"/>
    <x v="0"/>
    <x v="1"/>
    <s v="Wrong Item"/>
    <d v="2025-01-31T00:00:00"/>
    <s v="Processed"/>
    <s v="OK"/>
    <b v="0"/>
    <s v="Discount_Not_Applied"/>
    <n v="4639.2"/>
    <s v="Mismatch"/>
    <n v="1"/>
    <s v="OK"/>
    <n v="19"/>
    <s v="OK"/>
    <n v="28"/>
    <x v="2"/>
    <x v="11"/>
  </r>
  <r>
    <x v="283"/>
    <d v="2024-12-15T00:00:00"/>
    <s v="CUST_10283"/>
    <x v="0"/>
    <s v="ACC-CNT-OS"/>
    <s v="Accessories"/>
    <s v="Countdown Earrings"/>
    <n v="799"/>
    <n v="2"/>
    <n v="1598"/>
    <m/>
    <n v="0"/>
    <s v="Wallet"/>
    <x v="1"/>
    <s v="Jaipur"/>
    <s v="Rajasthan"/>
    <s v="Delhi"/>
    <d v="2025-01-02T00:00:00"/>
    <x v="0"/>
    <x v="0"/>
    <m/>
    <m/>
    <s v="Not Applicable"/>
    <s v="OK"/>
    <b v="0"/>
    <s v="No_Discount"/>
    <n v="1598"/>
    <s v="OK"/>
    <n v="1"/>
    <s v="OK"/>
    <n v="18"/>
    <s v="OK"/>
    <n v="0"/>
    <x v="2"/>
    <x v="11"/>
  </r>
  <r>
    <x v="284"/>
    <d v="2024-12-15T00:00:00"/>
    <s v="CUST_10284"/>
    <x v="0"/>
    <s v="TOP-LST-S"/>
    <s v="Tops"/>
    <s v="Last Dance Top"/>
    <n v="1999"/>
    <n v="1"/>
    <n v="1999"/>
    <m/>
    <n v="0"/>
    <s v="Debit Card"/>
    <x v="2"/>
    <s v="Lucknow"/>
    <s v="Uttar Pradesh"/>
    <s v="Delhi"/>
    <d v="2025-01-03T00:00:00"/>
    <x v="0"/>
    <x v="1"/>
    <s v="Damaged in Transit"/>
    <d v="2025-01-30T00:00:00"/>
    <s v="Processed"/>
    <s v="OK"/>
    <b v="0"/>
    <s v="No_Discount"/>
    <n v="1999"/>
    <s v="OK"/>
    <n v="1"/>
    <s v="OK"/>
    <n v="19"/>
    <s v="OK"/>
    <n v="27"/>
    <x v="2"/>
    <x v="11"/>
  </r>
  <r>
    <x v="285"/>
    <d v="2024-12-16T00:00:00"/>
    <s v="CUST_10285"/>
    <x v="0"/>
    <s v="DRS-BLS-M"/>
    <s v="Dresses"/>
    <s v="Bliss Dress"/>
    <n v="3899"/>
    <n v="1"/>
    <n v="3899"/>
    <d v="2026-12-20T00:00:00"/>
    <n v="20"/>
    <s v="Credit Card"/>
    <x v="0"/>
    <s v="Bangalore"/>
    <s v="Karnataka"/>
    <s v="Bangalore"/>
    <d v="2025-01-04T00:00:00"/>
    <x v="0"/>
    <x v="1"/>
    <s v="Size Issue"/>
    <d v="2025-02-01T00:00:00"/>
    <s v="Processed"/>
    <s v="OK"/>
    <b v="0"/>
    <s v="Discount_Not_Applied"/>
    <n v="3119.2000000000003"/>
    <s v="Mismatch"/>
    <n v="1"/>
    <s v="OK"/>
    <n v="19"/>
    <s v="OK"/>
    <n v="28"/>
    <x v="2"/>
    <x v="11"/>
  </r>
  <r>
    <x v="286"/>
    <d v="2024-12-16T00:00:00"/>
    <s v="CUST_10286"/>
    <x v="0"/>
    <s v="BOT-END-L"/>
    <s v="Bottoms"/>
    <s v="Year End Pants"/>
    <n v="2599"/>
    <n v="1"/>
    <n v="2599"/>
    <m/>
    <n v="0"/>
    <s v="UPI"/>
    <x v="1"/>
    <s v="Mumbai"/>
    <s v="Maharashtra"/>
    <s v="Mumbai"/>
    <d v="2025-01-04T00:00:00"/>
    <x v="0"/>
    <x v="0"/>
    <m/>
    <m/>
    <s v="Not Applicable"/>
    <s v="OK"/>
    <b v="0"/>
    <s v="No_Discount"/>
    <n v="2599"/>
    <s v="OK"/>
    <n v="1"/>
    <s v="OK"/>
    <n v="19"/>
    <s v="OK"/>
    <n v="0"/>
    <x v="2"/>
    <x v="11"/>
  </r>
  <r>
    <x v="287"/>
    <d v="2024-12-16T00:00:00"/>
    <s v="CUST_10287"/>
    <x v="0"/>
    <s v="OUT-CLB-M"/>
    <s v="Outerwear"/>
    <s v="Celebration Blazer"/>
    <n v="5299"/>
    <n v="1"/>
    <n v="5299"/>
    <m/>
    <n v="0"/>
    <s v="COD"/>
    <x v="2"/>
    <s v="Delhi"/>
    <s v="Delhi"/>
    <s v="Delhi"/>
    <d v="2025-01-05T00:00:00"/>
    <x v="0"/>
    <x v="1"/>
    <s v="Changed Mind"/>
    <d v="2025-02-02T00:00:00"/>
    <s v="Processed"/>
    <s v="OK"/>
    <b v="0"/>
    <s v="No_Discount"/>
    <n v="5299"/>
    <s v="OK"/>
    <n v="1"/>
    <s v="OK"/>
    <n v="20"/>
    <s v="OK"/>
    <n v="28"/>
    <x v="2"/>
    <x v="11"/>
  </r>
  <r>
    <x v="288"/>
    <d v="2024-12-16T00:00:00"/>
    <s v="CUST_10288"/>
    <x v="1"/>
    <s v="ACC-FNL-OS"/>
    <s v="Accessories"/>
    <s v="Finale Necklace"/>
    <n v="1399"/>
    <n v="1"/>
    <n v="1399"/>
    <d v="2026-12-20T00:00:00"/>
    <n v="20"/>
    <s v="Wallet"/>
    <x v="0"/>
    <s v="Chandigarh"/>
    <s v="Punjab"/>
    <s v="Delhi"/>
    <d v="2025-01-04T00:00:00"/>
    <x v="0"/>
    <x v="0"/>
    <m/>
    <m/>
    <s v="Not Applicable"/>
    <s v="OK"/>
    <b v="0"/>
    <s v="Discount_Not_Applied"/>
    <n v="1119.2"/>
    <s v="Mismatch"/>
    <n v="1"/>
    <s v="OK"/>
    <n v="19"/>
    <s v="OK"/>
    <n v="0"/>
    <x v="2"/>
    <x v="11"/>
  </r>
  <r>
    <x v="289"/>
    <d v="2024-12-17T00:00:00"/>
    <s v="CUST_10289"/>
    <x v="0"/>
    <s v="TOP-PRY-M"/>
    <s v="Tops"/>
    <s v="Party Essential Top"/>
    <n v="1799"/>
    <n v="1"/>
    <n v="1799"/>
    <m/>
    <n v="0"/>
    <s v="Debit Card"/>
    <x v="1"/>
    <s v="Noida"/>
    <s v="Uttar Pradesh"/>
    <s v="Delhi"/>
    <d v="2025-01-05T00:00:00"/>
    <x v="0"/>
    <x v="1"/>
    <s v="Quality Defect"/>
    <d v="2025-02-01T00:00:00"/>
    <s v="Processed"/>
    <s v="OK"/>
    <b v="0"/>
    <s v="No_Discount"/>
    <n v="1799"/>
    <s v="OK"/>
    <n v="1"/>
    <s v="OK"/>
    <n v="19"/>
    <s v="OK"/>
    <n v="27"/>
    <x v="2"/>
    <x v="11"/>
  </r>
  <r>
    <x v="290"/>
    <d v="2024-12-17T00:00:00"/>
    <s v="CUST_10290"/>
    <x v="0"/>
    <s v="DRS-SHN-L"/>
    <s v="Dresses"/>
    <s v="Shine On Dress"/>
    <n v="4199"/>
    <n v="1"/>
    <n v="4199"/>
    <m/>
    <n v="0"/>
    <s v="Credit Card"/>
    <x v="2"/>
    <s v="Gurgaon"/>
    <s v="Haryana"/>
    <s v="Delhi"/>
    <d v="2025-01-06T00:00:00"/>
    <x v="0"/>
    <x v="1"/>
    <s v="Size Issue"/>
    <d v="2025-02-03T00:00:00"/>
    <s v="Processed"/>
    <s v="OK"/>
    <b v="0"/>
    <s v="No_Discount"/>
    <n v="4199"/>
    <s v="OK"/>
    <n v="1"/>
    <s v="OK"/>
    <n v="20"/>
    <s v="OK"/>
    <n v="28"/>
    <x v="2"/>
    <x v="11"/>
  </r>
  <r>
    <x v="291"/>
    <d v="2024-12-17T00:00:00"/>
    <s v="CUST_10291"/>
    <x v="0"/>
    <s v="BOT-GLD-S"/>
    <s v="Bottoms"/>
    <s v="Gold Rush Pants"/>
    <n v="2799"/>
    <n v="1"/>
    <n v="2799"/>
    <d v="2026-12-20T00:00:00"/>
    <n v="20"/>
    <s v="UPI"/>
    <x v="0"/>
    <s v="Indore"/>
    <s v="Madhya Pradesh"/>
    <s v="Mumbai"/>
    <d v="2025-01-06T00:00:00"/>
    <x v="0"/>
    <x v="0"/>
    <m/>
    <m/>
    <s v="Not Applicable"/>
    <s v="OK"/>
    <b v="0"/>
    <s v="Discount_Not_Applied"/>
    <n v="2239.2000000000003"/>
    <s v="Mismatch"/>
    <n v="1"/>
    <s v="OK"/>
    <n v="20"/>
    <s v="OK"/>
    <n v="0"/>
    <x v="2"/>
    <x v="11"/>
  </r>
  <r>
    <x v="292"/>
    <d v="2024-12-17T00:00:00"/>
    <s v="CUST_10292"/>
    <x v="0"/>
    <s v="OUT-DZL-M"/>
    <s v="Outerwear"/>
    <s v="Dazzle Jacket"/>
    <n v="5499"/>
    <n v="1"/>
    <n v="5499"/>
    <m/>
    <n v="0"/>
    <s v="COD"/>
    <x v="1"/>
    <s v="Surat"/>
    <s v="Gujarat"/>
    <s v="Mumbai"/>
    <d v="2025-01-07T00:00:00"/>
    <x v="0"/>
    <x v="1"/>
    <s v="Wrong Item"/>
    <d v="2025-02-04T00:00:00"/>
    <s v="Processed"/>
    <s v="OK"/>
    <b v="0"/>
    <s v="No_Discount"/>
    <n v="5499"/>
    <s v="OK"/>
    <n v="1"/>
    <s v="OK"/>
    <n v="21"/>
    <s v="OK"/>
    <n v="28"/>
    <x v="2"/>
    <x v="11"/>
  </r>
  <r>
    <x v="293"/>
    <d v="2024-12-18T00:00:00"/>
    <s v="CUST_10293"/>
    <x v="1"/>
    <s v="ACC-GLW-OS"/>
    <s v="Accessories"/>
    <s v="Glow Bracelet"/>
    <n v="699"/>
    <n v="2"/>
    <n v="1398"/>
    <m/>
    <n v="0"/>
    <s v="Wallet"/>
    <x v="2"/>
    <s v="Patna"/>
    <s v="Bihar"/>
    <s v="Delhi"/>
    <d v="2025-01-06T00:00:00"/>
    <x v="0"/>
    <x v="0"/>
    <m/>
    <m/>
    <s v="Not Applicable"/>
    <s v="OK"/>
    <b v="0"/>
    <s v="No_Discount"/>
    <n v="1398"/>
    <s v="OK"/>
    <n v="1"/>
    <s v="OK"/>
    <n v="19"/>
    <s v="OK"/>
    <n v="0"/>
    <x v="2"/>
    <x v="11"/>
  </r>
  <r>
    <x v="294"/>
    <d v="2024-12-18T00:00:00"/>
    <s v="CUST_10294"/>
    <x v="0"/>
    <s v="TOP-SLB-L"/>
    <s v="Tops"/>
    <s v="Celebrate Top"/>
    <n v="2299"/>
    <n v="1"/>
    <n v="2299"/>
    <d v="2026-12-20T00:00:00"/>
    <n v="20"/>
    <s v="Debit Card"/>
    <x v="0"/>
    <s v="Bhopal"/>
    <s v="Madhya Pradesh"/>
    <s v="Mumbai"/>
    <d v="2025-01-07T00:00:00"/>
    <x v="0"/>
    <x v="1"/>
    <s v="Damaged in Transit"/>
    <d v="2025-02-03T00:00:00"/>
    <s v="Processed"/>
    <s v="OK"/>
    <b v="0"/>
    <s v="Discount_Not_Applied"/>
    <n v="1839.2"/>
    <s v="Mismatch"/>
    <n v="1"/>
    <s v="OK"/>
    <n v="20"/>
    <s v="OK"/>
    <n v="27"/>
    <x v="2"/>
    <x v="11"/>
  </r>
  <r>
    <x v="295"/>
    <d v="2024-12-18T00:00:00"/>
    <s v="CUST_10295"/>
    <x v="0"/>
    <s v="DRS-RDY-S"/>
    <s v="Dresses"/>
    <s v="Ready to Party Dress"/>
    <n v="3599"/>
    <n v="1"/>
    <n v="3599"/>
    <m/>
    <n v="0"/>
    <s v="Credit Card"/>
    <x v="1"/>
    <s v="Nagpur"/>
    <s v="Maharashtra"/>
    <s v="Mumbai"/>
    <d v="2025-01-08T00:00:00"/>
    <x v="0"/>
    <x v="0"/>
    <m/>
    <m/>
    <s v="Not Applicable"/>
    <s v="OK"/>
    <b v="0"/>
    <s v="No_Discount"/>
    <n v="3599"/>
    <s v="OK"/>
    <n v="1"/>
    <s v="OK"/>
    <n v="21"/>
    <s v="OK"/>
    <n v="0"/>
    <x v="2"/>
    <x v="11"/>
  </r>
  <r>
    <x v="296"/>
    <d v="2024-12-18T00:00:00"/>
    <s v="CUST_10296"/>
    <x v="0"/>
    <s v="BOT-BRT-M"/>
    <s v="Bottoms"/>
    <s v="Bright Night Pants"/>
    <n v="2499"/>
    <n v="1"/>
    <n v="2499"/>
    <m/>
    <n v="0"/>
    <s v="UPI"/>
    <x v="2"/>
    <s v="Coimbatore"/>
    <s v="Tamil Nadu"/>
    <s v="Bangalore"/>
    <d v="2025-01-08T00:00:00"/>
    <x v="0"/>
    <x v="1"/>
    <s v="Size Issue"/>
    <d v="2025-02-05T00:00:00"/>
    <s v="Processed"/>
    <s v="OK"/>
    <b v="0"/>
    <s v="No_Discount"/>
    <n v="2499"/>
    <s v="OK"/>
    <n v="1"/>
    <s v="OK"/>
    <n v="21"/>
    <s v="OK"/>
    <n v="28"/>
    <x v="2"/>
    <x v="11"/>
  </r>
  <r>
    <x v="297"/>
    <d v="2024-12-19T00:00:00"/>
    <s v="CUST_10297"/>
    <x v="0"/>
    <s v="OUT-END-L"/>
    <s v="Outerwear"/>
    <s v="End of Year Coat"/>
    <n v="6799"/>
    <n v="1"/>
    <n v="6799"/>
    <d v="2026-12-20T00:00:00"/>
    <n v="20"/>
    <s v="COD"/>
    <x v="0"/>
    <s v="Kochi"/>
    <s v="Kerala"/>
    <s v="Bangalore"/>
    <d v="2025-01-09T00:00:00"/>
    <x v="0"/>
    <x v="1"/>
    <s v="Changed Mind"/>
    <d v="2025-02-06T00:00:00"/>
    <s v="Processed"/>
    <s v="OK"/>
    <b v="0"/>
    <s v="Discount_Not_Applied"/>
    <n v="5439.2000000000007"/>
    <s v="Mismatch"/>
    <n v="1"/>
    <s v="OK"/>
    <n v="21"/>
    <s v="OK"/>
    <n v="28"/>
    <x v="2"/>
    <x v="11"/>
  </r>
  <r>
    <x v="298"/>
    <d v="2024-12-19T00:00:00"/>
    <s v="CUST_10298"/>
    <x v="1"/>
    <s v="ACC-MRY-OS"/>
    <s v="Accessories"/>
    <s v="Merry Earrings"/>
    <n v="599"/>
    <n v="3"/>
    <n v="1797"/>
    <m/>
    <n v="0"/>
    <s v="Wallet"/>
    <x v="1"/>
    <s v="Vizag"/>
    <s v="Andhra Pradesh"/>
    <s v="Bangalore"/>
    <d v="2025-01-08T00:00:00"/>
    <x v="0"/>
    <x v="0"/>
    <m/>
    <m/>
    <s v="Not Applicable"/>
    <s v="OK"/>
    <b v="0"/>
    <s v="No_Discount"/>
    <n v="1797"/>
    <s v="OK"/>
    <n v="1"/>
    <s v="OK"/>
    <n v="20"/>
    <s v="OK"/>
    <n v="0"/>
    <x v="2"/>
    <x v="11"/>
  </r>
  <r>
    <x v="299"/>
    <d v="2024-12-19T00:00:00"/>
    <s v="CUST_10299"/>
    <x v="0"/>
    <s v="TOP-JOY-M"/>
    <s v="Tops"/>
    <s v="Joyful Top"/>
    <n v="1899"/>
    <n v="1"/>
    <n v="1899"/>
    <m/>
    <n v="0"/>
    <s v="Debit Card"/>
    <x v="2"/>
    <s v="Thiruvananthapuram"/>
    <s v="Kerala"/>
    <s v="Bangalore"/>
    <d v="2025-01-09T00:00:00"/>
    <x v="0"/>
    <x v="1"/>
    <s v="Quality Defect"/>
    <d v="2025-02-05T00:00:00"/>
    <s v="Processed"/>
    <s v="OK"/>
    <b v="0"/>
    <s v="No_Discount"/>
    <n v="1899"/>
    <s v="OK"/>
    <n v="1"/>
    <s v="OK"/>
    <n v="21"/>
    <s v="OK"/>
    <n v="27"/>
    <x v="2"/>
    <x v="11"/>
  </r>
  <r>
    <x v="300"/>
    <d v="2024-12-19T00:00:00"/>
    <s v="CUST_10300"/>
    <x v="0"/>
    <s v="DRS-WND-L"/>
    <s v="Dresses"/>
    <s v="Winter Wonder Dress"/>
    <n v="4499"/>
    <n v="1"/>
    <n v="4499"/>
    <d v="2026-12-20T00:00:00"/>
    <n v="20"/>
    <s v="Credit Card"/>
    <x v="0"/>
    <s v="Mysore"/>
    <s v="Karnataka"/>
    <s v="Bangalore"/>
    <d v="2025-01-10T00:00:00"/>
    <x v="0"/>
    <x v="1"/>
    <s v="Size Issue"/>
    <d v="2025-02-07T00:00:00"/>
    <s v="Processed"/>
    <s v="OK"/>
    <b v="0"/>
    <s v="Discount_Not_Applied"/>
    <n v="3599.2000000000003"/>
    <s v="Mismatch"/>
    <n v="1"/>
    <s v="OK"/>
    <n v="22"/>
    <s v="OK"/>
    <n v="28"/>
    <x v="2"/>
    <x v="11"/>
  </r>
  <r>
    <x v="301"/>
    <d v="2024-12-20T00:00:00"/>
    <s v="CUST_10301"/>
    <x v="0"/>
    <s v="BOT-FST-S"/>
    <s v="Bottoms"/>
    <s v="Festive Pants"/>
    <n v="2199"/>
    <n v="1"/>
    <n v="2199"/>
    <m/>
    <n v="0"/>
    <s v="UPI"/>
    <x v="1"/>
    <s v="Vadodara"/>
    <s v="Gujarat"/>
    <s v="Mumbai"/>
    <d v="2025-01-10T00:00:00"/>
    <x v="0"/>
    <x v="0"/>
    <m/>
    <m/>
    <s v="Not Applicable"/>
    <s v="OK"/>
    <b v="0"/>
    <s v="No_Discount"/>
    <n v="2199"/>
    <s v="OK"/>
    <n v="1"/>
    <s v="OK"/>
    <n v="21"/>
    <s v="OK"/>
    <n v="0"/>
    <x v="2"/>
    <x v="11"/>
  </r>
  <r>
    <x v="302"/>
    <d v="2024-12-20T00:00:00"/>
    <s v="CUST_10302"/>
    <x v="0"/>
    <s v="OUT-HOL-M"/>
    <s v="Outerwear"/>
    <s v="Holiday Jacket"/>
    <n v="5199"/>
    <n v="1"/>
    <n v="5199"/>
    <m/>
    <n v="0"/>
    <s v="COD"/>
    <x v="2"/>
    <s v="Rajkot"/>
    <s v="Gujarat"/>
    <s v="Mumbai"/>
    <d v="2025-01-11T00:00:00"/>
    <x v="0"/>
    <x v="1"/>
    <s v="Wrong Item"/>
    <d v="2025-02-08T00:00:00"/>
    <s v="Processed"/>
    <s v="OK"/>
    <b v="0"/>
    <s v="No_Discount"/>
    <n v="5199"/>
    <s v="OK"/>
    <n v="1"/>
    <s v="OK"/>
    <n v="22"/>
    <s v="OK"/>
    <n v="28"/>
    <x v="2"/>
    <x v="11"/>
  </r>
  <r>
    <x v="303"/>
    <d v="2024-12-20T00:00:00"/>
    <s v="CUST_10303"/>
    <x v="1"/>
    <s v="ACC-CHR-OS"/>
    <s v="Accessories"/>
    <s v="Christmas Brooch"/>
    <n v="499"/>
    <n v="2"/>
    <n v="998"/>
    <d v="2026-12-20T00:00:00"/>
    <n v="20"/>
    <s v="Wallet"/>
    <x v="0"/>
    <s v="Kanpur"/>
    <s v="Uttar Pradesh"/>
    <s v="Delhi"/>
    <d v="2025-01-10T00:00:00"/>
    <x v="0"/>
    <x v="0"/>
    <m/>
    <m/>
    <s v="Not Applicable"/>
    <s v="OK"/>
    <b v="0"/>
    <s v="Discount_Not_Applied"/>
    <n v="798.40000000000009"/>
    <s v="Mismatch"/>
    <n v="1"/>
    <s v="OK"/>
    <n v="21"/>
    <s v="OK"/>
    <n v="0"/>
    <x v="2"/>
    <x v="11"/>
  </r>
  <r>
    <x v="304"/>
    <d v="2024-12-20T00:00:00"/>
    <s v="CUST_10304"/>
    <x v="0"/>
    <s v="TOP-SNW-L"/>
    <s v="Tops"/>
    <s v="Snow White Top"/>
    <n v="2099"/>
    <n v="1"/>
    <n v="2099"/>
    <m/>
    <n v="0"/>
    <s v="Debit Card"/>
    <x v="1"/>
    <s v="Mumbai"/>
    <s v="Maharashtra"/>
    <s v="Mumbai"/>
    <d v="2025-01-11T00:00:00"/>
    <x v="0"/>
    <x v="1"/>
    <s v="Damaged in Transit"/>
    <d v="2025-02-07T00:00:00"/>
    <s v="Processed"/>
    <s v="OK"/>
    <b v="0"/>
    <s v="No_Discount"/>
    <n v="2099"/>
    <s v="OK"/>
    <n v="1"/>
    <s v="OK"/>
    <n v="22"/>
    <s v="OK"/>
    <n v="27"/>
    <x v="2"/>
    <x v="11"/>
  </r>
  <r>
    <x v="305"/>
    <d v="2024-12-21T00:00:00"/>
    <s v="CUST_10305"/>
    <x v="0"/>
    <s v="DRS-ICE-S"/>
    <s v="Dresses"/>
    <s v="Ice Queen Dress"/>
    <n v="3999"/>
    <n v="1"/>
    <n v="3999"/>
    <m/>
    <n v="0"/>
    <s v="Credit Card"/>
    <x v="2"/>
    <s v="Delhi"/>
    <s v="Delhi"/>
    <s v="Delhi"/>
    <d v="2025-01-12T00:00:00"/>
    <x v="0"/>
    <x v="1"/>
    <s v="Size Issue"/>
    <d v="2025-02-09T00:00:00"/>
    <s v="Processed"/>
    <s v="OK"/>
    <b v="0"/>
    <s v="No_Discount"/>
    <n v="3999"/>
    <s v="OK"/>
    <n v="1"/>
    <s v="OK"/>
    <n v="22"/>
    <s v="OK"/>
    <n v="28"/>
    <x v="2"/>
    <x v="11"/>
  </r>
  <r>
    <x v="306"/>
    <d v="2024-12-21T00:00:00"/>
    <s v="CUST_10306"/>
    <x v="0"/>
    <s v="BOT-FRZ-M"/>
    <s v="Bottoms"/>
    <s v="Frozen Pants"/>
    <n v="2399"/>
    <n v="1"/>
    <n v="2399"/>
    <d v="2026-12-20T00:00:00"/>
    <n v="20"/>
    <s v="UPI"/>
    <x v="0"/>
    <s v="Kolkata"/>
    <s v="West Bengal"/>
    <s v="Delhi"/>
    <d v="2025-01-12T00:00:00"/>
    <x v="0"/>
    <x v="0"/>
    <m/>
    <m/>
    <s v="Not Applicable"/>
    <s v="OK"/>
    <b v="0"/>
    <s v="Discount_Not_Applied"/>
    <n v="1919.2"/>
    <s v="Mismatch"/>
    <n v="1"/>
    <s v="OK"/>
    <n v="22"/>
    <s v="OK"/>
    <n v="0"/>
    <x v="2"/>
    <x v="11"/>
  </r>
  <r>
    <x v="307"/>
    <d v="2024-12-21T00:00:00"/>
    <s v="CUST_10307"/>
    <x v="0"/>
    <s v="OUT-WNT-L"/>
    <s v="Outerwear"/>
    <s v="Winter Wonderland Coat"/>
    <n v="7299"/>
    <n v="1"/>
    <n v="7299"/>
    <m/>
    <n v="0"/>
    <s v="COD"/>
    <x v="1"/>
    <s v="Chennai"/>
    <s v="Tamil Nadu"/>
    <s v="Bangalore"/>
    <d v="2025-01-13T00:00:00"/>
    <x v="0"/>
    <x v="1"/>
    <s v="Changed Mind"/>
    <d v="2025-02-10T00:00:00"/>
    <s v="Processed"/>
    <s v="OK"/>
    <b v="0"/>
    <s v="No_Discount"/>
    <n v="7299"/>
    <s v="OK"/>
    <n v="1"/>
    <s v="OK"/>
    <n v="23"/>
    <s v="OK"/>
    <n v="28"/>
    <x v="2"/>
    <x v="11"/>
  </r>
  <r>
    <x v="308"/>
    <d v="2024-12-21T00:00:00"/>
    <s v="CUST_10308"/>
    <x v="1"/>
    <s v="ACC-SNF-OS"/>
    <s v="Accessories"/>
    <s v="Snowflake Pendant"/>
    <n v="899"/>
    <n v="1"/>
    <n v="899"/>
    <m/>
    <n v="0"/>
    <s v="Wallet"/>
    <x v="2"/>
    <s v="Hyderabad"/>
    <s v="Telangana"/>
    <s v="Bangalore"/>
    <d v="2025-01-12T00:00:00"/>
    <x v="0"/>
    <x v="1"/>
    <s v="Quality Defect"/>
    <d v="2025-02-08T00:00:00"/>
    <s v="Processed"/>
    <s v="OK"/>
    <b v="0"/>
    <s v="No_Discount"/>
    <n v="899"/>
    <s v="OK"/>
    <n v="1"/>
    <s v="OK"/>
    <n v="22"/>
    <s v="OK"/>
    <n v="27"/>
    <x v="2"/>
    <x v="11"/>
  </r>
  <r>
    <x v="309"/>
    <d v="2024-12-22T00:00:00"/>
    <s v="CUST_10309"/>
    <x v="0"/>
    <s v="TOP-XMS-M"/>
    <s v="Tops"/>
    <s v="Christmas Spirit Top"/>
    <n v="1999"/>
    <n v="1"/>
    <n v="1999"/>
    <d v="2026-12-20T00:00:00"/>
    <n v="20"/>
    <s v="Debit Card"/>
    <x v="0"/>
    <s v="Pune"/>
    <s v="Maharashtra"/>
    <s v="Mumbai"/>
    <d v="2025-01-13T00:00:00"/>
    <x v="0"/>
    <x v="0"/>
    <m/>
    <m/>
    <s v="Not Applicable"/>
    <s v="OK"/>
    <b v="0"/>
    <s v="Discount_Not_Applied"/>
    <n v="1599.2"/>
    <s v="Mismatch"/>
    <n v="1"/>
    <s v="OK"/>
    <n v="22"/>
    <s v="OK"/>
    <n v="0"/>
    <x v="2"/>
    <x v="12"/>
  </r>
  <r>
    <x v="310"/>
    <d v="2024-12-22T00:00:00"/>
    <s v="CUST_10310"/>
    <x v="0"/>
    <s v="DRS-NYR-L"/>
    <s v="Dresses"/>
    <s v="New Year Ready Dress"/>
    <n v="4699"/>
    <n v="1"/>
    <n v="4699"/>
    <m/>
    <n v="0"/>
    <s v="Credit Card"/>
    <x v="1"/>
    <s v="Ahmedabad"/>
    <s v="Gujarat"/>
    <s v="Mumbai"/>
    <d v="2025-01-14T00:00:00"/>
    <x v="0"/>
    <x v="1"/>
    <s v="Size Issue"/>
    <d v="2025-02-11T00:00:00"/>
    <s v="Processed"/>
    <s v="OK"/>
    <b v="0"/>
    <s v="No_Discount"/>
    <n v="4699"/>
    <s v="OK"/>
    <n v="1"/>
    <s v="OK"/>
    <n v="23"/>
    <s v="OK"/>
    <n v="28"/>
    <x v="2"/>
    <x v="12"/>
  </r>
  <r>
    <x v="311"/>
    <d v="2024-12-22T00:00:00"/>
    <s v="CUST_10311"/>
    <x v="0"/>
    <s v="BOT-HLD-S"/>
    <s v="Bottoms"/>
    <s v="Holiday Special Pants"/>
    <n v="2299"/>
    <n v="1"/>
    <n v="2299"/>
    <m/>
    <n v="0"/>
    <s v="UPI"/>
    <x v="2"/>
    <s v="Jaipur"/>
    <s v="Rajasthan"/>
    <s v="Delhi"/>
    <d v="2025-01-14T00:00:00"/>
    <x v="0"/>
    <x v="0"/>
    <m/>
    <m/>
    <s v="Not Applicable"/>
    <s v="OK"/>
    <b v="0"/>
    <s v="No_Discount"/>
    <n v="2299"/>
    <s v="OK"/>
    <n v="1"/>
    <s v="OK"/>
    <n v="23"/>
    <s v="OK"/>
    <n v="0"/>
    <x v="2"/>
    <x v="12"/>
  </r>
  <r>
    <x v="312"/>
    <d v="2024-12-22T00:00:00"/>
    <s v="CUST_10312"/>
    <x v="0"/>
    <s v="OUT-CEL-M"/>
    <s v="Outerwear"/>
    <s v="Celebrate Blazer"/>
    <n v="5399"/>
    <n v="1"/>
    <n v="5399"/>
    <d v="2026-12-20T00:00:00"/>
    <n v="20"/>
    <s v="COD"/>
    <x v="0"/>
    <s v="Lucknow"/>
    <s v="Uttar Pradesh"/>
    <s v="Delhi"/>
    <d v="2025-01-15T00:00:00"/>
    <x v="0"/>
    <x v="1"/>
    <s v="Wrong Item"/>
    <d v="2025-02-12T00:00:00"/>
    <s v="Processed"/>
    <s v="OK"/>
    <b v="0"/>
    <s v="Discount_Not_Applied"/>
    <n v="4319.2"/>
    <s v="Mismatch"/>
    <n v="1"/>
    <s v="OK"/>
    <n v="24"/>
    <s v="OK"/>
    <n v="28"/>
    <x v="2"/>
    <x v="12"/>
  </r>
  <r>
    <x v="313"/>
    <d v="2024-12-23T00:00:00"/>
    <s v="CUST_10313"/>
    <x v="1"/>
    <s v="ACC-WRM-OS"/>
    <s v="Accessories"/>
    <s v="Warm Wishes Scarf"/>
    <n v="1199"/>
    <n v="1"/>
    <n v="1199"/>
    <m/>
    <n v="0"/>
    <s v="Wallet"/>
    <x v="1"/>
    <s v="Bangalore"/>
    <s v="Karnataka"/>
    <s v="Bangalore"/>
    <d v="2025-01-14T00:00:00"/>
    <x v="0"/>
    <x v="0"/>
    <m/>
    <m/>
    <s v="Not Applicable"/>
    <s v="OK"/>
    <b v="0"/>
    <s v="No_Discount"/>
    <n v="1199"/>
    <s v="OK"/>
    <n v="1"/>
    <s v="OK"/>
    <n v="22"/>
    <s v="OK"/>
    <n v="0"/>
    <x v="2"/>
    <x v="12"/>
  </r>
  <r>
    <x v="314"/>
    <d v="2024-12-23T00:00:00"/>
    <s v="CUST_10314"/>
    <x v="0"/>
    <s v="TOP-FLK-L"/>
    <s v="Tops"/>
    <s v="Snowflake Top"/>
    <n v="2199"/>
    <n v="1"/>
    <n v="2199"/>
    <m/>
    <n v="0"/>
    <s v="Debit Card"/>
    <x v="2"/>
    <s v="Mumbai"/>
    <s v="Maharashtra"/>
    <s v="Mumbai"/>
    <d v="2025-01-15T00:00:00"/>
    <x v="0"/>
    <x v="1"/>
    <s v="Damaged in Transit"/>
    <d v="2025-02-11T00:00:00"/>
    <s v="Processed"/>
    <s v="OK"/>
    <b v="0"/>
    <s v="No_Discount"/>
    <n v="2199"/>
    <s v="OK"/>
    <n v="1"/>
    <s v="OK"/>
    <n v="23"/>
    <s v="OK"/>
    <n v="27"/>
    <x v="2"/>
    <x v="12"/>
  </r>
  <r>
    <x v="315"/>
    <d v="2024-12-23T00:00:00"/>
    <s v="CUST_10315"/>
    <x v="0"/>
    <s v="DRS-SPR-S"/>
    <s v="Dresses"/>
    <s v="Sparkle Season Dress"/>
    <n v="3799"/>
    <n v="1"/>
    <n v="3799"/>
    <d v="2026-12-20T00:00:00"/>
    <n v="20"/>
    <s v="Credit Card"/>
    <x v="0"/>
    <s v="Delhi"/>
    <s v="Delhi"/>
    <s v="Delhi"/>
    <d v="2025-01-16T00:00:00"/>
    <x v="0"/>
    <x v="1"/>
    <s v="Size Issue"/>
    <d v="2025-02-13T00:00:00"/>
    <s v="Processed"/>
    <s v="OK"/>
    <b v="0"/>
    <s v="Discount_Not_Applied"/>
    <n v="3039.2000000000003"/>
    <s v="Mismatch"/>
    <n v="1"/>
    <s v="OK"/>
    <n v="24"/>
    <s v="OK"/>
    <n v="28"/>
    <x v="2"/>
    <x v="12"/>
  </r>
  <r>
    <x v="316"/>
    <d v="2024-12-23T00:00:00"/>
    <s v="CUST_10316"/>
    <x v="0"/>
    <s v="BOT-CHR-M"/>
    <s v="Bottoms"/>
    <s v="Cheer Pants"/>
    <n v="2499"/>
    <n v="1"/>
    <n v="2499"/>
    <m/>
    <n v="0"/>
    <s v="UPI"/>
    <x v="1"/>
    <s v="Chandigarh"/>
    <s v="Punjab"/>
    <s v="Delhi"/>
    <d v="2025-01-16T00:00:00"/>
    <x v="0"/>
    <x v="0"/>
    <m/>
    <m/>
    <s v="Not Applicable"/>
    <s v="OK"/>
    <b v="0"/>
    <s v="No_Discount"/>
    <n v="2499"/>
    <s v="OK"/>
    <n v="1"/>
    <s v="OK"/>
    <n v="24"/>
    <s v="OK"/>
    <n v="0"/>
    <x v="2"/>
    <x v="12"/>
  </r>
  <r>
    <x v="317"/>
    <d v="2024-12-24T00:00:00"/>
    <s v="CUST_10317"/>
    <x v="0"/>
    <s v="OUT-XMS-L"/>
    <s v="Outerwear"/>
    <s v="Christmas Coat"/>
    <n v="6499"/>
    <n v="1"/>
    <n v="6499"/>
    <m/>
    <n v="0"/>
    <s v="COD"/>
    <x v="2"/>
    <s v="Noida"/>
    <s v="Uttar Pradesh"/>
    <s v="Delhi"/>
    <d v="2025-01-17T00:00:00"/>
    <x v="0"/>
    <x v="1"/>
    <s v="Changed Mind"/>
    <d v="2025-02-14T00:00:00"/>
    <s v="Processed"/>
    <s v="OK"/>
    <b v="0"/>
    <s v="No_Discount"/>
    <n v="6499"/>
    <s v="OK"/>
    <n v="1"/>
    <s v="OK"/>
    <n v="24"/>
    <s v="OK"/>
    <n v="28"/>
    <x v="2"/>
    <x v="12"/>
  </r>
  <r>
    <x v="318"/>
    <d v="2024-12-24T00:00:00"/>
    <s v="CUST_10318"/>
    <x v="1"/>
    <s v="ACC-BEL-OS"/>
    <s v="Accessories"/>
    <s v="Bell Earrings"/>
    <n v="499"/>
    <n v="3"/>
    <n v="1497"/>
    <d v="2026-12-20T00:00:00"/>
    <n v="20"/>
    <s v="Wallet"/>
    <x v="0"/>
    <s v="Gurgaon"/>
    <s v="Haryana"/>
    <s v="Delhi"/>
    <d v="2025-01-16T00:00:00"/>
    <x v="0"/>
    <x v="0"/>
    <m/>
    <m/>
    <s v="Not Applicable"/>
    <s v="OK"/>
    <b v="0"/>
    <s v="Discount_Not_Applied"/>
    <n v="1197.6000000000001"/>
    <s v="Mismatch"/>
    <n v="1"/>
    <s v="OK"/>
    <n v="23"/>
    <s v="OK"/>
    <n v="0"/>
    <x v="2"/>
    <x v="12"/>
  </r>
  <r>
    <x v="319"/>
    <d v="2024-12-24T00:00:00"/>
    <s v="CUST_10319"/>
    <x v="0"/>
    <s v="TOP-RDR-M"/>
    <s v="Tops"/>
    <s v="Reindeer Top"/>
    <n v="1799"/>
    <n v="1"/>
    <n v="1799"/>
    <m/>
    <n v="0"/>
    <s v="Debit Card"/>
    <x v="1"/>
    <s v="Indore"/>
    <s v="Madhya Pradesh"/>
    <s v="Mumbai"/>
    <d v="2025-01-17T00:00:00"/>
    <x v="0"/>
    <x v="1"/>
    <s v="Quality Defect"/>
    <d v="2025-02-13T00:00:00"/>
    <s v="Processed"/>
    <s v="OK"/>
    <b v="0"/>
    <s v="No_Discount"/>
    <n v="1799"/>
    <s v="OK"/>
    <n v="1"/>
    <s v="OK"/>
    <n v="24"/>
    <s v="OK"/>
    <n v="27"/>
    <x v="2"/>
    <x v="12"/>
  </r>
  <r>
    <x v="320"/>
    <d v="2024-12-24T00:00:00"/>
    <s v="CUST_10320"/>
    <x v="0"/>
    <s v="DRS-STR-L"/>
    <s v="Dresses"/>
    <s v="Star Bright Dress"/>
    <n v="4299"/>
    <n v="1"/>
    <n v="4299"/>
    <m/>
    <n v="0"/>
    <s v="Credit Card"/>
    <x v="2"/>
    <s v="Surat"/>
    <s v="Gujarat"/>
    <s v="Mumbai"/>
    <d v="2025-01-18T00:00:00"/>
    <x v="0"/>
    <x v="1"/>
    <s v="Size Issue"/>
    <d v="2025-02-15T00:00:00"/>
    <s v="Processed"/>
    <s v="OK"/>
    <b v="0"/>
    <s v="No_Discount"/>
    <n v="4299"/>
    <s v="OK"/>
    <n v="1"/>
    <s v="OK"/>
    <n v="25"/>
    <s v="OK"/>
    <n v="28"/>
    <x v="2"/>
    <x v="12"/>
  </r>
  <r>
    <x v="321"/>
    <d v="2024-12-25T00:00:00"/>
    <s v="CUST_10321"/>
    <x v="0"/>
    <s v="BOT-MRY-S"/>
    <s v="Bottoms"/>
    <s v="Merry Leggings"/>
    <n v="1899"/>
    <n v="1"/>
    <n v="1899"/>
    <d v="2026-12-20T00:00:00"/>
    <n v="20"/>
    <s v="UPI"/>
    <x v="0"/>
    <s v="Patna"/>
    <s v="Bihar"/>
    <s v="Delhi"/>
    <d v="2025-01-18T00:00:00"/>
    <x v="0"/>
    <x v="0"/>
    <m/>
    <m/>
    <s v="Not Applicable"/>
    <s v="OK"/>
    <b v="0"/>
    <s v="Discount_Not_Applied"/>
    <n v="1519.2"/>
    <s v="Mismatch"/>
    <n v="1"/>
    <s v="OK"/>
    <n v="24"/>
    <s v="OK"/>
    <n v="0"/>
    <x v="2"/>
    <x v="12"/>
  </r>
  <r>
    <x v="322"/>
    <d v="2024-12-25T00:00:00"/>
    <s v="CUST_10322"/>
    <x v="0"/>
    <s v="OUT-JOL-M"/>
    <s v="Outerwear"/>
    <s v="Jolly Jacket"/>
    <n v="4999"/>
    <n v="1"/>
    <n v="4999"/>
    <m/>
    <n v="0"/>
    <s v="COD"/>
    <x v="1"/>
    <s v="Bhopal"/>
    <s v="Madhya Pradesh"/>
    <s v="Mumbai"/>
    <d v="2025-01-19T00:00:00"/>
    <x v="0"/>
    <x v="1"/>
    <s v="Wrong Item"/>
    <d v="2025-02-16T00:00:00"/>
    <s v="Processed"/>
    <s v="OK"/>
    <b v="0"/>
    <s v="No_Discount"/>
    <n v="4999"/>
    <s v="OK"/>
    <n v="1"/>
    <s v="OK"/>
    <n v="25"/>
    <s v="OK"/>
    <n v="28"/>
    <x v="2"/>
    <x v="12"/>
  </r>
  <r>
    <x v="323"/>
    <d v="2024-12-25T00:00:00"/>
    <s v="CUST_10323"/>
    <x v="1"/>
    <s v="ACC-GFT-OS"/>
    <s v="Accessories"/>
    <s v="Gift Box Clutch"/>
    <n v="1399"/>
    <n v="1"/>
    <n v="1399"/>
    <m/>
    <n v="0"/>
    <s v="Wallet"/>
    <x v="2"/>
    <s v="Nagpur"/>
    <s v="Maharashtra"/>
    <s v="Mumbai"/>
    <d v="2025-01-18T00:00:00"/>
    <x v="0"/>
    <x v="0"/>
    <m/>
    <m/>
    <s v="Not Applicable"/>
    <s v="OK"/>
    <b v="0"/>
    <s v="No_Discount"/>
    <n v="1399"/>
    <s v="OK"/>
    <n v="1"/>
    <s v="OK"/>
    <n v="24"/>
    <s v="OK"/>
    <n v="0"/>
    <x v="2"/>
    <x v="12"/>
  </r>
  <r>
    <x v="324"/>
    <d v="2024-12-25T00:00:00"/>
    <s v="CUST_10324"/>
    <x v="0"/>
    <s v="TOP-HLY-L"/>
    <s v="Tops"/>
    <s v="Holly Top"/>
    <n v="2099"/>
    <n v="1"/>
    <n v="2099"/>
    <d v="2026-12-20T00:00:00"/>
    <n v="20"/>
    <s v="Debit Card"/>
    <x v="0"/>
    <s v="Coimbatore"/>
    <s v="Tamil Nadu"/>
    <s v="Bangalore"/>
    <d v="2025-01-19T00:00:00"/>
    <x v="0"/>
    <x v="1"/>
    <s v="Damaged in Transit"/>
    <d v="2025-02-15T00:00:00"/>
    <s v="Processed"/>
    <s v="OK"/>
    <b v="0"/>
    <s v="Discount_Not_Applied"/>
    <n v="1679.2"/>
    <s v="Mismatch"/>
    <n v="1"/>
    <s v="OK"/>
    <n v="25"/>
    <s v="OK"/>
    <n v="27"/>
    <x v="2"/>
    <x v="12"/>
  </r>
  <r>
    <x v="325"/>
    <d v="2024-12-26T00:00:00"/>
    <s v="CUST_10325"/>
    <x v="0"/>
    <s v="DRS-BOX-S"/>
    <s v="Dresses"/>
    <s v="Boxing Day Dress"/>
    <n v="2999"/>
    <n v="1"/>
    <n v="2999"/>
    <m/>
    <n v="0"/>
    <s v="Credit Card"/>
    <x v="1"/>
    <s v="Kochi"/>
    <s v="Kerala"/>
    <s v="Bangalore"/>
    <d v="2025-01-20T00:00:00"/>
    <x v="0"/>
    <x v="1"/>
    <s v="Size Issue"/>
    <d v="2025-02-17T00:00:00"/>
    <s v="Processed"/>
    <s v="OK"/>
    <b v="0"/>
    <s v="No_Discount"/>
    <n v="2999"/>
    <s v="OK"/>
    <n v="1"/>
    <s v="OK"/>
    <n v="25"/>
    <s v="OK"/>
    <n v="28"/>
    <x v="2"/>
    <x v="12"/>
  </r>
  <r>
    <x v="326"/>
    <d v="2024-12-26T00:00:00"/>
    <s v="CUST_10326"/>
    <x v="0"/>
    <s v="BOT-SLE-M"/>
    <s v="Bottoms"/>
    <s v="Sale Season Pants"/>
    <n v="2199"/>
    <n v="1"/>
    <n v="2199"/>
    <m/>
    <n v="0"/>
    <s v="UPI"/>
    <x v="2"/>
    <s v="Vizag"/>
    <s v="Andhra Pradesh"/>
    <s v="Bangalore"/>
    <d v="2025-01-20T00:00:00"/>
    <x v="0"/>
    <x v="0"/>
    <m/>
    <m/>
    <s v="Not Applicable"/>
    <s v="OK"/>
    <b v="0"/>
    <s v="No_Discount"/>
    <n v="2199"/>
    <s v="OK"/>
    <n v="1"/>
    <s v="OK"/>
    <n v="25"/>
    <s v="OK"/>
    <n v="0"/>
    <x v="2"/>
    <x v="12"/>
  </r>
  <r>
    <x v="327"/>
    <d v="2024-12-26T00:00:00"/>
    <s v="CUST_10327"/>
    <x v="0"/>
    <s v="OUT-SAL-L"/>
    <s v="Outerwear"/>
    <s v="Sale Special Coat"/>
    <n v="5999"/>
    <n v="1"/>
    <n v="5999"/>
    <d v="2026-12-20T00:00:00"/>
    <n v="20"/>
    <s v="COD"/>
    <x v="0"/>
    <s v="Thiruvananthapuram"/>
    <s v="Kerala"/>
    <s v="Bangalore"/>
    <d v="2025-01-21T00:00:00"/>
    <x v="0"/>
    <x v="1"/>
    <s v="Changed Mind"/>
    <d v="2025-02-18T00:00:00"/>
    <s v="Processed"/>
    <s v="OK"/>
    <b v="0"/>
    <s v="Discount_Not_Applied"/>
    <n v="4799.2"/>
    <s v="Mismatch"/>
    <n v="1"/>
    <s v="OK"/>
    <n v="26"/>
    <s v="OK"/>
    <n v="28"/>
    <x v="2"/>
    <x v="12"/>
  </r>
  <r>
    <x v="328"/>
    <d v="2024-12-26T00:00:00"/>
    <s v="CUST_10328"/>
    <x v="1"/>
    <s v="ACC-DIS-OS"/>
    <s v="Accessories"/>
    <s v="Discount Find Bag"/>
    <n v="1299"/>
    <n v="1"/>
    <n v="1299"/>
    <m/>
    <n v="0"/>
    <s v="Wallet"/>
    <x v="1"/>
    <s v="Mysore"/>
    <s v="Karnataka"/>
    <s v="Bangalore"/>
    <d v="2025-01-20T00:00:00"/>
    <x v="0"/>
    <x v="1"/>
    <s v="Quality Defect"/>
    <d v="2025-02-16T00:00:00"/>
    <s v="Processed"/>
    <s v="OK"/>
    <b v="0"/>
    <s v="No_Discount"/>
    <n v="1299"/>
    <s v="OK"/>
    <n v="1"/>
    <s v="OK"/>
    <n v="25"/>
    <s v="OK"/>
    <n v="27"/>
    <x v="2"/>
    <x v="12"/>
  </r>
  <r>
    <x v="329"/>
    <d v="2024-12-27T00:00:00"/>
    <s v="CUST_10329"/>
    <x v="0"/>
    <s v="TOP-CLR-M"/>
    <s v="Tops"/>
    <s v="Clearance Top"/>
    <n v="999"/>
    <n v="2"/>
    <n v="1998"/>
    <m/>
    <n v="0"/>
    <s v="Debit Card"/>
    <x v="2"/>
    <s v="Vadodara"/>
    <s v="Gujarat"/>
    <s v="Mumbai"/>
    <d v="2025-01-21T00:00:00"/>
    <x v="0"/>
    <x v="0"/>
    <m/>
    <m/>
    <s v="Not Applicable"/>
    <s v="OK"/>
    <b v="0"/>
    <s v="No_Discount"/>
    <n v="1998"/>
    <s v="OK"/>
    <n v="1"/>
    <s v="OK"/>
    <n v="25"/>
    <s v="OK"/>
    <n v="0"/>
    <x v="2"/>
    <x v="12"/>
  </r>
  <r>
    <x v="330"/>
    <d v="2024-12-27T00:00:00"/>
    <s v="CUST_10330"/>
    <x v="0"/>
    <s v="DRS-END-L"/>
    <s v="Dresses"/>
    <s v="Year End Dress"/>
    <n v="3499"/>
    <n v="1"/>
    <n v="3499"/>
    <d v="2026-12-20T00:00:00"/>
    <n v="20"/>
    <s v="Credit Card"/>
    <x v="0"/>
    <s v="Rajkot"/>
    <s v="Gujarat"/>
    <s v="Mumbai"/>
    <d v="2025-01-22T00:00:00"/>
    <x v="0"/>
    <x v="1"/>
    <s v="Size Issue"/>
    <d v="2025-02-19T00:00:00"/>
    <s v="Processed"/>
    <s v="OK"/>
    <b v="0"/>
    <s v="Discount_Not_Applied"/>
    <n v="2799.2000000000003"/>
    <s v="Mismatch"/>
    <n v="1"/>
    <s v="OK"/>
    <n v="26"/>
    <s v="OK"/>
    <n v="28"/>
    <x v="2"/>
    <x v="12"/>
  </r>
  <r>
    <x v="331"/>
    <d v="2024-12-27T00:00:00"/>
    <s v="CUST_10331"/>
    <x v="0"/>
    <s v="BOT-FNL-S"/>
    <s v="Bottoms"/>
    <s v="Final Sale Pants"/>
    <n v="1799"/>
    <n v="1"/>
    <n v="1799"/>
    <m/>
    <n v="0"/>
    <s v="UPI"/>
    <x v="1"/>
    <s v="Kanpur"/>
    <s v="Uttar Pradesh"/>
    <s v="Delhi"/>
    <d v="2025-01-22T00:00:00"/>
    <x v="0"/>
    <x v="0"/>
    <m/>
    <m/>
    <s v="Not Applicable"/>
    <s v="OK"/>
    <b v="0"/>
    <s v="No_Discount"/>
    <n v="1799"/>
    <s v="OK"/>
    <n v="1"/>
    <s v="OK"/>
    <n v="26"/>
    <s v="OK"/>
    <n v="0"/>
    <x v="2"/>
    <x v="12"/>
  </r>
  <r>
    <x v="332"/>
    <d v="2024-12-27T00:00:00"/>
    <s v="CUST_10332"/>
    <x v="0"/>
    <s v="OUT-LST-M"/>
    <s v="Outerwear"/>
    <s v="Last Chance Jacket"/>
    <n v="4599"/>
    <n v="1"/>
    <n v="4599"/>
    <m/>
    <n v="0"/>
    <s v="COD"/>
    <x v="2"/>
    <s v="Mumbai"/>
    <s v="Maharashtra"/>
    <s v="Mumbai"/>
    <d v="2025-01-23T00:00:00"/>
    <x v="0"/>
    <x v="1"/>
    <s v="Wrong Item"/>
    <d v="2025-02-20T00:00:00"/>
    <s v="Processed"/>
    <s v="OK"/>
    <b v="0"/>
    <s v="No_Discount"/>
    <n v="4599"/>
    <s v="OK"/>
    <n v="1"/>
    <s v="OK"/>
    <n v="27"/>
    <s v="OK"/>
    <n v="28"/>
    <x v="2"/>
    <x v="12"/>
  </r>
  <r>
    <x v="333"/>
    <d v="2024-12-28T00:00:00"/>
    <s v="CUST_10333"/>
    <x v="1"/>
    <s v="ACC-NWY-OS"/>
    <s v="Accessories"/>
    <s v="New Year Tiara"/>
    <n v="799"/>
    <n v="1"/>
    <n v="799"/>
    <d v="2026-12-20T00:00:00"/>
    <n v="20"/>
    <s v="Wallet"/>
    <x v="0"/>
    <s v="Delhi"/>
    <s v="Delhi"/>
    <s v="Delhi"/>
    <d v="2025-01-22T00:00:00"/>
    <x v="0"/>
    <x v="0"/>
    <m/>
    <m/>
    <s v="Not Applicable"/>
    <s v="OK"/>
    <b v="0"/>
    <s v="Discount_Not_Applied"/>
    <n v="639.20000000000005"/>
    <s v="Mismatch"/>
    <n v="1"/>
    <s v="OK"/>
    <n v="25"/>
    <s v="OK"/>
    <n v="0"/>
    <x v="2"/>
    <x v="12"/>
  </r>
  <r>
    <x v="334"/>
    <d v="2024-12-28T00:00:00"/>
    <s v="CUST_10334"/>
    <x v="0"/>
    <s v="TOP-BYE-L"/>
    <s v="Tops"/>
    <s v="Goodbye 2024 Top"/>
    <n v="1899"/>
    <n v="1"/>
    <n v="1899"/>
    <m/>
    <n v="0"/>
    <s v="Debit Card"/>
    <x v="1"/>
    <s v="Kolkata"/>
    <s v="West Bengal"/>
    <s v="Delhi"/>
    <d v="2025-01-23T00:00:00"/>
    <x v="0"/>
    <x v="1"/>
    <s v="Damaged in Transit"/>
    <d v="2025-02-19T00:00:00"/>
    <s v="Processed"/>
    <s v="OK"/>
    <b v="0"/>
    <s v="No_Discount"/>
    <n v="1899"/>
    <s v="OK"/>
    <n v="1"/>
    <s v="OK"/>
    <n v="26"/>
    <s v="OK"/>
    <n v="27"/>
    <x v="2"/>
    <x v="12"/>
  </r>
  <r>
    <x v="335"/>
    <d v="2024-12-28T00:00:00"/>
    <s v="CUST_10335"/>
    <x v="0"/>
    <s v="DRS-WLC-S"/>
    <s v="Dresses"/>
    <s v="Welcome 2025 Dress"/>
    <n v="4099"/>
    <n v="1"/>
    <n v="4099"/>
    <m/>
    <n v="0"/>
    <s v="Credit Card"/>
    <x v="2"/>
    <s v="Chennai"/>
    <s v="Tamil Nadu"/>
    <s v="Bangalore"/>
    <d v="2025-01-24T00:00:00"/>
    <x v="0"/>
    <x v="1"/>
    <s v="Size Issue"/>
    <d v="2025-02-21T00:00:00"/>
    <s v="Processed"/>
    <s v="OK"/>
    <b v="0"/>
    <s v="No_Discount"/>
    <n v="4099"/>
    <s v="OK"/>
    <n v="1"/>
    <s v="OK"/>
    <n v="27"/>
    <s v="OK"/>
    <n v="28"/>
    <x v="2"/>
    <x v="12"/>
  </r>
  <r>
    <x v="336"/>
    <d v="2024-12-28T00:00:00"/>
    <s v="CUST_10336"/>
    <x v="0"/>
    <s v="BOT-RES-M"/>
    <s v="Bottoms"/>
    <s v="Resolution Pants"/>
    <n v="2299"/>
    <n v="1"/>
    <n v="2299"/>
    <d v="2026-12-20T00:00:00"/>
    <n v="20"/>
    <s v="UPI"/>
    <x v="0"/>
    <s v="Hyderabad"/>
    <s v="Telangana"/>
    <s v="Bangalore"/>
    <d v="2025-01-24T00:00:00"/>
    <x v="0"/>
    <x v="0"/>
    <m/>
    <m/>
    <s v="Not Applicable"/>
    <s v="OK"/>
    <b v="0"/>
    <s v="Discount_Not_Applied"/>
    <n v="1839.2"/>
    <s v="Mismatch"/>
    <n v="1"/>
    <s v="OK"/>
    <n v="27"/>
    <s v="OK"/>
    <n v="0"/>
    <x v="2"/>
    <x v="12"/>
  </r>
  <r>
    <x v="337"/>
    <d v="2024-12-29T00:00:00"/>
    <s v="CUST_10337"/>
    <x v="0"/>
    <s v="OUT-HOP-L"/>
    <s v="Outerwear"/>
    <s v="Hope Coat"/>
    <n v="5799"/>
    <n v="1"/>
    <n v="5799"/>
    <m/>
    <n v="0"/>
    <s v="COD"/>
    <x v="1"/>
    <s v="Pune"/>
    <s v="Maharashtra"/>
    <s v="Mumbai"/>
    <d v="2025-01-25T00:00:00"/>
    <x v="0"/>
    <x v="1"/>
    <s v="Changed Mind"/>
    <d v="2025-02-22T00:00:00"/>
    <s v="Processed"/>
    <s v="OK"/>
    <b v="0"/>
    <s v="No_Discount"/>
    <n v="5799"/>
    <s v="OK"/>
    <n v="1"/>
    <s v="OK"/>
    <n v="27"/>
    <s v="OK"/>
    <n v="28"/>
    <x v="2"/>
    <x v="13"/>
  </r>
  <r>
    <x v="338"/>
    <d v="2024-12-29T00:00:00"/>
    <s v="CUST_10338"/>
    <x v="1"/>
    <s v="ACC-DRM-OS"/>
    <s v="Accessories"/>
    <s v="Dream Catcher Earrings"/>
    <n v="699"/>
    <n v="2"/>
    <n v="1398"/>
    <m/>
    <n v="0"/>
    <s v="Wallet"/>
    <x v="2"/>
    <s v="Ahmedabad"/>
    <s v="Gujarat"/>
    <s v="Mumbai"/>
    <d v="2025-01-24T00:00:00"/>
    <x v="0"/>
    <x v="1"/>
    <s v="Quality Defect"/>
    <d v="2025-02-20T00:00:00"/>
    <s v="Processed"/>
    <s v="OK"/>
    <b v="0"/>
    <s v="No_Discount"/>
    <n v="1398"/>
    <s v="OK"/>
    <n v="1"/>
    <s v="OK"/>
    <n v="26"/>
    <s v="OK"/>
    <n v="27"/>
    <x v="2"/>
    <x v="13"/>
  </r>
  <r>
    <x v="339"/>
    <d v="2024-12-29T00:00:00"/>
    <s v="CUST_10340"/>
    <x v="0"/>
    <s v="TOP-WIS-M"/>
    <s v="Tops"/>
    <s v="Wishes Top"/>
    <n v="1999"/>
    <n v="1"/>
    <n v="1999"/>
    <d v="2026-12-20T00:00:00"/>
    <n v="20"/>
    <s v="Debit Card"/>
    <x v="0"/>
    <s v="Jaipur"/>
    <s v="Rajasthan"/>
    <s v="Delhi"/>
    <d v="2025-01-25T00:00:00"/>
    <x v="0"/>
    <x v="0"/>
    <m/>
    <m/>
    <s v="Not Applicable"/>
    <s v="OK"/>
    <b v="0"/>
    <s v="Discount_Not_Applied"/>
    <n v="1599.2"/>
    <s v="Mismatch"/>
    <n v="2"/>
    <s v="Existing customer"/>
    <n v="27"/>
    <s v="OK"/>
    <n v="0"/>
    <x v="2"/>
    <x v="13"/>
  </r>
  <r>
    <x v="340"/>
    <d v="2024-12-29T00:00:00"/>
    <s v="CUST_10340"/>
    <x v="0"/>
    <s v="DRS-PRO-L"/>
    <s v="Dresses"/>
    <s v="Promise Dress"/>
    <n v="3899"/>
    <n v="1"/>
    <n v="3899"/>
    <m/>
    <n v="0"/>
    <s v="Credit Card"/>
    <x v="1"/>
    <s v="Lucknow"/>
    <s v="Uttar Pradesh"/>
    <s v="Delhi"/>
    <d v="2025-01-26T00:00:00"/>
    <x v="0"/>
    <x v="1"/>
    <s v="Size Issue"/>
    <d v="2025-02-23T00:00:00"/>
    <s v="Processed"/>
    <s v="OK"/>
    <b v="0"/>
    <s v="No_Discount"/>
    <n v="3899"/>
    <s v="OK"/>
    <n v="2"/>
    <s v="Existing customer"/>
    <n v="28"/>
    <s v="OK"/>
    <n v="28"/>
    <x v="2"/>
    <x v="13"/>
  </r>
  <r>
    <x v="341"/>
    <d v="2024-12-30T00:00:00"/>
    <s v="CUST_10341"/>
    <x v="0"/>
    <s v="BOT-NEW-S"/>
    <s v="Bottoms"/>
    <s v="New Beginning Pants"/>
    <n v="2099"/>
    <n v="1"/>
    <n v="2099"/>
    <m/>
    <n v="0"/>
    <s v="UPI"/>
    <x v="2"/>
    <s v="Bangalore"/>
    <s v="Karnataka"/>
    <s v="Bangalore"/>
    <d v="2025-01-26T00:00:00"/>
    <x v="0"/>
    <x v="0"/>
    <m/>
    <m/>
    <s v="Not Applicable"/>
    <s v="OK"/>
    <b v="0"/>
    <s v="No_Discount"/>
    <n v="2099"/>
    <s v="OK"/>
    <n v="1"/>
    <s v="OK"/>
    <n v="27"/>
    <s v="OK"/>
    <n v="0"/>
    <x v="2"/>
    <x v="13"/>
  </r>
  <r>
    <x v="342"/>
    <d v="2024-12-30T00:00:00"/>
    <s v="CUST_10342"/>
    <x v="0"/>
    <s v="OUT-FRE-M"/>
    <s v="Outerwear"/>
    <s v="Fresh Start Jacket"/>
    <n v="4899"/>
    <n v="1"/>
    <n v="4899"/>
    <d v="2026-12-20T00:00:00"/>
    <n v="20"/>
    <s v="COD"/>
    <x v="0"/>
    <s v="Mumbai"/>
    <s v="Maharashtra"/>
    <s v="Mumbai"/>
    <d v="2025-01-27T00:00:00"/>
    <x v="0"/>
    <x v="1"/>
    <s v="Wrong Item"/>
    <d v="2025-02-24T00:00:00"/>
    <s v="Processed"/>
    <s v="OK"/>
    <b v="0"/>
    <s v="Discount_Not_Applied"/>
    <n v="3919.2000000000003"/>
    <s v="Mismatch"/>
    <n v="1"/>
    <s v="OK"/>
    <n v="28"/>
    <s v="OK"/>
    <n v="28"/>
    <x v="2"/>
    <x v="13"/>
  </r>
  <r>
    <x v="343"/>
    <d v="2024-12-30T00:00:00"/>
    <s v="CUST_10343"/>
    <x v="1"/>
    <s v="ACC-LCK-OS"/>
    <s v="Accessories"/>
    <s v="Lucky Charm Bracelet"/>
    <n v="599"/>
    <n v="3"/>
    <n v="1797"/>
    <m/>
    <n v="0"/>
    <s v="Wallet"/>
    <x v="1"/>
    <s v="Delhi"/>
    <s v="Delhi"/>
    <s v="Delhi"/>
    <d v="2025-01-26T00:00:00"/>
    <x v="0"/>
    <x v="0"/>
    <m/>
    <m/>
    <s v="Not Applicable"/>
    <s v="OK"/>
    <b v="0"/>
    <s v="No_Discount"/>
    <n v="1797"/>
    <s v="OK"/>
    <n v="1"/>
    <s v="OK"/>
    <n v="27"/>
    <s v="OK"/>
    <n v="0"/>
    <x v="2"/>
    <x v="13"/>
  </r>
  <r>
    <x v="344"/>
    <d v="2024-12-30T00:00:00"/>
    <s v="CUST_10344"/>
    <x v="0"/>
    <s v="TOP-BEG-L"/>
    <s v="Tops"/>
    <s v="Begin Again Top"/>
    <n v="2199"/>
    <n v="1"/>
    <n v="2199"/>
    <m/>
    <n v="0"/>
    <s v="Debit Card"/>
    <x v="2"/>
    <s v="Chandigarh"/>
    <s v="Punjab"/>
    <s v="Delhi"/>
    <d v="2025-01-27T00:00:00"/>
    <x v="0"/>
    <x v="1"/>
    <s v="Damaged in Transit"/>
    <d v="2025-02-23T00:00:00"/>
    <s v="Processed"/>
    <s v="OK"/>
    <b v="0"/>
    <s v="No_Discount"/>
    <n v="2199"/>
    <s v="OK"/>
    <n v="1"/>
    <s v="OK"/>
    <n v="28"/>
    <s v="OK"/>
    <n v="27"/>
    <x v="2"/>
    <x v="13"/>
  </r>
  <r>
    <x v="345"/>
    <d v="2024-12-31T00:00:00"/>
    <s v="CUST_10345"/>
    <x v="0"/>
    <s v="DRS-CNT-S"/>
    <s v="Dresses"/>
    <s v="Countdown Dress"/>
    <n v="4499"/>
    <n v="1"/>
    <n v="4499"/>
    <d v="2026-12-20T00:00:00"/>
    <n v="20"/>
    <s v="Credit Card"/>
    <x v="0"/>
    <s v="Noida"/>
    <s v="Uttar Pradesh"/>
    <s v="Delhi"/>
    <d v="2025-01-28T00:00:00"/>
    <x v="0"/>
    <x v="1"/>
    <s v="Size Issue"/>
    <d v="2025-02-25T00:00:00"/>
    <s v="Processed"/>
    <s v="OK"/>
    <b v="0"/>
    <s v="Discount_Not_Applied"/>
    <n v="3599.2000000000003"/>
    <s v="Mismatch"/>
    <n v="1"/>
    <s v="OK"/>
    <n v="28"/>
    <s v="OK"/>
    <n v="28"/>
    <x v="2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s v="UT-100003"/>
    <d v="2024-10-01T00:00:00"/>
    <s v="CUST_10003"/>
    <x v="0"/>
    <s v="BOT-JNS-L"/>
    <x v="0"/>
    <s v="Slim Fit Jeans"/>
    <n v="1899"/>
    <n v="1"/>
    <n v="1899"/>
    <m/>
    <n v="0"/>
    <s v="COD"/>
    <x v="0"/>
    <s v="Bangalore"/>
    <s v="Karnataka"/>
    <s v="Bangalore"/>
    <d v="2024-10-06T00:00:00"/>
    <s v="Delivered"/>
    <s v="No"/>
    <x v="0"/>
    <m/>
    <s v="Not Applicable"/>
    <s v="OK"/>
    <b v="0"/>
    <s v="No_Discount"/>
    <n v="1899"/>
    <s v="OK"/>
    <n v="1"/>
    <s v="OK"/>
    <n v="5"/>
    <s v="OK"/>
    <n v="0"/>
    <s v="Oct-2024"/>
    <s v="2024-40"/>
    <s v="COD"/>
  </r>
  <r>
    <s v="UT-100001"/>
    <d v="2024-10-01T00:00:00"/>
    <s v="CUST_10001"/>
    <x v="0"/>
    <s v="TOP-CAS-M"/>
    <x v="1"/>
    <s v="Classic Cotton Tee"/>
    <n v="1299"/>
    <n v="2"/>
    <n v="2598"/>
    <m/>
    <n v="0"/>
    <s v="UPI"/>
    <x v="0"/>
    <s v="Mumbai"/>
    <s v="Maharashtra"/>
    <s v="Mumbai"/>
    <d v="2024-10-05T00:00:00"/>
    <s v="Delivered"/>
    <s v="No"/>
    <x v="0"/>
    <m/>
    <s v="Not Applicable"/>
    <s v="OK"/>
    <b v="0"/>
    <s v="No_Discount"/>
    <n v="2598"/>
    <s v="OK"/>
    <n v="2"/>
    <s v="Existing customer"/>
    <n v="4"/>
    <s v="OK"/>
    <n v="0"/>
    <s v="Oct-2024"/>
    <s v="2024-40"/>
    <s v="Prepaid"/>
  </r>
  <r>
    <s v="UT-100002"/>
    <d v="2024-10-01T00:00:00"/>
    <s v="CUST_10002"/>
    <x v="1"/>
    <s v="DRS-FRM-S"/>
    <x v="2"/>
    <s v="Floral Midi Dress"/>
    <n v="2499"/>
    <n v="1"/>
    <n v="2499"/>
    <s v="DIWALI20"/>
    <n v="20"/>
    <s v="Credit Card"/>
    <x v="1"/>
    <s v="Delhi"/>
    <s v="Delhi"/>
    <s v="Delhi"/>
    <d v="2024-10-04T00:00:00"/>
    <s v="Delivered"/>
    <s v="Yes"/>
    <x v="1"/>
    <d v="2024-10-15T00:00:00"/>
    <s v="Processed"/>
    <s v="OK"/>
    <b v="0"/>
    <s v="Discount_Not_Applied"/>
    <n v="1999.2"/>
    <s v="Mismatch"/>
    <n v="1"/>
    <s v="OK"/>
    <n v="3"/>
    <s v="OK"/>
    <n v="11"/>
    <s v="Oct-2024"/>
    <s v="2024-40"/>
    <s v="Prepaid"/>
  </r>
  <r>
    <s v="UT-100004"/>
    <d v="2024-10-01T00:00:00"/>
    <s v="CUST_10004"/>
    <x v="0"/>
    <s v="OUT-JKT-XL"/>
    <x v="3"/>
    <s v="Denim Jacket"/>
    <n v="3499"/>
    <n v="1"/>
    <n v="3499"/>
    <s v="FIRST15"/>
    <n v="15"/>
    <s v="Debit Card"/>
    <x v="2"/>
    <s v="Chennai"/>
    <s v="Tamil Nadu"/>
    <s v="Mumbai"/>
    <d v="2024-10-08T00:00:00"/>
    <s v="Delivered"/>
    <s v="Yes"/>
    <x v="2"/>
    <d v="2024-10-20T00:00:00"/>
    <s v="Processed"/>
    <s v="OK"/>
    <b v="0"/>
    <s v="Discount_Not_Applied"/>
    <n v="2974.15"/>
    <s v="Mismatch"/>
    <n v="1"/>
    <s v="OK"/>
    <n v="7"/>
    <s v="OK"/>
    <n v="12"/>
    <s v="Oct-2024"/>
    <s v="2024-40"/>
    <s v="Prepaid"/>
  </r>
  <r>
    <s v="UT-100005"/>
    <d v="2024-10-01T00:00:00"/>
    <s v="CUST_10001"/>
    <x v="0"/>
    <s v="ACC-SCF-OS"/>
    <x v="4"/>
    <s v="Silk Scarf"/>
    <n v="799"/>
    <n v="3"/>
    <n v="2397"/>
    <m/>
    <n v="0"/>
    <s v="UPI"/>
    <x v="0"/>
    <s v="Mumbai"/>
    <s v="Maharashtra"/>
    <s v="Mumbai"/>
    <d v="2024-10-06T00:00:00"/>
    <s v="Delivered"/>
    <s v="No"/>
    <x v="0"/>
    <m/>
    <s v="Not Applicable"/>
    <s v="OK"/>
    <b v="0"/>
    <s v="No_Discount"/>
    <n v="2397"/>
    <s v="OK"/>
    <n v="2"/>
    <s v="Existing customer"/>
    <n v="5"/>
    <s v="OK"/>
    <n v="0"/>
    <s v="Oct-2024"/>
    <s v="2024-40"/>
    <s v="Prepaid"/>
  </r>
  <r>
    <s v="UT-100006"/>
    <d v="2024-10-02T00:00:00"/>
    <s v="CUST_10005"/>
    <x v="1"/>
    <s v="TOP-FRM-S"/>
    <x v="1"/>
    <s v="Printed Blouse"/>
    <n v="1599"/>
    <n v="2"/>
    <n v="3198"/>
    <m/>
    <n v="0"/>
    <s v="Credit Card"/>
    <x v="1"/>
    <s v="Hyderabad"/>
    <s v="Telangana"/>
    <s v="Bangalore"/>
    <d v="2024-10-07T00:00:00"/>
    <s v="Delivered"/>
    <s v="Yes"/>
    <x v="3"/>
    <d v="2024-10-18T00:00:00"/>
    <s v="Processed"/>
    <s v="OK"/>
    <b v="0"/>
    <s v="No_Discount"/>
    <n v="3198"/>
    <s v="OK"/>
    <n v="1"/>
    <s v="OK"/>
    <n v="5"/>
    <s v="OK"/>
    <n v="11"/>
    <s v="Oct-2024"/>
    <s v="2024-40"/>
    <s v="Prepaid"/>
  </r>
  <r>
    <s v="UT-100007"/>
    <d v="2024-10-02T00:00:00"/>
    <s v="CUST_10006"/>
    <x v="0"/>
    <s v="DRS-CAS-M"/>
    <x v="2"/>
    <s v="A-Line Dress"/>
    <n v="2199"/>
    <n v="1"/>
    <n v="2199"/>
    <s v="DIWALI20"/>
    <n v="20"/>
    <s v="COD"/>
    <x v="0"/>
    <s v="Pune"/>
    <s v="Maharashtra"/>
    <s v="Mumbai"/>
    <m/>
    <s v="Cancelled"/>
    <s v="No"/>
    <x v="0"/>
    <m/>
    <s v="Not Applicable"/>
    <s v="OK"/>
    <b v="0"/>
    <s v="Discount_Not_Applied"/>
    <n v="1759.2"/>
    <s v="Mismatch"/>
    <n v="1"/>
    <s v="OK"/>
    <n v="-45567"/>
    <s v="Invalid_delivery_time"/>
    <n v="0"/>
    <s v="Oct-2024"/>
    <s v="2024-40"/>
    <s v="COD"/>
  </r>
  <r>
    <s v="UT-100008"/>
    <d v="2024-10-02T00:00:00"/>
    <s v="CUST_10007"/>
    <x v="0"/>
    <s v="BOT-TRS-L"/>
    <x v="0"/>
    <s v="Formal Trousers"/>
    <n v="2299"/>
    <n v="1"/>
    <n v="2299"/>
    <m/>
    <n v="0"/>
    <s v="UPI"/>
    <x v="1"/>
    <s v="Kolkata"/>
    <s v="West Bengal"/>
    <s v="Delhi"/>
    <d v="2024-10-10T00:00:00"/>
    <s v="Delivered"/>
    <s v="No"/>
    <x v="0"/>
    <m/>
    <s v="Not Applicable"/>
    <s v="OK"/>
    <b v="0"/>
    <s v="No_Discount"/>
    <n v="2299"/>
    <s v="OK"/>
    <n v="1"/>
    <s v="OK"/>
    <n v="8"/>
    <s v="OK"/>
    <n v="0"/>
    <s v="Oct-2024"/>
    <s v="2024-40"/>
    <s v="Prepaid"/>
  </r>
  <r>
    <s v="UT-100009"/>
    <d v="2024-10-02T00:00:00"/>
    <s v="CUST_10008"/>
    <x v="1"/>
    <s v="TOP-CAS-XL"/>
    <x v="1"/>
    <s v="Oversized Tee"/>
    <n v="1399"/>
    <n v="5"/>
    <n v="6995"/>
    <m/>
    <n v="0"/>
    <s v="Credit Card"/>
    <x v="0"/>
    <s v="Ahmedabad"/>
    <s v="Gujarat"/>
    <s v="Mumbai"/>
    <d v="2024-10-09T00:00:00"/>
    <s v="Delivered"/>
    <s v="Yes"/>
    <x v="1"/>
    <d v="2024-10-22T00:00:00"/>
    <s v="Processed"/>
    <s v="OK"/>
    <b v="0"/>
    <s v="No_Discount"/>
    <n v="6995"/>
    <s v="OK"/>
    <n v="1"/>
    <s v="OK"/>
    <n v="7"/>
    <s v="OK"/>
    <n v="13"/>
    <s v="Oct-2024"/>
    <s v="2024-40"/>
    <s v="Prepaid"/>
  </r>
  <r>
    <s v="UT-100010"/>
    <d v="2024-10-02T00:00:00"/>
    <s v="CUST_10009"/>
    <x v="0"/>
    <s v="OUT-BLZ-M"/>
    <x v="3"/>
    <s v="Casual Blazer"/>
    <n v="4999"/>
    <n v="-1"/>
    <n v="4999"/>
    <m/>
    <n v="0"/>
    <s v="Debit Card"/>
    <x v="2"/>
    <s v="Jaipur"/>
    <s v="Rajasthan"/>
    <s v="Delhi"/>
    <d v="2024-10-11T00:00:00"/>
    <s v="Delivered"/>
    <s v="Yes"/>
    <x v="4"/>
    <d v="2024-10-25T00:00:00"/>
    <s v="Pending"/>
    <s v="Invalid Quantity"/>
    <b v="0"/>
    <s v="No_Discount"/>
    <n v="-4999"/>
    <s v="Mismatch"/>
    <n v="1"/>
    <s v="OK"/>
    <n v="9"/>
    <s v="OK"/>
    <n v="14"/>
    <s v="Oct-2024"/>
    <s v="2024-40"/>
    <s v="Prepaid"/>
  </r>
  <r>
    <s v="UT-100011"/>
    <d v="2024-10-03T00:00:00"/>
    <s v="CUST_10010"/>
    <x v="0"/>
    <s v="ACC-BAG-OS"/>
    <x v="4"/>
    <s v="Tote Bag"/>
    <n v="1299"/>
    <n v="2"/>
    <n v="2598"/>
    <s v="FLAT10"/>
    <n v="10"/>
    <s v="Wallet"/>
    <x v="0"/>
    <s v="Lucknow"/>
    <s v="Uttar Pradesh"/>
    <s v="Delhi"/>
    <d v="2024-10-10T00:00:00"/>
    <s v="Delivered"/>
    <s v="No"/>
    <x v="0"/>
    <m/>
    <s v="Not Applicable"/>
    <s v="OK"/>
    <b v="0"/>
    <s v="Discount_Not_Applied"/>
    <n v="2338.2000000000003"/>
    <s v="Mismatch"/>
    <n v="1"/>
    <s v="OK"/>
    <n v="7"/>
    <s v="OK"/>
    <n v="0"/>
    <s v="Oct-2024"/>
    <s v="2024-40"/>
    <s v="Prepaid"/>
  </r>
  <r>
    <s v="UT-100012"/>
    <d v="2024-10-03T00:00:00"/>
    <s v="CUST_10011"/>
    <x v="0"/>
    <s v="DRS-PRT-S"/>
    <x v="2"/>
    <s v="Party Dress"/>
    <n v="3299"/>
    <n v="1"/>
    <n v="3299"/>
    <m/>
    <n v="0"/>
    <s v="COD"/>
    <x v="1"/>
    <s v="Chandigarh"/>
    <s v="Punjab"/>
    <s v="Delhi"/>
    <m/>
    <s v="RTO"/>
    <s v="No"/>
    <x v="0"/>
    <m/>
    <s v="Not Applicable"/>
    <s v="OK"/>
    <b v="0"/>
    <s v="No_Discount"/>
    <n v="3299"/>
    <s v="OK"/>
    <n v="1"/>
    <s v="OK"/>
    <n v="-45568"/>
    <s v="Invalid_delivery_time"/>
    <n v="0"/>
    <s v="Oct-2024"/>
    <s v="2024-40"/>
    <s v="COD"/>
  </r>
  <r>
    <s v="UT-100013"/>
    <d v="2024-10-03T00:00:00"/>
    <s v="CUST_10012"/>
    <x v="1"/>
    <s v="TOP-SLK-M"/>
    <x v="1"/>
    <s v="Silk Blouse"/>
    <n v="2499"/>
    <n v="1"/>
    <n v="2499"/>
    <m/>
    <n v="0"/>
    <s v="Credit Card"/>
    <x v="0"/>
    <s v="Mumbai"/>
    <s v="Maharashtra"/>
    <s v="Mumbai"/>
    <d v="2024-10-09T00:00:00"/>
    <s v="Delivered"/>
    <s v="No"/>
    <x v="0"/>
    <m/>
    <s v="Not Applicable"/>
    <s v="OK"/>
    <b v="0"/>
    <s v="No_Discount"/>
    <n v="2499"/>
    <s v="OK"/>
    <n v="1"/>
    <s v="OK"/>
    <n v="6"/>
    <s v="OK"/>
    <n v="0"/>
    <s v="Oct-2024"/>
    <s v="2024-40"/>
    <s v="Prepaid"/>
  </r>
  <r>
    <s v="UT-100014"/>
    <d v="2024-10-03T00:00:00"/>
    <s v="CUST_10013"/>
    <x v="0"/>
    <s v="BOT-SKT-S"/>
    <x v="0"/>
    <s v="Pleated Skirt"/>
    <n v="1799"/>
    <n v="2"/>
    <n v="3598"/>
    <s v="DIWALI20"/>
    <n v="20"/>
    <s v="UPI"/>
    <x v="2"/>
    <s v="Delhi"/>
    <s v="Delhi"/>
    <s v="Delhi"/>
    <d v="2024-10-11T00:00:00"/>
    <s v="Delivered"/>
    <s v="Yes"/>
    <x v="1"/>
    <d v="2024-10-28T00:00:00"/>
    <s v="Processed"/>
    <s v="OK"/>
    <b v="0"/>
    <s v="Discount_Not_Applied"/>
    <n v="2878.4"/>
    <s v="Mismatch"/>
    <n v="1"/>
    <s v="OK"/>
    <n v="8"/>
    <s v="OK"/>
    <n v="17"/>
    <s v="Oct-2024"/>
    <s v="2024-40"/>
    <s v="Prepaid"/>
  </r>
  <r>
    <s v="UT-100015"/>
    <d v="2024-10-03T00:00:00"/>
    <s v="CUST_10014"/>
    <x v="0"/>
    <s v="OUT-CRD-L"/>
    <x v="3"/>
    <s v="Knit Cardigan"/>
    <n v="2799"/>
    <n v="1"/>
    <n v="2799"/>
    <m/>
    <n v="0"/>
    <s v="Debit Card"/>
    <x v="1"/>
    <s v="Bangalore"/>
    <s v="Karnataka"/>
    <s v="Bangalore"/>
    <d v="2024-10-12T00:00:00"/>
    <s v="Delivered"/>
    <s v="No"/>
    <x v="0"/>
    <m/>
    <s v="Not Applicable"/>
    <s v="OK"/>
    <b v="0"/>
    <s v="No_Discount"/>
    <n v="2799"/>
    <s v="OK"/>
    <n v="1"/>
    <s v="OK"/>
    <n v="9"/>
    <s v="OK"/>
    <n v="0"/>
    <s v="Oct-2024"/>
    <s v="2024-40"/>
    <s v="Prepaid"/>
  </r>
  <r>
    <s v="UT-100016"/>
    <d v="2024-10-04T00:00:00"/>
    <s v="CUST_10015"/>
    <x v="1"/>
    <s v="ACC-JWL-OS"/>
    <x v="4"/>
    <s v="Statement Earrings"/>
    <n v="599"/>
    <n v="4"/>
    <n v="2396"/>
    <m/>
    <n v="0"/>
    <s v="COD"/>
    <x v="0"/>
    <s v="Noida"/>
    <s v="Uttar Pradesh"/>
    <s v="Delhi"/>
    <d v="2024-10-14T00:00:00"/>
    <s v="Delivered"/>
    <s v="Yes"/>
    <x v="5"/>
    <d v="2024-10-26T00:00:00"/>
    <s v="Processed"/>
    <s v="OK"/>
    <b v="0"/>
    <s v="No_Discount"/>
    <n v="2396"/>
    <s v="OK"/>
    <n v="1"/>
    <s v="OK"/>
    <n v="10"/>
    <s v="OK"/>
    <n v="12"/>
    <s v="Oct-2024"/>
    <s v="2024-40"/>
    <s v="COD"/>
  </r>
  <r>
    <s v="UT-100017"/>
    <d v="2024-10-04T00:00:00"/>
    <s v="CUST_10016"/>
    <x v="0"/>
    <s v="TOP-CRP-XS"/>
    <x v="1"/>
    <s v="Crop Top"/>
    <n v="999"/>
    <n v="1"/>
    <n v="999"/>
    <s v="FIRST15"/>
    <n v="15"/>
    <s v="UPI"/>
    <x v="1"/>
    <s v="Gurgaon"/>
    <s v="Haryana"/>
    <s v="Delhi"/>
    <d v="2024-10-12T00:00:00"/>
    <s v="Delivered"/>
    <s v="No"/>
    <x v="0"/>
    <m/>
    <s v="Not Applicable"/>
    <s v="OK"/>
    <b v="0"/>
    <s v="Discount_Not_Applied"/>
    <n v="849.15"/>
    <s v="Mismatch"/>
    <n v="1"/>
    <s v="OK"/>
    <n v="8"/>
    <s v="OK"/>
    <n v="0"/>
    <s v="Oct-2024"/>
    <s v="2024-40"/>
    <s v="Prepaid"/>
  </r>
  <r>
    <s v="UT-100018"/>
    <d v="2024-10-04T00:00:00"/>
    <s v="CUST_10017"/>
    <x v="0"/>
    <s v="DRS-MAX-M"/>
    <x v="2"/>
    <s v="Maxi Dress"/>
    <n v="2899"/>
    <n v="1"/>
    <n v="2899"/>
    <m/>
    <n v="0"/>
    <s v="Credit Card"/>
    <x v="0"/>
    <s v="Indore"/>
    <s v="Madhya Pradesh"/>
    <s v="Mumbai"/>
    <d v="2024-10-14T00:00:00"/>
    <s v="Delivered"/>
    <s v="No"/>
    <x v="0"/>
    <m/>
    <s v="Not Applicable"/>
    <s v="OK"/>
    <b v="0"/>
    <s v="No_Discount"/>
    <n v="2899"/>
    <s v="OK"/>
    <n v="1"/>
    <s v="OK"/>
    <n v="10"/>
    <s v="OK"/>
    <n v="0"/>
    <s v="Oct-2024"/>
    <s v="2024-40"/>
    <s v="Prepaid"/>
  </r>
  <r>
    <s v="UT-100019"/>
    <d v="2024-10-04T00:00:00"/>
    <s v="CUST_10018"/>
    <x v="1"/>
    <s v="BOT-JGR-M"/>
    <x v="0"/>
    <s v="Joggers"/>
    <n v="1499"/>
    <n v="2"/>
    <n v="2998"/>
    <m/>
    <n v="0"/>
    <s v="Wallet"/>
    <x v="2"/>
    <s v="Surat"/>
    <s v="Gujarat"/>
    <s v="Mumbai"/>
    <d v="2024-10-13T00:00:00"/>
    <s v="Delivered"/>
    <s v="Yes"/>
    <x v="1"/>
    <d v="2024-10-30T00:00:00"/>
    <s v="Processed"/>
    <s v="OK"/>
    <b v="0"/>
    <s v="No_Discount"/>
    <n v="2998"/>
    <s v="OK"/>
    <n v="1"/>
    <s v="OK"/>
    <n v="9"/>
    <s v="OK"/>
    <n v="17"/>
    <s v="Oct-2024"/>
    <s v="2024-40"/>
    <s v="Prepaid"/>
  </r>
  <r>
    <s v="UT-100020"/>
    <d v="2024-10-05T00:00:00"/>
    <s v="CUST_10019"/>
    <x v="0"/>
    <s v="OUT-VST-S"/>
    <x v="3"/>
    <s v="Puffer Vest"/>
    <n v="3999"/>
    <n v="1"/>
    <n v="3999"/>
    <s v="DIWALI20"/>
    <n v="20"/>
    <s v="COD"/>
    <x v="0"/>
    <s v="Patna"/>
    <s v="Bihar"/>
    <s v="Delhi"/>
    <m/>
    <s v="RTO"/>
    <s v="No"/>
    <x v="0"/>
    <m/>
    <s v="Not Applicable"/>
    <s v="OK"/>
    <b v="0"/>
    <s v="Discount_Not_Applied"/>
    <n v="3199.2000000000003"/>
    <s v="Mismatch"/>
    <n v="1"/>
    <s v="OK"/>
    <n v="-45570"/>
    <s v="Invalid_delivery_time"/>
    <n v="0"/>
    <s v="Oct-2024"/>
    <s v="2024-40"/>
    <s v="COD"/>
  </r>
  <r>
    <s v="UT-100021"/>
    <d v="2024-10-05T00:00:00"/>
    <s v="CUST_10020"/>
    <x v="0"/>
    <s v="TOP-TUN-L"/>
    <x v="1"/>
    <s v="Tunic Top"/>
    <n v="1699"/>
    <n v="1"/>
    <n v="1699"/>
    <m/>
    <n v="0"/>
    <s v="UPI"/>
    <x v="1"/>
    <s v="Bhopal"/>
    <s v="Madhya Pradesh"/>
    <s v="Mumbai"/>
    <d v="2024-10-15T00:00:00"/>
    <s v="Delivered"/>
    <s v="No"/>
    <x v="0"/>
    <m/>
    <s v="Not Applicable"/>
    <s v="OK"/>
    <b v="0"/>
    <s v="No_Discount"/>
    <n v="1699"/>
    <s v="OK"/>
    <n v="1"/>
    <s v="OK"/>
    <n v="10"/>
    <s v="OK"/>
    <n v="0"/>
    <s v="Oct-2024"/>
    <s v="2024-40"/>
    <s v="Prepaid"/>
  </r>
  <r>
    <s v="UT-100022"/>
    <d v="2024-10-05T00:00:00"/>
    <s v="CUST_10021"/>
    <x v="1"/>
    <s v="DRS-SHT-XS"/>
    <x v="2"/>
    <s v="Shirt Dress"/>
    <n v="2399"/>
    <n v="1"/>
    <n v="2399"/>
    <m/>
    <n v="0"/>
    <s v="Credit Card"/>
    <x v="0"/>
    <s v="Nagpur"/>
    <s v="Maharashtra"/>
    <s v="Mumbai"/>
    <d v="2024-10-16T00:00:00"/>
    <s v="Delivered"/>
    <s v="Yes"/>
    <x v="2"/>
    <d v="2024-11-02T00:00:00"/>
    <s v="Processed"/>
    <s v="OK"/>
    <b v="0"/>
    <s v="No_Discount"/>
    <n v="2399"/>
    <s v="OK"/>
    <n v="1"/>
    <s v="OK"/>
    <n v="11"/>
    <s v="OK"/>
    <n v="17"/>
    <s v="Oct-2024"/>
    <s v="2024-40"/>
    <s v="Prepaid"/>
  </r>
  <r>
    <s v="UT-100023"/>
    <d v="2024-10-05T00:00:00"/>
    <s v="CUST_10022"/>
    <x v="0"/>
    <s v="ACC-BLT-M"/>
    <x v="4"/>
    <s v="Leather Belt"/>
    <n v="899"/>
    <n v="1"/>
    <n v="899"/>
    <s v="FLAT10"/>
    <n v="10"/>
    <s v="Debit Card"/>
    <x v="1"/>
    <s v="Coimbatore"/>
    <s v="Tamil Nadu"/>
    <s v="Bangalore"/>
    <d v="2024-10-17T00:00:00"/>
    <s v="Delivered"/>
    <s v="No"/>
    <x v="0"/>
    <m/>
    <s v="Not Applicable"/>
    <s v="OK"/>
    <b v="0"/>
    <s v="Discount_Not_Applied"/>
    <n v="809.1"/>
    <s v="Mismatch"/>
    <n v="1"/>
    <s v="OK"/>
    <n v="12"/>
    <s v="OK"/>
    <n v="0"/>
    <s v="Oct-2024"/>
    <s v="2024-40"/>
    <s v="Prepaid"/>
  </r>
  <r>
    <s v="UT-100024"/>
    <d v="2024-10-06T00:00:00"/>
    <s v="CUST_10023"/>
    <x v="0"/>
    <s v="BOT-SHT-M"/>
    <x v="0"/>
    <s v="Cotton Shorts"/>
    <n v="1199"/>
    <n v="3"/>
    <n v="3597"/>
    <m/>
    <n v="0"/>
    <s v="COD"/>
    <x v="2"/>
    <s v="Kochi"/>
    <s v="Kerala"/>
    <s v="Bangalore"/>
    <d v="2024-10-18T00:00:00"/>
    <s v="Delivered"/>
    <s v="Yes"/>
    <x v="3"/>
    <d v="2024-11-05T00:00:00"/>
    <s v="Processed"/>
    <s v="OK"/>
    <b v="0"/>
    <s v="No_Discount"/>
    <n v="3597"/>
    <s v="OK"/>
    <n v="1"/>
    <s v="OK"/>
    <n v="12"/>
    <s v="OK"/>
    <n v="18"/>
    <s v="Oct-2024"/>
    <s v="2024-41"/>
    <s v="COD"/>
  </r>
  <r>
    <s v="UT-100025"/>
    <d v="2024-10-06T00:00:00"/>
    <s v="CUST_10024"/>
    <x v="0"/>
    <s v="TOP-PLO-L"/>
    <x v="1"/>
    <s v="Polo Shirt"/>
    <n v="1799"/>
    <n v="2"/>
    <n v="3598"/>
    <m/>
    <n v="0"/>
    <s v="UPI"/>
    <x v="0"/>
    <s v="Vizag"/>
    <s v="Andhra Pradesh"/>
    <s v="Bangalore"/>
    <d v="2024-10-17T00:00:00"/>
    <s v="Delivered"/>
    <s v="No"/>
    <x v="0"/>
    <m/>
    <s v="Not Applicable"/>
    <s v="OK"/>
    <b v="0"/>
    <s v="No_Discount"/>
    <n v="3598"/>
    <s v="OK"/>
    <n v="1"/>
    <s v="OK"/>
    <n v="11"/>
    <s v="OK"/>
    <n v="0"/>
    <s v="Oct-2024"/>
    <s v="2024-41"/>
    <s v="Prepaid"/>
  </r>
  <r>
    <s v="UT-100026"/>
    <d v="2024-10-06T00:00:00"/>
    <s v="CUST_10025"/>
    <x v="0"/>
    <s v="DRS-WRK-M"/>
    <x v="2"/>
    <s v="Work Dress"/>
    <n v="2699"/>
    <n v="1"/>
    <n v="2699"/>
    <m/>
    <n v="0"/>
    <s v="Credit Card"/>
    <x v="1"/>
    <s v="Thiruvananthapuram"/>
    <s v="Kerala"/>
    <s v="Bangalore"/>
    <d v="2024-10-18T00:00:00"/>
    <s v="Delivered"/>
    <s v="No"/>
    <x v="0"/>
    <m/>
    <s v="Not Applicable"/>
    <s v="OK"/>
    <b v="0"/>
    <s v="No_Discount"/>
    <n v="2699"/>
    <s v="OK"/>
    <n v="1"/>
    <s v="OK"/>
    <n v="12"/>
    <s v="OK"/>
    <n v="0"/>
    <s v="Oct-2024"/>
    <s v="2024-41"/>
    <s v="Prepaid"/>
  </r>
  <r>
    <s v="UT-100027"/>
    <d v="2024-10-06T00:00:00"/>
    <s v="CUST_10026"/>
    <x v="1"/>
    <s v="OUT-TRN-L"/>
    <x v="3"/>
    <s v="Trench Coat"/>
    <n v="4599"/>
    <n v="1"/>
    <n v="4599"/>
    <s v="FLAT10"/>
    <n v="10"/>
    <s v="Debit Card"/>
    <x v="0"/>
    <s v="Mysore"/>
    <s v="Karnataka"/>
    <s v="Bangalore"/>
    <d v="2024-10-19T00:00:00"/>
    <s v="Delivered"/>
    <s v="Yes"/>
    <x v="1"/>
    <d v="2024-11-08T00:00:00"/>
    <s v="Processed"/>
    <s v="OK"/>
    <b v="0"/>
    <s v="Discount_Not_Applied"/>
    <n v="4139.1000000000004"/>
    <s v="Mismatch"/>
    <n v="1"/>
    <s v="OK"/>
    <n v="13"/>
    <s v="OK"/>
    <n v="20"/>
    <s v="Oct-2024"/>
    <s v="2024-41"/>
    <s v="Prepaid"/>
  </r>
  <r>
    <s v="UT-100028"/>
    <d v="2024-10-07T00:00:00"/>
    <s v="CUST_10027"/>
    <x v="0"/>
    <s v="ACC-HAT-OS"/>
    <x v="4"/>
    <s v="Fedora Hat"/>
    <n v="1099"/>
    <n v="1"/>
    <n v="1099"/>
    <m/>
    <n v="0"/>
    <s v="UPI"/>
    <x v="2"/>
    <s v="Vadodara"/>
    <s v="Gujarat"/>
    <s v="Mumbai"/>
    <d v="2024-10-20T00:00:00"/>
    <s v="Delivered"/>
    <s v="No"/>
    <x v="0"/>
    <m/>
    <s v="Not Applicable"/>
    <s v="OK"/>
    <b v="0"/>
    <s v="No_Discount"/>
    <n v="1099"/>
    <s v="OK"/>
    <n v="1"/>
    <s v="OK"/>
    <n v="13"/>
    <s v="OK"/>
    <n v="0"/>
    <s v="Oct-2024"/>
    <s v="2024-41"/>
    <s v="Prepaid"/>
  </r>
  <r>
    <s v="UT-100029"/>
    <d v="2024-10-07T00:00:00"/>
    <s v="CUST_10028"/>
    <x v="0"/>
    <s v="TOP-DNM-M"/>
    <x v="1"/>
    <s v="Denim Shirt"/>
    <n v="1899"/>
    <n v="1"/>
    <n v="1899"/>
    <m/>
    <n v="0"/>
    <s v="COD"/>
    <x v="1"/>
    <s v="Rajkot"/>
    <s v="Gujarat"/>
    <s v="Mumbai"/>
    <m/>
    <s v="RTO"/>
    <s v="No"/>
    <x v="0"/>
    <m/>
    <s v="Not Applicable"/>
    <s v="OK"/>
    <b v="0"/>
    <s v="No_Discount"/>
    <n v="1899"/>
    <s v="OK"/>
    <n v="1"/>
    <s v="OK"/>
    <n v="-45572"/>
    <s v="Invalid_delivery_time"/>
    <n v="0"/>
    <s v="Oct-2024"/>
    <s v="2024-41"/>
    <s v="COD"/>
  </r>
  <r>
    <s v="UT-100030"/>
    <d v="2024-10-07T00:00:00"/>
    <s v="CUST_10029"/>
    <x v="0"/>
    <s v="BOT-CRG-L"/>
    <x v="0"/>
    <s v="Cargo Pants"/>
    <n v="2199"/>
    <n v="1"/>
    <n v="2199"/>
    <s v="DIWALI20"/>
    <n v="20"/>
    <s v="Credit Card"/>
    <x v="0"/>
    <s v="Kanpur"/>
    <s v="Uttar Pradesh"/>
    <s v="Delhi"/>
    <d v="2024-10-20T00:00:00"/>
    <s v="Delivered"/>
    <s v="No"/>
    <x v="0"/>
    <m/>
    <s v="Not Applicable"/>
    <s v="OK"/>
    <b v="0"/>
    <s v="Discount_Not_Applied"/>
    <n v="1759.2"/>
    <s v="Mismatch"/>
    <n v="1"/>
    <s v="OK"/>
    <n v="13"/>
    <s v="OK"/>
    <n v="0"/>
    <s v="Oct-2024"/>
    <s v="2024-41"/>
    <s v="Prepaid"/>
  </r>
  <r>
    <s v="UT-100031"/>
    <d v="2024-10-07T00:00:00"/>
    <s v="CUST_10030"/>
    <x v="1"/>
    <s v="DRS-EVE-S"/>
    <x v="2"/>
    <s v="Evening Gown"/>
    <n v="5499"/>
    <n v="1"/>
    <n v="5499"/>
    <m/>
    <n v="0"/>
    <s v="Credit Card"/>
    <x v="1"/>
    <s v="Mumbai"/>
    <s v="Maharashtra"/>
    <s v="Mumbai"/>
    <d v="2024-10-21T00:00:00"/>
    <s v="Delivered"/>
    <s v="Yes"/>
    <x v="1"/>
    <d v="2024-11-10T00:00:00"/>
    <s v="Processed"/>
    <s v="OK"/>
    <b v="0"/>
    <s v="No_Discount"/>
    <n v="5499"/>
    <s v="OK"/>
    <n v="1"/>
    <s v="OK"/>
    <n v="14"/>
    <s v="OK"/>
    <n v="20"/>
    <s v="Oct-2024"/>
    <s v="2024-41"/>
    <s v="Prepaid"/>
  </r>
  <r>
    <s v="UT-100032"/>
    <d v="2024-10-08T00:00:00"/>
    <s v="CUST_10031"/>
    <x v="0"/>
    <s v="TOP-BAS-M"/>
    <x v="1"/>
    <s v="Basic Tank"/>
    <n v="899"/>
    <n v="2"/>
    <n v="1798"/>
    <m/>
    <n v="0"/>
    <s v="UPI"/>
    <x v="0"/>
    <s v="Delhi"/>
    <s v="Delhi"/>
    <s v="Delhi"/>
    <d v="2024-10-14T00:00:00"/>
    <s v="Delivered"/>
    <s v="No"/>
    <x v="0"/>
    <m/>
    <s v="Not Applicable"/>
    <s v="OK"/>
    <b v="0"/>
    <s v="No_Discount"/>
    <n v="1798"/>
    <s v="OK"/>
    <n v="1"/>
    <s v="OK"/>
    <n v="6"/>
    <s v="OK"/>
    <n v="0"/>
    <s v="Oct-2024"/>
    <s v="2024-41"/>
    <s v="Prepaid"/>
  </r>
  <r>
    <s v="UT-100033"/>
    <d v="2024-10-08T00:00:00"/>
    <s v="CUST_10032"/>
    <x v="0"/>
    <s v="OUT-WOL-L"/>
    <x v="3"/>
    <s v="Wool Coat"/>
    <n v="6999"/>
    <n v="1"/>
    <n v="6999"/>
    <s v="FIRST15"/>
    <n v="15"/>
    <s v="Debit Card"/>
    <x v="2"/>
    <s v="Kolkata"/>
    <s v="West Bengal"/>
    <s v="Delhi"/>
    <d v="2024-10-16T00:00:00"/>
    <s v="Delivered"/>
    <s v="Yes"/>
    <x v="2"/>
    <d v="2024-11-05T00:00:00"/>
    <s v="Processed"/>
    <s v="OK"/>
    <b v="0"/>
    <s v="Discount_Not_Applied"/>
    <n v="5949.15"/>
    <s v="Mismatch"/>
    <n v="1"/>
    <s v="OK"/>
    <n v="8"/>
    <s v="OK"/>
    <n v="20"/>
    <s v="Oct-2024"/>
    <s v="2024-41"/>
    <s v="Prepaid"/>
  </r>
  <r>
    <s v="UT-100034"/>
    <d v="2024-10-08T00:00:00"/>
    <s v="CUST_10033"/>
    <x v="1"/>
    <s v="ACC-WCH-OS"/>
    <x v="4"/>
    <s v="Fashion Watch"/>
    <n v="2999"/>
    <n v="1"/>
    <n v="2999"/>
    <m/>
    <n v="0"/>
    <s v="Credit Card"/>
    <x v="1"/>
    <s v="Chennai"/>
    <s v="Tamil Nadu"/>
    <s v="Bangalore"/>
    <d v="2024-10-15T00:00:00"/>
    <s v="Delivered"/>
    <s v="No"/>
    <x v="0"/>
    <m/>
    <s v="Not Applicable"/>
    <s v="OK"/>
    <b v="0"/>
    <s v="No_Discount"/>
    <n v="2999"/>
    <s v="OK"/>
    <n v="1"/>
    <s v="OK"/>
    <n v="7"/>
    <s v="OK"/>
    <n v="0"/>
    <s v="Oct-2024"/>
    <s v="2024-41"/>
    <s v="Prepaid"/>
  </r>
  <r>
    <s v="UT-100035"/>
    <d v="2024-10-08T00:00:00"/>
    <s v="CUST_10034"/>
    <x v="0"/>
    <s v="BOT-DNM-S"/>
    <x v="0"/>
    <s v="Denim Shorts"/>
    <n v="1599"/>
    <n v="1"/>
    <n v="1599"/>
    <m/>
    <n v="0"/>
    <s v="COD"/>
    <x v="0"/>
    <s v="Hyderabad"/>
    <s v="Telangana"/>
    <s v="Bangalore"/>
    <d v="2024-10-17T00:00:00"/>
    <s v="Delivered"/>
    <s v="Yes"/>
    <x v="1"/>
    <d v="2024-11-08T00:00:00"/>
    <s v="Processed"/>
    <s v="OK"/>
    <b v="0"/>
    <s v="No_Discount"/>
    <n v="1599"/>
    <s v="OK"/>
    <n v="1"/>
    <s v="OK"/>
    <n v="9"/>
    <s v="OK"/>
    <n v="22"/>
    <s v="Oct-2024"/>
    <s v="2024-41"/>
    <s v="COD"/>
  </r>
  <r>
    <s v="UT-100036"/>
    <d v="2024-10-09T00:00:00"/>
    <s v="CUST_10035"/>
    <x v="0"/>
    <s v="DRS-SUN-M"/>
    <x v="2"/>
    <s v="Sundress"/>
    <n v="1999"/>
    <n v="1"/>
    <n v="1999"/>
    <s v="DIWALI20"/>
    <n v="20"/>
    <s v="Wallet"/>
    <x v="1"/>
    <s v="Pune"/>
    <s v="Maharashtra"/>
    <s v="Mumbai"/>
    <d v="2024-10-16T00:00:00"/>
    <s v="Delivered"/>
    <s v="No"/>
    <x v="0"/>
    <m/>
    <s v="Not Applicable"/>
    <s v="OK"/>
    <b v="0"/>
    <s v="Discount_Not_Applied"/>
    <n v="1599.2"/>
    <s v="Mismatch"/>
    <n v="1"/>
    <s v="OK"/>
    <n v="7"/>
    <s v="OK"/>
    <n v="0"/>
    <s v="Oct-2024"/>
    <s v="2024-41"/>
    <s v="Prepaid"/>
  </r>
  <r>
    <s v="UT-100037"/>
    <d v="2024-10-09T00:00:00"/>
    <s v="CUST_10036"/>
    <x v="0"/>
    <s v="TOP-RFL-S"/>
    <x v="1"/>
    <s v="Ruffle Top"/>
    <n v="1799"/>
    <n v="1"/>
    <n v="1799"/>
    <m/>
    <n v="0"/>
    <s v="UPI"/>
    <x v="2"/>
    <s v="Ahmedabad"/>
    <s v="Gujarat"/>
    <s v="Mumbai"/>
    <d v="2024-10-17T00:00:00"/>
    <s v="Delivered"/>
    <s v="Yes"/>
    <x v="3"/>
    <d v="2024-11-12T00:00:00"/>
    <s v="Processed"/>
    <s v="OK"/>
    <b v="0"/>
    <s v="No_Discount"/>
    <n v="1799"/>
    <s v="OK"/>
    <n v="1"/>
    <s v="OK"/>
    <n v="8"/>
    <s v="OK"/>
    <n v="26"/>
    <s v="Oct-2024"/>
    <s v="2024-41"/>
    <s v="Prepaid"/>
  </r>
  <r>
    <s v="UT-100038"/>
    <d v="2024-10-09T00:00:00"/>
    <s v="CUST_10037"/>
    <x v="1"/>
    <s v="OUT-LTH-M"/>
    <x v="3"/>
    <s v="Leather Jacket"/>
    <n v="7999"/>
    <n v="1"/>
    <n v="7999"/>
    <m/>
    <n v="0"/>
    <s v="Credit Card"/>
    <x v="0"/>
    <s v="Jaipur"/>
    <s v="Rajasthan"/>
    <s v="Delhi"/>
    <d v="2024-10-18T00:00:00"/>
    <s v="Delivered"/>
    <s v="No"/>
    <x v="0"/>
    <m/>
    <s v="Not Applicable"/>
    <s v="OK"/>
    <b v="0"/>
    <s v="No_Discount"/>
    <n v="7999"/>
    <s v="OK"/>
    <n v="1"/>
    <s v="OK"/>
    <n v="9"/>
    <s v="OK"/>
    <n v="0"/>
    <s v="Oct-2024"/>
    <s v="2024-41"/>
    <s v="Prepaid"/>
  </r>
  <r>
    <s v="UT-100039"/>
    <d v="2024-10-09T00:00:00"/>
    <s v="CUST_10038"/>
    <x v="0"/>
    <s v="ACC-SNG-OS"/>
    <x v="4"/>
    <s v="Sunglasses"/>
    <n v="1499"/>
    <n v="1"/>
    <n v="1499"/>
    <s v="FLAT10"/>
    <n v="10"/>
    <s v="Debit Card"/>
    <x v="1"/>
    <s v="Lucknow"/>
    <s v="Uttar Pradesh"/>
    <s v="Delhi"/>
    <d v="2024-10-17T00:00:00"/>
    <s v="Delivered"/>
    <s v="No"/>
    <x v="0"/>
    <m/>
    <s v="Not Applicable"/>
    <s v="OK"/>
    <b v="0"/>
    <s v="Discount_Not_Applied"/>
    <n v="1349.1000000000001"/>
    <s v="Mismatch"/>
    <n v="1"/>
    <s v="OK"/>
    <n v="8"/>
    <s v="OK"/>
    <n v="0"/>
    <s v="Oct-2024"/>
    <s v="2024-41"/>
    <s v="Prepaid"/>
  </r>
  <r>
    <s v="UT-100040"/>
    <d v="2024-10-10T00:00:00"/>
    <s v="CUST_10039"/>
    <x v="0"/>
    <s v="BOT-PLZ-L"/>
    <x v="0"/>
    <s v="Palazzo Pants"/>
    <n v="1699"/>
    <n v="1"/>
    <n v="1699"/>
    <m/>
    <n v="0"/>
    <s v="COD"/>
    <x v="0"/>
    <s v="Bangalore"/>
    <s v="Karnataka"/>
    <s v="Bangalore"/>
    <d v="2024-10-19T00:00:00"/>
    <s v="Delivered"/>
    <s v="Yes"/>
    <x v="1"/>
    <d v="2024-11-10T00:00:00"/>
    <s v="Processed"/>
    <s v="OK"/>
    <b v="0"/>
    <s v="No_Discount"/>
    <n v="1699"/>
    <s v="OK"/>
    <n v="1"/>
    <s v="OK"/>
    <n v="9"/>
    <s v="OK"/>
    <n v="22"/>
    <s v="Oct-2024"/>
    <s v="2024-41"/>
    <s v="COD"/>
  </r>
  <r>
    <s v="UT-100041"/>
    <d v="2024-10-10T00:00:00"/>
    <s v="CUST_10040"/>
    <x v="0"/>
    <s v="DRS-BDC-S"/>
    <x v="2"/>
    <s v="Bodycon Dress"/>
    <n v="2299"/>
    <n v="1"/>
    <n v="2299"/>
    <m/>
    <n v="0"/>
    <s v="UPI"/>
    <x v="2"/>
    <s v="Mumbai"/>
    <s v="Maharashtra"/>
    <s v="Mumbai"/>
    <d v="2024-10-18T00:00:00"/>
    <s v="Delivered"/>
    <s v="No"/>
    <x v="0"/>
    <m/>
    <s v="Not Applicable"/>
    <s v="OK"/>
    <b v="0"/>
    <s v="No_Discount"/>
    <n v="2299"/>
    <s v="OK"/>
    <n v="1"/>
    <s v="OK"/>
    <n v="8"/>
    <s v="OK"/>
    <n v="0"/>
    <s v="Oct-2024"/>
    <s v="2024-41"/>
    <s v="Prepaid"/>
  </r>
  <r>
    <s v="UT-100042"/>
    <d v="2024-10-10T00:00:00"/>
    <s v="CUST_10041"/>
    <x v="1"/>
    <s v="TOP-OFF-M"/>
    <x v="1"/>
    <s v="Off-Shoulder Top"/>
    <n v="1599"/>
    <n v="2"/>
    <n v="3198"/>
    <s v="DIWALI20"/>
    <n v="20"/>
    <s v="Credit Card"/>
    <x v="1"/>
    <s v="Delhi"/>
    <s v="Delhi"/>
    <s v="Delhi"/>
    <d v="2024-10-17T00:00:00"/>
    <s v="Delivered"/>
    <s v="Yes"/>
    <x v="4"/>
    <d v="2024-11-08T00:00:00"/>
    <s v="Processed"/>
    <s v="OK"/>
    <b v="0"/>
    <s v="Discount_Not_Applied"/>
    <n v="2558.4"/>
    <s v="Mismatch"/>
    <n v="1"/>
    <s v="OK"/>
    <n v="7"/>
    <s v="OK"/>
    <n v="22"/>
    <s v="Oct-2024"/>
    <s v="2024-41"/>
    <s v="Prepaid"/>
  </r>
  <r>
    <s v="UT-100043"/>
    <d v="2024-10-10T00:00:00"/>
    <s v="CUST_10042"/>
    <x v="0"/>
    <s v="OUT-DNM-L"/>
    <x v="3"/>
    <s v="Denim Vest"/>
    <n v="2499"/>
    <n v="1"/>
    <n v="2499"/>
    <m/>
    <n v="0"/>
    <s v="Wallet"/>
    <x v="0"/>
    <s v="Chandigarh"/>
    <s v="Punjab"/>
    <s v="Delhi"/>
    <d v="2024-10-20T00:00:00"/>
    <s v="Delivered"/>
    <s v="No"/>
    <x v="0"/>
    <m/>
    <s v="Not Applicable"/>
    <s v="OK"/>
    <b v="0"/>
    <s v="No_Discount"/>
    <n v="2499"/>
    <s v="OK"/>
    <n v="1"/>
    <s v="OK"/>
    <n v="10"/>
    <s v="OK"/>
    <n v="0"/>
    <s v="Oct-2024"/>
    <s v="2024-41"/>
    <s v="Prepaid"/>
  </r>
  <r>
    <s v="UT-100164"/>
    <d v="2024-10-10T00:00:00"/>
    <s v="CUST_10163"/>
    <x v="0"/>
    <s v="OUT-STR-L"/>
    <x v="3"/>
    <s v="Striped Blazer"/>
    <n v="4199"/>
    <n v="1"/>
    <n v="4199"/>
    <m/>
    <n v="0"/>
    <s v="UPI"/>
    <x v="1"/>
    <s v="Coimbatore"/>
    <s v="Tamil Nadu"/>
    <s v="Bangalore"/>
    <d v="2024-11-25T00:00:00"/>
    <s v="Delivered"/>
    <s v="Yes"/>
    <x v="2"/>
    <d v="2024-12-24T00:00:00"/>
    <s v="Processed"/>
    <s v="OK"/>
    <b v="0"/>
    <s v="No_Discount"/>
    <n v="4199"/>
    <s v="OK"/>
    <n v="1"/>
    <s v="OK"/>
    <n v="46"/>
    <s v="Invalid_delivery_time"/>
    <n v="29"/>
    <s v="Oct-2024"/>
    <s v="2024-41"/>
    <s v="Prepaid"/>
  </r>
  <r>
    <s v="UT-100044"/>
    <d v="2024-10-11T00:00:00"/>
    <s v="CUST_10043"/>
    <x v="0"/>
    <s v="ACC-HBG-OS"/>
    <x v="4"/>
    <s v="Hobo Bag"/>
    <n v="1899"/>
    <n v="1"/>
    <n v="1899"/>
    <m/>
    <n v="0"/>
    <s v="Debit Card"/>
    <x v="2"/>
    <s v="Noida"/>
    <s v="Uttar Pradesh"/>
    <s v="Delhi"/>
    <d v="2024-10-21T00:00:00"/>
    <s v="Delivered"/>
    <s v="Yes"/>
    <x v="5"/>
    <d v="2024-11-12T00:00:00"/>
    <s v="Processed"/>
    <s v="OK"/>
    <b v="0"/>
    <s v="No_Discount"/>
    <n v="1899"/>
    <s v="OK"/>
    <n v="1"/>
    <s v="OK"/>
    <n v="10"/>
    <s v="OK"/>
    <n v="22"/>
    <s v="Oct-2024"/>
    <s v="2024-41"/>
    <s v="Prepaid"/>
  </r>
  <r>
    <s v="UT-100045"/>
    <d v="2024-10-11T00:00:00"/>
    <s v="CUST_10044"/>
    <x v="0"/>
    <s v="BOT-CHP-M"/>
    <x v="0"/>
    <s v="Chino Pants"/>
    <n v="1999"/>
    <n v="1"/>
    <n v="1999"/>
    <s v="FIRST15"/>
    <n v="15"/>
    <s v="UPI"/>
    <x v="1"/>
    <s v="Gurgaon"/>
    <s v="Haryana"/>
    <s v="Delhi"/>
    <d v="2024-10-19T00:00:00"/>
    <s v="Delivered"/>
    <s v="No"/>
    <x v="0"/>
    <m/>
    <s v="Not Applicable"/>
    <s v="OK"/>
    <b v="0"/>
    <s v="Discount_Not_Applied"/>
    <n v="1699.1499999999999"/>
    <s v="Mismatch"/>
    <n v="1"/>
    <s v="OK"/>
    <n v="8"/>
    <s v="OK"/>
    <n v="0"/>
    <s v="Oct-2024"/>
    <s v="2024-41"/>
    <s v="Prepaid"/>
  </r>
  <r>
    <s v="UT-100046"/>
    <d v="2024-10-11T00:00:00"/>
    <s v="CUST_10045"/>
    <x v="1"/>
    <s v="DRS-WRP-M"/>
    <x v="2"/>
    <s v="Wrap Dress"/>
    <n v="2599"/>
    <n v="1"/>
    <n v="2599"/>
    <m/>
    <n v="0"/>
    <s v="Credit Card"/>
    <x v="0"/>
    <s v="Indore"/>
    <s v="Madhya Pradesh"/>
    <s v="Mumbai"/>
    <d v="2024-10-20T00:00:00"/>
    <s v="Delivered"/>
    <s v="No"/>
    <x v="0"/>
    <m/>
    <s v="Not Applicable"/>
    <s v="OK"/>
    <b v="0"/>
    <s v="No_Discount"/>
    <n v="2599"/>
    <s v="OK"/>
    <n v="1"/>
    <s v="OK"/>
    <n v="9"/>
    <s v="OK"/>
    <n v="0"/>
    <s v="Oct-2024"/>
    <s v="2024-41"/>
    <s v="Prepaid"/>
  </r>
  <r>
    <s v="UT-100047"/>
    <d v="2024-10-11T00:00:00"/>
    <s v="CUST_10046"/>
    <x v="0"/>
    <s v="TOP-STR-S"/>
    <x v="1"/>
    <s v="Striped Tee"/>
    <n v="1299"/>
    <n v="1"/>
    <n v="1299"/>
    <m/>
    <n v="0"/>
    <s v="COD"/>
    <x v="2"/>
    <s v="Surat"/>
    <s v="Gujarat"/>
    <s v="Mumbai"/>
    <m/>
    <s v="RTO"/>
    <s v="No"/>
    <x v="0"/>
    <m/>
    <s v="Not Applicable"/>
    <s v="OK"/>
    <b v="0"/>
    <s v="No_Discount"/>
    <n v="1299"/>
    <s v="OK"/>
    <n v="1"/>
    <s v="OK"/>
    <n v="-45576"/>
    <s v="Invalid_delivery_time"/>
    <n v="0"/>
    <s v="Oct-2024"/>
    <s v="2024-41"/>
    <s v="COD"/>
  </r>
  <r>
    <s v="UT-100048"/>
    <d v="2024-10-12T00:00:00"/>
    <s v="CUST_10047"/>
    <x v="0"/>
    <s v="OUT-PRK-XL"/>
    <x v="3"/>
    <s v="Parka Jacket"/>
    <n v="5999"/>
    <n v="1"/>
    <n v="5999"/>
    <s v="DIWALI20"/>
    <n v="20"/>
    <s v="Credit Card"/>
    <x v="1"/>
    <s v="Patna"/>
    <s v="Bihar"/>
    <s v="Delhi"/>
    <d v="2024-10-22T00:00:00"/>
    <s v="Delivered"/>
    <s v="Yes"/>
    <x v="1"/>
    <d v="2024-11-15T00:00:00"/>
    <s v="Processed"/>
    <s v="OK"/>
    <b v="0"/>
    <s v="Discount_Not_Applied"/>
    <n v="4799.2"/>
    <s v="Mismatch"/>
    <n v="1"/>
    <s v="OK"/>
    <n v="10"/>
    <s v="OK"/>
    <n v="24"/>
    <s v="Oct-2024"/>
    <s v="2024-41"/>
    <s v="Prepaid"/>
  </r>
  <r>
    <s v="UT-100049"/>
    <d v="2024-10-12T00:00:00"/>
    <s v="CUST_10048"/>
    <x v="0"/>
    <s v="ACC-EAR-OS"/>
    <x v="4"/>
    <s v="Hoop Earrings"/>
    <n v="799"/>
    <n v="2"/>
    <n v="1598"/>
    <m/>
    <n v="0"/>
    <s v="UPI"/>
    <x v="0"/>
    <s v="Bhopal"/>
    <s v="Madhya Pradesh"/>
    <s v="Mumbai"/>
    <d v="2024-10-20T00:00:00"/>
    <s v="Delivered"/>
    <s v="No"/>
    <x v="0"/>
    <m/>
    <s v="Not Applicable"/>
    <s v="OK"/>
    <b v="0"/>
    <s v="No_Discount"/>
    <n v="1598"/>
    <s v="OK"/>
    <n v="1"/>
    <s v="OK"/>
    <n v="8"/>
    <s v="OK"/>
    <n v="0"/>
    <s v="Oct-2024"/>
    <s v="2024-41"/>
    <s v="Prepaid"/>
  </r>
  <r>
    <s v="UT-100050"/>
    <d v="2024-10-12T00:00:00"/>
    <s v="CUST_10049"/>
    <x v="1"/>
    <s v="BOT-LGN-S"/>
    <x v="0"/>
    <s v="Leggings"/>
    <n v="999"/>
    <n v="2"/>
    <n v="1998"/>
    <m/>
    <n v="0"/>
    <s v="Wallet"/>
    <x v="1"/>
    <s v="Nagpur"/>
    <s v="Maharashtra"/>
    <s v="Mumbai"/>
    <d v="2024-10-19T00:00:00"/>
    <s v="Delivered"/>
    <s v="No"/>
    <x v="0"/>
    <m/>
    <s v="Not Applicable"/>
    <s v="OK"/>
    <b v="0"/>
    <s v="No_Discount"/>
    <n v="1998"/>
    <s v="OK"/>
    <n v="1"/>
    <s v="OK"/>
    <n v="7"/>
    <s v="OK"/>
    <n v="0"/>
    <s v="Oct-2024"/>
    <s v="2024-41"/>
    <s v="Prepaid"/>
  </r>
  <r>
    <s v="UT-100051"/>
    <d v="2024-10-12T00:00:00"/>
    <s v="CUST_10050"/>
    <x v="0"/>
    <s v="DRS-CTN-L"/>
    <x v="2"/>
    <s v="Cotton Dress"/>
    <n v="1899"/>
    <n v="1"/>
    <n v="1899"/>
    <m/>
    <n v="0"/>
    <s v="Debit Card"/>
    <x v="2"/>
    <s v="Coimbatore"/>
    <s v="Tamil Nadu"/>
    <s v="Bangalore"/>
    <d v="2024-10-22T00:00:00"/>
    <s v="Delivered"/>
    <s v="Yes"/>
    <x v="2"/>
    <d v="2024-11-14T00:00:00"/>
    <s v="Processed"/>
    <s v="OK"/>
    <b v="0"/>
    <s v="No_Discount"/>
    <n v="1899"/>
    <s v="OK"/>
    <n v="1"/>
    <s v="OK"/>
    <n v="10"/>
    <s v="OK"/>
    <n v="23"/>
    <s v="Oct-2024"/>
    <s v="2024-41"/>
    <s v="Prepaid"/>
  </r>
  <r>
    <s v="UT-100052"/>
    <d v="2024-10-13T00:00:00"/>
    <s v="CUST_10051"/>
    <x v="0"/>
    <s v="TOP-LCE-M"/>
    <x v="1"/>
    <s v="Lace Top"/>
    <n v="1699"/>
    <n v="1"/>
    <n v="1699"/>
    <s v="FLAT10"/>
    <n v="10"/>
    <s v="Credit Card"/>
    <x v="0"/>
    <s v="Kochi"/>
    <s v="Kerala"/>
    <s v="Bangalore"/>
    <d v="2024-10-21T00:00:00"/>
    <s v="Delivered"/>
    <s v="No"/>
    <x v="0"/>
    <m/>
    <s v="Not Applicable"/>
    <s v="OK"/>
    <b v="0"/>
    <s v="Discount_Not_Applied"/>
    <n v="1529.1000000000001"/>
    <s v="Mismatch"/>
    <n v="1"/>
    <s v="OK"/>
    <n v="8"/>
    <s v="OK"/>
    <n v="0"/>
    <s v="Oct-2024"/>
    <s v="2024-42"/>
    <s v="Prepaid"/>
  </r>
  <r>
    <s v="UT-100053"/>
    <d v="2024-10-13T00:00:00"/>
    <s v="CUST_10052"/>
    <x v="0"/>
    <s v="OUT-BOM-M"/>
    <x v="3"/>
    <s v="Bomber Jacket"/>
    <n v="3799"/>
    <n v="1"/>
    <n v="3799"/>
    <m/>
    <n v="0"/>
    <s v="UPI"/>
    <x v="1"/>
    <s v="Vizag"/>
    <s v="Andhra Pradesh"/>
    <s v="Bangalore"/>
    <d v="2024-10-23T00:00:00"/>
    <s v="Delivered"/>
    <s v="Yes"/>
    <x v="1"/>
    <d v="2024-11-18T00:00:00"/>
    <s v="Processed"/>
    <s v="OK"/>
    <b v="0"/>
    <s v="No_Discount"/>
    <n v="3799"/>
    <s v="OK"/>
    <n v="1"/>
    <s v="OK"/>
    <n v="10"/>
    <s v="OK"/>
    <n v="26"/>
    <s v="Oct-2024"/>
    <s v="2024-42"/>
    <s v="Prepaid"/>
  </r>
  <r>
    <s v="UT-100054"/>
    <d v="2024-10-13T00:00:00"/>
    <s v="CUST_10053"/>
    <x v="1"/>
    <s v="ACC-NCK-OS"/>
    <x v="4"/>
    <s v="Pendant Necklace"/>
    <n v="1299"/>
    <n v="1"/>
    <n v="1299"/>
    <m/>
    <n v="0"/>
    <s v="COD"/>
    <x v="2"/>
    <s v="Thiruvananthapuram"/>
    <s v="Kerala"/>
    <s v="Bangalore"/>
    <d v="2024-10-22T00:00:00"/>
    <s v="Delivered"/>
    <s v="No"/>
    <x v="0"/>
    <m/>
    <s v="Not Applicable"/>
    <s v="OK"/>
    <b v="0"/>
    <s v="No_Discount"/>
    <n v="1299"/>
    <s v="OK"/>
    <n v="1"/>
    <s v="OK"/>
    <n v="9"/>
    <s v="OK"/>
    <n v="0"/>
    <s v="Oct-2024"/>
    <s v="2024-42"/>
    <s v="COD"/>
  </r>
  <r>
    <s v="UT-100055"/>
    <d v="2024-10-13T00:00:00"/>
    <s v="CUST_10054"/>
    <x v="0"/>
    <s v="BOT-WID-M"/>
    <x v="0"/>
    <s v="Wide Leg Pants"/>
    <n v="2099"/>
    <n v="1"/>
    <n v="2099"/>
    <s v="DIWALI20"/>
    <n v="20"/>
    <s v="Credit Card"/>
    <x v="0"/>
    <s v="Mysore"/>
    <s v="Karnataka"/>
    <s v="Bangalore"/>
    <d v="2024-10-24T00:00:00"/>
    <s v="Delivered"/>
    <s v="No"/>
    <x v="0"/>
    <m/>
    <s v="Not Applicable"/>
    <s v="OK"/>
    <b v="0"/>
    <s v="Discount_Not_Applied"/>
    <n v="1679.2"/>
    <s v="Mismatch"/>
    <n v="1"/>
    <s v="OK"/>
    <n v="11"/>
    <s v="OK"/>
    <n v="0"/>
    <s v="Oct-2024"/>
    <s v="2024-42"/>
    <s v="Prepaid"/>
  </r>
  <r>
    <s v="UT-100056"/>
    <d v="2024-10-14T00:00:00"/>
    <s v="CUST_10055"/>
    <x v="0"/>
    <s v="DRS-TIR-S"/>
    <x v="2"/>
    <s v="Tiered Dress"/>
    <n v="2799"/>
    <n v="1"/>
    <n v="2799"/>
    <m/>
    <n v="0"/>
    <s v="Debit Card"/>
    <x v="1"/>
    <s v="Vadodara"/>
    <s v="Gujarat"/>
    <s v="Mumbai"/>
    <d v="2024-10-23T00:00:00"/>
    <s v="Delivered"/>
    <s v="Yes"/>
    <x v="3"/>
    <d v="2024-11-16T00:00:00"/>
    <s v="Processed"/>
    <s v="OK"/>
    <b v="0"/>
    <s v="No_Discount"/>
    <n v="2799"/>
    <s v="OK"/>
    <n v="1"/>
    <s v="OK"/>
    <n v="9"/>
    <s v="OK"/>
    <n v="24"/>
    <s v="Oct-2024"/>
    <s v="2024-42"/>
    <s v="Prepaid"/>
  </r>
  <r>
    <s v="UT-100057"/>
    <d v="2024-10-14T00:00:00"/>
    <s v="CUST_10056"/>
    <x v="0"/>
    <s v="TOP-PEP-M"/>
    <x v="1"/>
    <s v="Peplum Top"/>
    <n v="1499"/>
    <n v="1"/>
    <n v="1499"/>
    <m/>
    <n v="0"/>
    <s v="Wallet"/>
    <x v="0"/>
    <s v="Rajkot"/>
    <s v="Gujarat"/>
    <s v="Mumbai"/>
    <d v="2024-10-22T00:00:00"/>
    <s v="Delivered"/>
    <s v="No"/>
    <x v="0"/>
    <m/>
    <s v="Not Applicable"/>
    <s v="OK"/>
    <b v="0"/>
    <s v="No_Discount"/>
    <n v="1499"/>
    <s v="OK"/>
    <n v="1"/>
    <s v="OK"/>
    <n v="8"/>
    <s v="OK"/>
    <n v="0"/>
    <s v="Oct-2024"/>
    <s v="2024-42"/>
    <s v="Prepaid"/>
  </r>
  <r>
    <s v="UT-100058"/>
    <d v="2024-10-14T00:00:00"/>
    <s v="CUST_10057"/>
    <x v="1"/>
    <s v="OUT-QTD-L"/>
    <x v="3"/>
    <s v="Quilted Jacket"/>
    <n v="4499"/>
    <n v="1"/>
    <n v="4499"/>
    <s v="FIRST15"/>
    <n v="15"/>
    <s v="UPI"/>
    <x v="2"/>
    <s v="Kanpur"/>
    <s v="Uttar Pradesh"/>
    <s v="Delhi"/>
    <d v="2024-10-25T00:00:00"/>
    <s v="Delivered"/>
    <s v="Yes"/>
    <x v="4"/>
    <d v="2024-11-20T00:00:00"/>
    <s v="Processed"/>
    <s v="OK"/>
    <b v="0"/>
    <s v="Discount_Not_Applied"/>
    <n v="3824.15"/>
    <s v="Mismatch"/>
    <n v="1"/>
    <s v="OK"/>
    <n v="11"/>
    <s v="OK"/>
    <n v="26"/>
    <s v="Oct-2024"/>
    <s v="2024-42"/>
    <s v="Prepaid"/>
  </r>
  <r>
    <s v="UT-100059"/>
    <d v="2024-10-14T00:00:00"/>
    <s v="CUST_10058"/>
    <x v="0"/>
    <s v="ACC-BRC-OS"/>
    <x v="4"/>
    <s v="Charm Bracelet"/>
    <n v="899"/>
    <n v="1"/>
    <n v="899"/>
    <m/>
    <n v="0"/>
    <s v="Credit Card"/>
    <x v="1"/>
    <s v="Mumbai"/>
    <s v="Maharashtra"/>
    <s v="Mumbai"/>
    <d v="2024-10-23T00:00:00"/>
    <s v="Delivered"/>
    <s v="No"/>
    <x v="0"/>
    <m/>
    <s v="Not Applicable"/>
    <s v="OK"/>
    <b v="0"/>
    <s v="No_Discount"/>
    <n v="899"/>
    <s v="OK"/>
    <n v="1"/>
    <s v="OK"/>
    <n v="9"/>
    <s v="OK"/>
    <n v="0"/>
    <s v="Oct-2024"/>
    <s v="2024-42"/>
    <s v="Prepaid"/>
  </r>
  <r>
    <s v="UT-100060"/>
    <d v="2024-10-15T00:00:00"/>
    <s v="CUST_10059"/>
    <x v="0"/>
    <s v="BOT-CRP-S"/>
    <x v="0"/>
    <s v="Cropped Pants"/>
    <n v="1799"/>
    <n v="1"/>
    <n v="1799"/>
    <m/>
    <n v="0"/>
    <s v="COD"/>
    <x v="0"/>
    <s v="Delhi"/>
    <s v="Delhi"/>
    <s v="Delhi"/>
    <m/>
    <s v="RTO"/>
    <s v="No"/>
    <x v="0"/>
    <m/>
    <s v="Not Applicable"/>
    <s v="OK"/>
    <b v="0"/>
    <s v="No_Discount"/>
    <n v="1799"/>
    <s v="OK"/>
    <n v="1"/>
    <s v="OK"/>
    <n v="-45580"/>
    <s v="Invalid_delivery_time"/>
    <n v="0"/>
    <s v="Oct-2024"/>
    <s v="2024-42"/>
    <s v="COD"/>
  </r>
  <r>
    <s v="UT-100061"/>
    <d v="2024-10-15T00:00:00"/>
    <s v="CUST_10060"/>
    <x v="0"/>
    <s v="DRS-SLP-M"/>
    <x v="2"/>
    <s v="Slip Dress"/>
    <n v="2199"/>
    <n v="1"/>
    <n v="2199"/>
    <s v="DIWALI20"/>
    <n v="20"/>
    <s v="Debit Card"/>
    <x v="2"/>
    <s v="Kolkata"/>
    <s v="West Bengal"/>
    <s v="Delhi"/>
    <d v="2024-10-26T00:00:00"/>
    <s v="Delivered"/>
    <s v="Yes"/>
    <x v="1"/>
    <d v="2024-11-22T00:00:00"/>
    <s v="Processed"/>
    <s v="OK"/>
    <b v="0"/>
    <s v="Discount_Not_Applied"/>
    <n v="1759.2"/>
    <s v="Mismatch"/>
    <n v="1"/>
    <s v="OK"/>
    <n v="11"/>
    <s v="OK"/>
    <n v="27"/>
    <s v="Oct-2024"/>
    <s v="2024-42"/>
    <s v="Prepaid"/>
  </r>
  <r>
    <s v="UT-100062"/>
    <d v="2024-10-15T00:00:00"/>
    <s v="CUST_10061"/>
    <x v="1"/>
    <s v="TOP-HLT-L"/>
    <x v="1"/>
    <s v="Halter Top"/>
    <n v="1399"/>
    <n v="1"/>
    <n v="1399"/>
    <m/>
    <n v="0"/>
    <s v="UPI"/>
    <x v="1"/>
    <s v="Chennai"/>
    <s v="Tamil Nadu"/>
    <s v="Bangalore"/>
    <d v="2024-10-24T00:00:00"/>
    <s v="Delivered"/>
    <s v="No"/>
    <x v="0"/>
    <m/>
    <s v="Not Applicable"/>
    <s v="OK"/>
    <b v="0"/>
    <s v="No_Discount"/>
    <n v="1399"/>
    <s v="OK"/>
    <n v="1"/>
    <s v="OK"/>
    <n v="9"/>
    <s v="OK"/>
    <n v="0"/>
    <s v="Oct-2024"/>
    <s v="2024-42"/>
    <s v="Prepaid"/>
  </r>
  <r>
    <s v="UT-100063"/>
    <d v="2024-10-15T00:00:00"/>
    <s v="CUST_10062"/>
    <x v="0"/>
    <s v="OUT-FLC-M"/>
    <x v="3"/>
    <s v="Fleece Jacket"/>
    <n v="2999"/>
    <n v="1"/>
    <n v="2999"/>
    <m/>
    <n v="0"/>
    <s v="Credit Card"/>
    <x v="0"/>
    <s v="Hyderabad"/>
    <s v="Telangana"/>
    <s v="Bangalore"/>
    <d v="2024-10-27T00:00:00"/>
    <s v="Delivered"/>
    <s v="Yes"/>
    <x v="2"/>
    <d v="2024-11-24T00:00:00"/>
    <s v="Processed"/>
    <s v="OK"/>
    <b v="0"/>
    <s v="No_Discount"/>
    <n v="2999"/>
    <s v="OK"/>
    <n v="1"/>
    <s v="OK"/>
    <n v="12"/>
    <s v="OK"/>
    <n v="28"/>
    <s v="Oct-2024"/>
    <s v="2024-42"/>
    <s v="Prepaid"/>
  </r>
  <r>
    <s v="UT-100064"/>
    <d v="2024-10-16T00:00:00"/>
    <s v="CUST_10063"/>
    <x v="0"/>
    <s v="ACC-RNG-OS"/>
    <x v="4"/>
    <s v="Cocktail Ring"/>
    <n v="699"/>
    <n v="2"/>
    <n v="1398"/>
    <s v="FLAT10"/>
    <n v="10"/>
    <s v="Wallet"/>
    <x v="2"/>
    <s v="Pune"/>
    <s v="Maharashtra"/>
    <s v="Mumbai"/>
    <d v="2024-10-25T00:00:00"/>
    <s v="Delivered"/>
    <s v="No"/>
    <x v="0"/>
    <m/>
    <s v="Not Applicable"/>
    <s v="OK"/>
    <b v="0"/>
    <s v="Discount_Not_Applied"/>
    <n v="1258.2"/>
    <s v="Mismatch"/>
    <n v="1"/>
    <s v="OK"/>
    <n v="9"/>
    <s v="OK"/>
    <n v="0"/>
    <s v="Oct-2024"/>
    <s v="2024-42"/>
    <s v="Prepaid"/>
  </r>
  <r>
    <s v="UT-100065"/>
    <d v="2024-10-16T00:00:00"/>
    <s v="CUST_10064"/>
    <x v="0"/>
    <s v="BOT-SKN-M"/>
    <x v="0"/>
    <s v="Skinny Jeans"/>
    <n v="2199"/>
    <n v="1"/>
    <n v="2199"/>
    <m/>
    <n v="0"/>
    <s v="COD"/>
    <x v="1"/>
    <s v="Ahmedabad"/>
    <s v="Gujarat"/>
    <s v="Mumbai"/>
    <d v="2024-10-28T00:00:00"/>
    <s v="Delivered"/>
    <s v="Yes"/>
    <x v="1"/>
    <d v="2024-11-25T00:00:00"/>
    <s v="Processed"/>
    <s v="OK"/>
    <b v="0"/>
    <s v="No_Discount"/>
    <n v="2199"/>
    <s v="OK"/>
    <n v="1"/>
    <s v="OK"/>
    <n v="12"/>
    <s v="OK"/>
    <n v="28"/>
    <s v="Oct-2024"/>
    <s v="2024-42"/>
    <s v="COD"/>
  </r>
  <r>
    <s v="UT-100066"/>
    <d v="2024-10-16T00:00:00"/>
    <s v="CUST_10065"/>
    <x v="1"/>
    <s v="DRS-KNT-S"/>
    <x v="2"/>
    <s v="Knit Dress"/>
    <n v="2499"/>
    <n v="1"/>
    <n v="2499"/>
    <m/>
    <n v="0"/>
    <s v="Credit Card"/>
    <x v="0"/>
    <s v="Jaipur"/>
    <s v="Rajasthan"/>
    <s v="Delhi"/>
    <d v="2024-10-26T00:00:00"/>
    <s v="Delivered"/>
    <s v="No"/>
    <x v="0"/>
    <m/>
    <s v="Not Applicable"/>
    <s v="OK"/>
    <b v="0"/>
    <s v="No_Discount"/>
    <n v="2499"/>
    <s v="OK"/>
    <n v="1"/>
    <s v="OK"/>
    <n v="10"/>
    <s v="OK"/>
    <n v="0"/>
    <s v="Oct-2024"/>
    <s v="2024-42"/>
    <s v="Prepaid"/>
  </r>
  <r>
    <s v="UT-100067"/>
    <d v="2024-10-16T00:00:00"/>
    <s v="CUST_10066"/>
    <x v="0"/>
    <s v="TOP-EMB-M"/>
    <x v="1"/>
    <s v="Embroidered Top"/>
    <n v="1899"/>
    <n v="1"/>
    <n v="1899"/>
    <s v="DIWALI20"/>
    <n v="20"/>
    <s v="UPI"/>
    <x v="2"/>
    <s v="Lucknow"/>
    <s v="Uttar Pradesh"/>
    <s v="Delhi"/>
    <d v="2024-10-27T00:00:00"/>
    <s v="Delivered"/>
    <s v="Yes"/>
    <x v="3"/>
    <d v="2024-11-20T00:00:00"/>
    <s v="Processed"/>
    <s v="OK"/>
    <b v="0"/>
    <s v="Discount_Not_Applied"/>
    <n v="1519.2"/>
    <s v="Mismatch"/>
    <n v="1"/>
    <s v="OK"/>
    <n v="11"/>
    <s v="OK"/>
    <n v="24"/>
    <s v="Oct-2024"/>
    <s v="2024-42"/>
    <s v="Prepaid"/>
  </r>
  <r>
    <s v="UT-100068"/>
    <d v="2024-10-17T00:00:00"/>
    <s v="CUST_10067"/>
    <x v="0"/>
    <s v="OUT-SHR-L"/>
    <x v="3"/>
    <s v="Shrug"/>
    <n v="1299"/>
    <n v="1"/>
    <n v="1299"/>
    <m/>
    <n v="0"/>
    <s v="Debit Card"/>
    <x v="1"/>
    <s v="Bangalore"/>
    <s v="Karnataka"/>
    <s v="Bangalore"/>
    <d v="2024-10-28T00:00:00"/>
    <s v="Delivered"/>
    <s v="No"/>
    <x v="0"/>
    <m/>
    <s v="Not Applicable"/>
    <s v="OK"/>
    <b v="0"/>
    <s v="No_Discount"/>
    <n v="1299"/>
    <s v="OK"/>
    <n v="1"/>
    <s v="OK"/>
    <n v="11"/>
    <s v="OK"/>
    <n v="0"/>
    <s v="Oct-2024"/>
    <s v="2024-42"/>
    <s v="Prepaid"/>
  </r>
  <r>
    <s v="UT-100069"/>
    <d v="2024-10-17T00:00:00"/>
    <s v="CUST_10068"/>
    <x v="0"/>
    <s v="ACC-CLT-OS"/>
    <x v="4"/>
    <s v="Clutch Bag"/>
    <n v="1599"/>
    <n v="1"/>
    <n v="1599"/>
    <m/>
    <n v="0"/>
    <s v="Credit Card"/>
    <x v="0"/>
    <s v="Mumbai"/>
    <s v="Maharashtra"/>
    <s v="Mumbai"/>
    <d v="2024-10-27T00:00:00"/>
    <s v="Delivered"/>
    <s v="Yes"/>
    <x v="5"/>
    <d v="2024-11-22T00:00:00"/>
    <s v="Processed"/>
    <s v="OK"/>
    <b v="0"/>
    <s v="No_Discount"/>
    <n v="1599"/>
    <s v="OK"/>
    <n v="1"/>
    <s v="OK"/>
    <n v="10"/>
    <s v="OK"/>
    <n v="26"/>
    <s v="Oct-2024"/>
    <s v="2024-42"/>
    <s v="Prepaid"/>
  </r>
  <r>
    <s v="UT-100070"/>
    <d v="2024-10-17T00:00:00"/>
    <s v="CUST_10069"/>
    <x v="1"/>
    <s v="BOT-FLR-S"/>
    <x v="0"/>
    <s v="Flared Jeans"/>
    <n v="2099"/>
    <n v="1"/>
    <n v="2099"/>
    <s v="FIRST15"/>
    <n v="15"/>
    <s v="UPI"/>
    <x v="2"/>
    <s v="Delhi"/>
    <s v="Delhi"/>
    <s v="Delhi"/>
    <d v="2024-10-29T00:00:00"/>
    <s v="Delivered"/>
    <s v="No"/>
    <x v="0"/>
    <m/>
    <s v="Not Applicable"/>
    <s v="OK"/>
    <b v="0"/>
    <s v="Discount_Not_Applied"/>
    <n v="1784.1499999999999"/>
    <s v="Mismatch"/>
    <n v="1"/>
    <s v="OK"/>
    <n v="12"/>
    <s v="OK"/>
    <n v="0"/>
    <s v="Oct-2024"/>
    <s v="2024-42"/>
    <s v="Prepaid"/>
  </r>
  <r>
    <s v="UT-100071"/>
    <d v="2024-10-17T00:00:00"/>
    <s v="CUST_10070"/>
    <x v="0"/>
    <s v="DRS-PIN-M"/>
    <x v="2"/>
    <s v="Pinafore Dress"/>
    <n v="2299"/>
    <n v="1"/>
    <n v="2299"/>
    <m/>
    <n v="0"/>
    <s v="COD"/>
    <x v="1"/>
    <s v="Chandigarh"/>
    <s v="Punjab"/>
    <s v="Delhi"/>
    <m/>
    <s v="RTO"/>
    <s v="No"/>
    <x v="0"/>
    <m/>
    <s v="Not Applicable"/>
    <s v="OK"/>
    <b v="0"/>
    <s v="No_Discount"/>
    <n v="2299"/>
    <s v="OK"/>
    <n v="1"/>
    <s v="OK"/>
    <n v="-45582"/>
    <s v="Invalid_delivery_time"/>
    <n v="0"/>
    <s v="Oct-2024"/>
    <s v="2024-42"/>
    <s v="COD"/>
  </r>
  <r>
    <s v="UT-100072"/>
    <d v="2024-10-18T00:00:00"/>
    <s v="CUST_10071"/>
    <x v="0"/>
    <s v="TOP-CRW-L"/>
    <x v="1"/>
    <s v="Crew Neck Tee"/>
    <n v="1199"/>
    <n v="2"/>
    <n v="2398"/>
    <m/>
    <n v="0"/>
    <s v="Wallet"/>
    <x v="0"/>
    <s v="Noida"/>
    <s v="Uttar Pradesh"/>
    <s v="Delhi"/>
    <d v="2024-10-28T00:00:00"/>
    <s v="Delivered"/>
    <s v="No"/>
    <x v="0"/>
    <m/>
    <s v="Not Applicable"/>
    <s v="OK"/>
    <b v="0"/>
    <s v="No_Discount"/>
    <n v="2398"/>
    <s v="OK"/>
    <n v="1"/>
    <s v="OK"/>
    <n v="10"/>
    <s v="OK"/>
    <n v="0"/>
    <s v="Oct-2024"/>
    <s v="2024-42"/>
    <s v="Prepaid"/>
  </r>
  <r>
    <s v="UT-100073"/>
    <d v="2024-10-18T00:00:00"/>
    <s v="CUST_10072"/>
    <x v="0"/>
    <s v="OUT-CDG-M"/>
    <x v="3"/>
    <s v="Cardigan"/>
    <n v="2599"/>
    <n v="1"/>
    <n v="2599"/>
    <s v="DIWALI20"/>
    <n v="20"/>
    <s v="Credit Card"/>
    <x v="2"/>
    <s v="Gurgaon"/>
    <s v="Haryana"/>
    <s v="Delhi"/>
    <d v="2024-10-30T00:00:00"/>
    <s v="Delivered"/>
    <s v="Yes"/>
    <x v="1"/>
    <d v="2024-11-26T00:00:00"/>
    <s v="Processed"/>
    <s v="OK"/>
    <b v="0"/>
    <s v="Discount_Not_Applied"/>
    <n v="2079.2000000000003"/>
    <s v="Mismatch"/>
    <n v="1"/>
    <s v="OK"/>
    <n v="12"/>
    <s v="OK"/>
    <n v="27"/>
    <s v="Oct-2024"/>
    <s v="2024-42"/>
    <s v="Prepaid"/>
  </r>
  <r>
    <s v="UT-100074"/>
    <d v="2024-10-18T00:00:00"/>
    <s v="CUST_10073"/>
    <x v="1"/>
    <s v="ACC-SCR-OS"/>
    <x v="4"/>
    <s v="Hair Scrunchie"/>
    <n v="299"/>
    <n v="5"/>
    <n v="1495"/>
    <m/>
    <n v="0"/>
    <s v="UPI"/>
    <x v="1"/>
    <s v="Indore"/>
    <s v="Madhya Pradesh"/>
    <s v="Mumbai"/>
    <d v="2024-10-27T00:00:00"/>
    <s v="Delivered"/>
    <s v="No"/>
    <x v="0"/>
    <m/>
    <s v="Not Applicable"/>
    <s v="OK"/>
    <b v="0"/>
    <s v="No_Discount"/>
    <n v="1495"/>
    <s v="OK"/>
    <n v="1"/>
    <s v="OK"/>
    <n v="9"/>
    <s v="OK"/>
    <n v="0"/>
    <s v="Oct-2024"/>
    <s v="2024-42"/>
    <s v="Prepaid"/>
  </r>
  <r>
    <s v="UT-100075"/>
    <d v="2024-10-18T00:00:00"/>
    <s v="CUST_10074"/>
    <x v="0"/>
    <s v="BOT-PPR-M"/>
    <x v="0"/>
    <s v="Paper Bag Pants"/>
    <n v="1899"/>
    <n v="1"/>
    <n v="1899"/>
    <m/>
    <n v="0"/>
    <s v="Debit Card"/>
    <x v="0"/>
    <s v="Surat"/>
    <s v="Gujarat"/>
    <s v="Mumbai"/>
    <d v="2024-10-30T00:00:00"/>
    <s v="Delivered"/>
    <s v="Yes"/>
    <x v="4"/>
    <d v="2024-11-28T00:00:00"/>
    <s v="Processed"/>
    <s v="OK"/>
    <b v="0"/>
    <s v="No_Discount"/>
    <n v="1899"/>
    <s v="OK"/>
    <n v="1"/>
    <s v="OK"/>
    <n v="12"/>
    <s v="OK"/>
    <n v="29"/>
    <s v="Oct-2024"/>
    <s v="2024-42"/>
    <s v="Prepaid"/>
  </r>
  <r>
    <s v="UT-100076"/>
    <d v="2024-10-19T00:00:00"/>
    <s v="CUST_10075"/>
    <x v="0"/>
    <s v="DRS-SMK-S"/>
    <x v="2"/>
    <s v="Smocked Dress"/>
    <n v="2199"/>
    <n v="1"/>
    <n v="2199"/>
    <m/>
    <n v="0"/>
    <s v="Credit Card"/>
    <x v="2"/>
    <s v="Patna"/>
    <s v="Bihar"/>
    <s v="Delhi"/>
    <d v="2024-10-31T00:00:00"/>
    <s v="Delivered"/>
    <s v="No"/>
    <x v="0"/>
    <m/>
    <s v="Not Applicable"/>
    <s v="OK"/>
    <b v="0"/>
    <s v="No_Discount"/>
    <n v="2199"/>
    <s v="OK"/>
    <n v="1"/>
    <s v="OK"/>
    <n v="12"/>
    <s v="OK"/>
    <n v="0"/>
    <s v="Oct-2024"/>
    <s v="2024-42"/>
    <s v="Prepaid"/>
  </r>
  <r>
    <s v="UT-100077"/>
    <d v="2024-10-19T00:00:00"/>
    <s v="CUST_10076"/>
    <x v="0"/>
    <s v="TOP-BTN-M"/>
    <x v="1"/>
    <s v="Button-Down Shirt"/>
    <n v="1799"/>
    <n v="1"/>
    <n v="1799"/>
    <s v="FLAT10"/>
    <n v="10"/>
    <s v="COD"/>
    <x v="1"/>
    <s v="Bhopal"/>
    <s v="Madhya Pradesh"/>
    <s v="Mumbai"/>
    <d v="2024-10-29T00:00:00"/>
    <s v="Delivered"/>
    <s v="Yes"/>
    <x v="2"/>
    <d v="2024-11-25T00:00:00"/>
    <s v="Processed"/>
    <s v="OK"/>
    <b v="0"/>
    <s v="Discount_Not_Applied"/>
    <n v="1619.1000000000001"/>
    <s v="Mismatch"/>
    <n v="1"/>
    <s v="OK"/>
    <n v="10"/>
    <s v="OK"/>
    <n v="27"/>
    <s v="Oct-2024"/>
    <s v="2024-42"/>
    <s v="COD"/>
  </r>
  <r>
    <s v="UT-100078"/>
    <d v="2024-10-19T00:00:00"/>
    <s v="CUST_10077"/>
    <x v="1"/>
    <s v="OUT-VLV-L"/>
    <x v="3"/>
    <s v="Velvet Blazer"/>
    <n v="4999"/>
    <n v="1"/>
    <n v="4999"/>
    <m/>
    <n v="0"/>
    <s v="UPI"/>
    <x v="0"/>
    <s v="Nagpur"/>
    <s v="Maharashtra"/>
    <s v="Mumbai"/>
    <d v="2024-11-01T00:00:00"/>
    <s v="Delivered"/>
    <s v="No"/>
    <x v="0"/>
    <m/>
    <s v="Not Applicable"/>
    <s v="OK"/>
    <b v="0"/>
    <s v="No_Discount"/>
    <n v="4999"/>
    <s v="OK"/>
    <n v="1"/>
    <s v="OK"/>
    <n v="13"/>
    <s v="OK"/>
    <n v="0"/>
    <s v="Oct-2024"/>
    <s v="2024-42"/>
    <s v="Prepaid"/>
  </r>
  <r>
    <s v="UT-100079"/>
    <d v="2024-10-19T00:00:00"/>
    <s v="CUST_10078"/>
    <x v="0"/>
    <s v="ACC-TOT-OS"/>
    <x v="4"/>
    <s v="Canvas Tote"/>
    <n v="999"/>
    <n v="1"/>
    <n v="999"/>
    <m/>
    <n v="0"/>
    <s v="Wallet"/>
    <x v="2"/>
    <s v="Coimbatore"/>
    <s v="Tamil Nadu"/>
    <s v="Bangalore"/>
    <d v="2024-10-30T00:00:00"/>
    <s v="Delivered"/>
    <s v="Yes"/>
    <x v="1"/>
    <d v="2024-11-28T00:00:00"/>
    <s v="Processed"/>
    <s v="OK"/>
    <b v="0"/>
    <s v="No_Discount"/>
    <n v="999"/>
    <s v="OK"/>
    <n v="1"/>
    <s v="OK"/>
    <n v="11"/>
    <s v="OK"/>
    <n v="29"/>
    <s v="Oct-2024"/>
    <s v="2024-42"/>
    <s v="Prepaid"/>
  </r>
  <r>
    <s v="UT-100080"/>
    <d v="2024-10-20T00:00:00"/>
    <s v="CUST_10079"/>
    <x v="0"/>
    <s v="BOT-CRG-S"/>
    <x v="0"/>
    <s v="Cargo Shorts"/>
    <n v="1499"/>
    <n v="1"/>
    <n v="1499"/>
    <s v="DIWALI20"/>
    <n v="20"/>
    <s v="Credit Card"/>
    <x v="1"/>
    <s v="Kochi"/>
    <s v="Kerala"/>
    <s v="Bangalore"/>
    <d v="2024-10-31T00:00:00"/>
    <s v="Delivered"/>
    <s v="No"/>
    <x v="0"/>
    <m/>
    <s v="Not Applicable"/>
    <s v="OK"/>
    <b v="0"/>
    <s v="Discount_Not_Applied"/>
    <n v="1199.2"/>
    <s v="Mismatch"/>
    <n v="1"/>
    <s v="OK"/>
    <n v="11"/>
    <s v="OK"/>
    <n v="0"/>
    <s v="Oct-2024"/>
    <s v="2024-43"/>
    <s v="Prepaid"/>
  </r>
  <r>
    <s v="UT-100081"/>
    <d v="2024-10-20T00:00:00"/>
    <s v="CUST_10080"/>
    <x v="0"/>
    <s v="DRS-BTR-M"/>
    <x v="2"/>
    <s v="Butterfly Dress"/>
    <n v="2899"/>
    <n v="1"/>
    <n v="2899"/>
    <m/>
    <n v="0"/>
    <s v="Debit Card"/>
    <x v="0"/>
    <s v="Vizag"/>
    <s v="Andhra Pradesh"/>
    <s v="Bangalore"/>
    <d v="2024-11-02T00:00:00"/>
    <s v="Delivered"/>
    <s v="Yes"/>
    <x v="3"/>
    <d v="2024-11-30T00:00:00"/>
    <s v="Processed"/>
    <s v="OK"/>
    <b v="0"/>
    <s v="No_Discount"/>
    <n v="2899"/>
    <s v="OK"/>
    <n v="1"/>
    <s v="OK"/>
    <n v="13"/>
    <s v="OK"/>
    <n v="28"/>
    <s v="Oct-2024"/>
    <s v="2024-43"/>
    <s v="Prepaid"/>
  </r>
  <r>
    <s v="UT-100082"/>
    <d v="2024-10-20T00:00:00"/>
    <s v="CUST_10081"/>
    <x v="1"/>
    <s v="TOP-VNK-L"/>
    <x v="1"/>
    <s v="V-Neck Tee"/>
    <n v="1099"/>
    <n v="2"/>
    <n v="2198"/>
    <m/>
    <n v="0"/>
    <s v="UPI"/>
    <x v="2"/>
    <s v="Thiruvananthapuram"/>
    <s v="Kerala"/>
    <s v="Bangalore"/>
    <d v="2024-10-30T00:00:00"/>
    <s v="Delivered"/>
    <s v="No"/>
    <x v="0"/>
    <m/>
    <s v="Not Applicable"/>
    <s v="OK"/>
    <b v="0"/>
    <s v="No_Discount"/>
    <n v="2198"/>
    <s v="OK"/>
    <n v="1"/>
    <s v="OK"/>
    <n v="10"/>
    <s v="OK"/>
    <n v="0"/>
    <s v="Oct-2024"/>
    <s v="2024-43"/>
    <s v="Prepaid"/>
  </r>
  <r>
    <s v="UT-100083"/>
    <d v="2024-10-20T00:00:00"/>
    <s v="CUST_10082"/>
    <x v="0"/>
    <s v="OUT-TRN-M"/>
    <x v="3"/>
    <s v="Trench Coat"/>
    <n v="5499"/>
    <n v="1"/>
    <n v="5499"/>
    <s v="FIRST15"/>
    <n v="15"/>
    <s v="Credit Card"/>
    <x v="1"/>
    <s v="Mysore"/>
    <s v="Karnataka"/>
    <s v="Bangalore"/>
    <d v="2024-11-03T00:00:00"/>
    <s v="Delivered"/>
    <s v="Yes"/>
    <x v="1"/>
    <d v="2024-12-01T00:00:00"/>
    <s v="Processed"/>
    <s v="OK"/>
    <b v="0"/>
    <s v="Discount_Not_Applied"/>
    <n v="4674.1499999999996"/>
    <s v="Mismatch"/>
    <n v="1"/>
    <s v="OK"/>
    <n v="14"/>
    <s v="OK"/>
    <n v="28"/>
    <s v="Oct-2024"/>
    <s v="2024-43"/>
    <s v="Prepaid"/>
  </r>
  <r>
    <s v="UT-100084"/>
    <d v="2024-10-21T00:00:00"/>
    <s v="CUST_10083"/>
    <x v="0"/>
    <s v="ACC-BDY-OS"/>
    <x v="4"/>
    <s v="Body Chain"/>
    <n v="799"/>
    <n v="1"/>
    <n v="799"/>
    <m/>
    <n v="0"/>
    <s v="COD"/>
    <x v="0"/>
    <s v="Vadodara"/>
    <s v="Gujarat"/>
    <s v="Mumbai"/>
    <m/>
    <s v="RTO"/>
    <s v="No"/>
    <x v="0"/>
    <m/>
    <s v="Not Applicable"/>
    <s v="OK"/>
    <b v="0"/>
    <s v="No_Discount"/>
    <n v="799"/>
    <s v="OK"/>
    <n v="1"/>
    <s v="OK"/>
    <n v="-45586"/>
    <s v="Invalid_delivery_time"/>
    <n v="0"/>
    <s v="Oct-2024"/>
    <s v="2024-43"/>
    <s v="COD"/>
  </r>
  <r>
    <s v="UT-100085"/>
    <d v="2024-10-21T00:00:00"/>
    <s v="CUST_10084"/>
    <x v="0"/>
    <s v="BOT-JGR-L"/>
    <x v="0"/>
    <s v="Jogger Pants"/>
    <n v="1599"/>
    <n v="1"/>
    <n v="1599"/>
    <m/>
    <n v="0"/>
    <s v="Wallet"/>
    <x v="2"/>
    <s v="Rajkot"/>
    <s v="Gujarat"/>
    <s v="Mumbai"/>
    <d v="2024-11-02T00:00:00"/>
    <s v="Delivered"/>
    <s v="No"/>
    <x v="0"/>
    <m/>
    <s v="Not Applicable"/>
    <s v="OK"/>
    <b v="0"/>
    <s v="No_Discount"/>
    <n v="1599"/>
    <s v="OK"/>
    <n v="1"/>
    <s v="OK"/>
    <n v="12"/>
    <s v="OK"/>
    <n v="0"/>
    <s v="Oct-2024"/>
    <s v="2024-43"/>
    <s v="Prepaid"/>
  </r>
  <r>
    <s v="UT-100086"/>
    <d v="2024-10-21T00:00:00"/>
    <s v="CUST_10085"/>
    <x v="1"/>
    <s v="DRS-RFL-S"/>
    <x v="2"/>
    <s v="Ruffle Dress"/>
    <n v="2699"/>
    <n v="1"/>
    <n v="2699"/>
    <s v="DIWALI20"/>
    <n v="20"/>
    <s v="Credit Card"/>
    <x v="1"/>
    <s v="Kanpur"/>
    <s v="Uttar Pradesh"/>
    <s v="Delhi"/>
    <d v="2024-11-01T00:00:00"/>
    <s v="Delivered"/>
    <s v="Yes"/>
    <x v="2"/>
    <d v="2024-11-30T00:00:00"/>
    <s v="Processed"/>
    <s v="OK"/>
    <b v="0"/>
    <s v="Discount_Not_Applied"/>
    <n v="2159.2000000000003"/>
    <s v="Mismatch"/>
    <n v="1"/>
    <s v="OK"/>
    <n v="11"/>
    <s v="OK"/>
    <n v="29"/>
    <s v="Oct-2024"/>
    <s v="2024-43"/>
    <s v="Prepaid"/>
  </r>
  <r>
    <s v="UT-100087"/>
    <d v="2024-10-21T00:00:00"/>
    <s v="CUST_10086"/>
    <x v="0"/>
    <s v="TOP-SQR-M"/>
    <x v="1"/>
    <s v="Square Neck Top"/>
    <n v="1499"/>
    <n v="1"/>
    <n v="1499"/>
    <m/>
    <n v="0"/>
    <s v="UPI"/>
    <x v="0"/>
    <s v="Mumbai"/>
    <s v="Maharashtra"/>
    <s v="Mumbai"/>
    <d v="2024-11-02T00:00:00"/>
    <s v="Delivered"/>
    <s v="No"/>
    <x v="0"/>
    <m/>
    <s v="Not Applicable"/>
    <s v="OK"/>
    <b v="0"/>
    <s v="No_Discount"/>
    <n v="1499"/>
    <s v="OK"/>
    <n v="1"/>
    <s v="OK"/>
    <n v="12"/>
    <s v="OK"/>
    <n v="0"/>
    <s v="Oct-2024"/>
    <s v="2024-43"/>
    <s v="Prepaid"/>
  </r>
  <r>
    <s v="UT-100088"/>
    <d v="2024-10-22T00:00:00"/>
    <s v="CUST_10087"/>
    <x v="0"/>
    <s v="OUT-WND-L"/>
    <x v="3"/>
    <s v="Windbreaker"/>
    <n v="3299"/>
    <n v="1"/>
    <n v="3299"/>
    <m/>
    <n v="0"/>
    <s v="Debit Card"/>
    <x v="2"/>
    <s v="Delhi"/>
    <s v="Delhi"/>
    <s v="Delhi"/>
    <d v="2024-11-04T00:00:00"/>
    <s v="Delivered"/>
    <s v="Yes"/>
    <x v="4"/>
    <d v="2024-12-03T00:00:00"/>
    <s v="Processed"/>
    <s v="OK"/>
    <b v="0"/>
    <s v="No_Discount"/>
    <n v="3299"/>
    <s v="OK"/>
    <n v="1"/>
    <s v="OK"/>
    <n v="13"/>
    <s v="OK"/>
    <n v="29"/>
    <s v="Oct-2024"/>
    <s v="2024-43"/>
    <s v="Prepaid"/>
  </r>
  <r>
    <s v="UT-100089"/>
    <d v="2024-10-22T00:00:00"/>
    <s v="CUST_10088"/>
    <x v="0"/>
    <s v="ACC-ANK-OS"/>
    <x v="4"/>
    <s v="Anklet"/>
    <n v="499"/>
    <n v="2"/>
    <n v="998"/>
    <s v="FLAT10"/>
    <n v="10"/>
    <s v="Credit Card"/>
    <x v="1"/>
    <s v="Kolkata"/>
    <s v="West Bengal"/>
    <s v="Delhi"/>
    <d v="2024-11-01T00:00:00"/>
    <s v="Delivered"/>
    <s v="No"/>
    <x v="0"/>
    <m/>
    <s v="Not Applicable"/>
    <s v="OK"/>
    <b v="0"/>
    <s v="Discount_Not_Applied"/>
    <n v="898.2"/>
    <s v="Mismatch"/>
    <n v="1"/>
    <s v="OK"/>
    <n v="10"/>
    <s v="OK"/>
    <n v="0"/>
    <s v="Oct-2024"/>
    <s v="2024-43"/>
    <s v="Prepaid"/>
  </r>
  <r>
    <s v="UT-100090"/>
    <d v="2024-10-22T00:00:00"/>
    <s v="CUST_10089"/>
    <x v="1"/>
    <s v="BOT-TRS-M"/>
    <x v="0"/>
    <s v="Tailored Trousers"/>
    <n v="2399"/>
    <n v="1"/>
    <n v="2399"/>
    <m/>
    <n v="0"/>
    <s v="UPI"/>
    <x v="0"/>
    <s v="Chennai"/>
    <s v="Tamil Nadu"/>
    <s v="Bangalore"/>
    <d v="2024-11-03T00:00:00"/>
    <s v="Delivered"/>
    <s v="No"/>
    <x v="0"/>
    <m/>
    <s v="Not Applicable"/>
    <s v="OK"/>
    <b v="0"/>
    <s v="No_Discount"/>
    <n v="2399"/>
    <s v="OK"/>
    <n v="1"/>
    <s v="OK"/>
    <n v="12"/>
    <s v="OK"/>
    <n v="0"/>
    <s v="Oct-2024"/>
    <s v="2024-43"/>
    <s v="Prepaid"/>
  </r>
  <r>
    <s v="UT-100091"/>
    <d v="2024-10-22T00:00:00"/>
    <s v="CUST_10090"/>
    <x v="0"/>
    <s v="DRS-LST-M"/>
    <x v="2"/>
    <s v="Lace Trim Dress"/>
    <n v="2599"/>
    <n v="1"/>
    <n v="2599"/>
    <m/>
    <n v="0"/>
    <s v="COD"/>
    <x v="2"/>
    <s v="Hyderabad"/>
    <s v="Telangana"/>
    <s v="Bangalore"/>
    <m/>
    <s v="RTO"/>
    <s v="No"/>
    <x v="0"/>
    <m/>
    <s v="Not Applicable"/>
    <s v="OK"/>
    <b v="0"/>
    <s v="No_Discount"/>
    <n v="2599"/>
    <s v="OK"/>
    <n v="1"/>
    <s v="OK"/>
    <n v="-45587"/>
    <s v="Invalid_delivery_time"/>
    <n v="0"/>
    <s v="Oct-2024"/>
    <s v="2024-43"/>
    <s v="COD"/>
  </r>
  <r>
    <s v="UT-100092"/>
    <d v="2024-10-23T00:00:00"/>
    <s v="CUST_10091"/>
    <x v="0"/>
    <s v="TOP-TIE-S"/>
    <x v="1"/>
    <s v="Tie-Front Top"/>
    <n v="1399"/>
    <n v="1"/>
    <n v="1399"/>
    <s v="DIWALI20"/>
    <n v="20"/>
    <s v="Wallet"/>
    <x v="1"/>
    <s v="Pune"/>
    <s v="Maharashtra"/>
    <s v="Mumbai"/>
    <d v="2024-11-03T00:00:00"/>
    <s v="Delivered"/>
    <s v="Yes"/>
    <x v="1"/>
    <d v="2024-12-02T00:00:00"/>
    <s v="Processed"/>
    <s v="OK"/>
    <b v="0"/>
    <s v="Discount_Not_Applied"/>
    <n v="1119.2"/>
    <s v="Mismatch"/>
    <n v="1"/>
    <s v="OK"/>
    <n v="11"/>
    <s v="OK"/>
    <n v="29"/>
    <s v="Oct-2024"/>
    <s v="2024-43"/>
    <s v="Prepaid"/>
  </r>
  <r>
    <s v="UT-100093"/>
    <d v="2024-10-23T00:00:00"/>
    <s v="CUST_10092"/>
    <x v="0"/>
    <s v="OUT-PUF-M"/>
    <x v="3"/>
    <s v="Puffer Jacket"/>
    <n v="4299"/>
    <n v="1"/>
    <n v="4299"/>
    <m/>
    <n v="0"/>
    <s v="Credit Card"/>
    <x v="0"/>
    <s v="Ahmedabad"/>
    <s v="Gujarat"/>
    <s v="Mumbai"/>
    <d v="2024-11-05T00:00:00"/>
    <s v="Delivered"/>
    <s v="No"/>
    <x v="0"/>
    <m/>
    <s v="Not Applicable"/>
    <s v="OK"/>
    <b v="0"/>
    <s v="No_Discount"/>
    <n v="4299"/>
    <s v="OK"/>
    <n v="1"/>
    <s v="OK"/>
    <n v="13"/>
    <s v="OK"/>
    <n v="0"/>
    <s v="Oct-2024"/>
    <s v="2024-43"/>
    <s v="Prepaid"/>
  </r>
  <r>
    <s v="UT-100094"/>
    <d v="2024-10-23T00:00:00"/>
    <s v="CUST_10093"/>
    <x v="1"/>
    <s v="ACC-HDR-OS"/>
    <x v="4"/>
    <s v="Hairband"/>
    <n v="399"/>
    <n v="3"/>
    <n v="1197"/>
    <m/>
    <n v="0"/>
    <s v="UPI"/>
    <x v="2"/>
    <s v="Jaipur"/>
    <s v="Rajasthan"/>
    <s v="Delhi"/>
    <d v="2024-11-02T00:00:00"/>
    <s v="Delivered"/>
    <s v="No"/>
    <x v="0"/>
    <m/>
    <s v="Not Applicable"/>
    <s v="OK"/>
    <b v="0"/>
    <s v="No_Discount"/>
    <n v="1197"/>
    <s v="OK"/>
    <n v="1"/>
    <s v="OK"/>
    <n v="10"/>
    <s v="OK"/>
    <n v="0"/>
    <s v="Oct-2024"/>
    <s v="2024-43"/>
    <s v="Prepaid"/>
  </r>
  <r>
    <s v="UT-100095"/>
    <d v="2024-10-23T00:00:00"/>
    <s v="CUST_10094"/>
    <x v="0"/>
    <s v="BOT-PLT-L"/>
    <x v="0"/>
    <s v="Pleated Trousers"/>
    <n v="2199"/>
    <n v="1"/>
    <n v="2199"/>
    <s v="FIRST15"/>
    <n v="15"/>
    <s v="Debit Card"/>
    <x v="1"/>
    <s v="Lucknow"/>
    <s v="Uttar Pradesh"/>
    <s v="Delhi"/>
    <d v="2024-11-05T00:00:00"/>
    <s v="Delivered"/>
    <s v="Yes"/>
    <x v="5"/>
    <d v="2024-12-05T00:00:00"/>
    <s v="Processed"/>
    <s v="OK"/>
    <b v="0"/>
    <s v="Discount_Not_Applied"/>
    <n v="1869.1499999999999"/>
    <s v="Mismatch"/>
    <n v="1"/>
    <s v="OK"/>
    <n v="13"/>
    <s v="OK"/>
    <n v="30"/>
    <s v="Oct-2024"/>
    <s v="2024-43"/>
    <s v="Prepaid"/>
  </r>
  <r>
    <s v="UT-100096"/>
    <d v="2024-10-24T00:00:00"/>
    <s v="CUST_10095"/>
    <x v="0"/>
    <s v="DRS-SHR-S"/>
    <x v="2"/>
    <s v="Shirtdress"/>
    <n v="2399"/>
    <n v="1"/>
    <n v="2399"/>
    <m/>
    <n v="0"/>
    <s v="Credit Card"/>
    <x v="0"/>
    <s v="Bangalore"/>
    <s v="Karnataka"/>
    <s v="Bangalore"/>
    <d v="2024-11-04T00:00:00"/>
    <s v="Delivered"/>
    <s v="No"/>
    <x v="0"/>
    <m/>
    <s v="Not Applicable"/>
    <s v="OK"/>
    <b v="0"/>
    <s v="No_Discount"/>
    <n v="2399"/>
    <s v="OK"/>
    <n v="1"/>
    <s v="OK"/>
    <n v="11"/>
    <s v="OK"/>
    <n v="0"/>
    <s v="Oct-2024"/>
    <s v="2024-43"/>
    <s v="Prepaid"/>
  </r>
  <r>
    <s v="UT-100097"/>
    <d v="2024-10-24T00:00:00"/>
    <s v="CUST_10096"/>
    <x v="0"/>
    <s v="TOP-GRF-M"/>
    <x v="1"/>
    <s v="Graphic Tee"/>
    <n v="1299"/>
    <n v="1"/>
    <n v="1299"/>
    <m/>
    <n v="0"/>
    <s v="COD"/>
    <x v="2"/>
    <s v="Mumbai"/>
    <s v="Maharashtra"/>
    <s v="Mumbai"/>
    <d v="2024-11-06T00:00:00"/>
    <s v="Delivered"/>
    <s v="Yes"/>
    <x v="3"/>
    <d v="2024-12-05T00:00:00"/>
    <s v="Processed"/>
    <s v="OK"/>
    <b v="0"/>
    <s v="No_Discount"/>
    <n v="1299"/>
    <s v="OK"/>
    <n v="1"/>
    <s v="OK"/>
    <n v="13"/>
    <s v="OK"/>
    <n v="29"/>
    <s v="Oct-2024"/>
    <s v="2024-43"/>
    <s v="COD"/>
  </r>
  <r>
    <s v="UT-100098"/>
    <d v="2024-10-24T00:00:00"/>
    <s v="CUST_10097"/>
    <x v="1"/>
    <s v="OUT-SHW-L"/>
    <x v="3"/>
    <s v="Shawl Wrap"/>
    <n v="2799"/>
    <n v="1"/>
    <n v="2799"/>
    <s v="DIWALI20"/>
    <n v="20"/>
    <s v="UPI"/>
    <x v="1"/>
    <s v="Delhi"/>
    <s v="Delhi"/>
    <s v="Delhi"/>
    <d v="2024-11-05T00:00:00"/>
    <s v="Delivered"/>
    <s v="No"/>
    <x v="0"/>
    <m/>
    <s v="Not Applicable"/>
    <s v="OK"/>
    <b v="0"/>
    <s v="Discount_Not_Applied"/>
    <n v="2239.2000000000003"/>
    <s v="Mismatch"/>
    <n v="1"/>
    <s v="OK"/>
    <n v="12"/>
    <s v="OK"/>
    <n v="0"/>
    <s v="Oct-2024"/>
    <s v="2024-43"/>
    <s v="Prepaid"/>
  </r>
  <r>
    <s v="UT-100099"/>
    <d v="2024-10-24T00:00:00"/>
    <s v="CUST_10098"/>
    <x v="0"/>
    <s v="ACC-BLT-S"/>
    <x v="4"/>
    <s v="Braided Belt"/>
    <n v="699"/>
    <n v="1"/>
    <n v="699"/>
    <m/>
    <n v="0"/>
    <s v="Wallet"/>
    <x v="0"/>
    <s v="Chandigarh"/>
    <s v="Punjab"/>
    <s v="Delhi"/>
    <d v="2024-11-04T00:00:00"/>
    <s v="Delivered"/>
    <s v="No"/>
    <x v="0"/>
    <m/>
    <s v="Not Applicable"/>
    <s v="OK"/>
    <b v="0"/>
    <s v="No_Discount"/>
    <n v="699"/>
    <s v="OK"/>
    <n v="1"/>
    <s v="OK"/>
    <n v="11"/>
    <s v="OK"/>
    <n v="0"/>
    <s v="Oct-2024"/>
    <s v="2024-43"/>
    <s v="Prepaid"/>
  </r>
  <r>
    <s v="UT-100100"/>
    <d v="2024-10-25T00:00:00"/>
    <s v="CUST_10099"/>
    <x v="0"/>
    <s v="BOT-CUT-M"/>
    <x v="0"/>
    <s v="Culottes"/>
    <n v="1699"/>
    <n v="1"/>
    <n v="1699"/>
    <m/>
    <n v="0"/>
    <s v="Debit Card"/>
    <x v="2"/>
    <s v="Noida"/>
    <s v="Uttar Pradesh"/>
    <s v="Delhi"/>
    <d v="2024-11-07T00:00:00"/>
    <s v="Delivered"/>
    <s v="Yes"/>
    <x v="1"/>
    <d v="2024-12-06T00:00:00"/>
    <s v="Processed"/>
    <s v="OK"/>
    <b v="0"/>
    <s v="No_Discount"/>
    <n v="1699"/>
    <s v="OK"/>
    <n v="1"/>
    <s v="OK"/>
    <n v="13"/>
    <s v="OK"/>
    <n v="29"/>
    <s v="Oct-2024"/>
    <s v="2024-43"/>
    <s v="Prepaid"/>
  </r>
  <r>
    <s v="UT-100101"/>
    <d v="2024-10-25T00:00:00"/>
    <s v="CUST_10100"/>
    <x v="0"/>
    <s v="DRS-MXI-L"/>
    <x v="2"/>
    <s v="Maxi Dress"/>
    <n v="2799"/>
    <n v="1"/>
    <n v="2799"/>
    <s v="FLAT10"/>
    <n v="10"/>
    <s v="Credit Card"/>
    <x v="1"/>
    <s v="Gurgaon"/>
    <s v="Haryana"/>
    <s v="Delhi"/>
    <d v="2024-11-06T00:00:00"/>
    <s v="Delivered"/>
    <s v="No"/>
    <x v="0"/>
    <m/>
    <s v="Not Applicable"/>
    <s v="OK"/>
    <b v="0"/>
    <s v="Discount_Not_Applied"/>
    <n v="2519.1"/>
    <s v="Mismatch"/>
    <n v="1"/>
    <s v="OK"/>
    <n v="12"/>
    <s v="OK"/>
    <n v="0"/>
    <s v="Oct-2024"/>
    <s v="2024-43"/>
    <s v="Prepaid"/>
  </r>
  <r>
    <s v="UT-100102"/>
    <d v="2024-10-25T00:00:00"/>
    <s v="CUST_10101"/>
    <x v="1"/>
    <s v="TOP-SLV-S"/>
    <x v="1"/>
    <s v="Sleeveless Top"/>
    <n v="1199"/>
    <n v="2"/>
    <n v="2398"/>
    <m/>
    <n v="0"/>
    <s v="UPI"/>
    <x v="0"/>
    <s v="Indore"/>
    <s v="Madhya Pradesh"/>
    <s v="Mumbai"/>
    <d v="2024-11-05T00:00:00"/>
    <s v="Delivered"/>
    <s v="Yes"/>
    <x v="2"/>
    <d v="2024-12-04T00:00:00"/>
    <s v="Processed"/>
    <s v="OK"/>
    <b v="0"/>
    <s v="No_Discount"/>
    <n v="2398"/>
    <s v="OK"/>
    <n v="1"/>
    <s v="OK"/>
    <n v="11"/>
    <s v="OK"/>
    <n v="29"/>
    <s v="Oct-2024"/>
    <s v="2024-43"/>
    <s v="Prepaid"/>
  </r>
  <r>
    <s v="UT-100103"/>
    <d v="2024-10-25T00:00:00"/>
    <s v="CUST_10102"/>
    <x v="0"/>
    <s v="OUT-CPE-M"/>
    <x v="3"/>
    <s v="Cape Coat"/>
    <n v="5999"/>
    <n v="1"/>
    <n v="5999"/>
    <m/>
    <n v="0"/>
    <s v="Credit Card"/>
    <x v="2"/>
    <s v="Surat"/>
    <s v="Gujarat"/>
    <s v="Mumbai"/>
    <d v="2024-11-08T00:00:00"/>
    <s v="Delivered"/>
    <s v="No"/>
    <x v="0"/>
    <m/>
    <s v="Not Applicable"/>
    <s v="OK"/>
    <b v="0"/>
    <s v="No_Discount"/>
    <n v="5999"/>
    <s v="OK"/>
    <n v="1"/>
    <s v="OK"/>
    <n v="14"/>
    <s v="OK"/>
    <n v="0"/>
    <s v="Oct-2024"/>
    <s v="2024-43"/>
    <s v="Prepaid"/>
  </r>
  <r>
    <s v="UT-100104"/>
    <d v="2024-10-26T00:00:00"/>
    <s v="CUST_10103"/>
    <x v="0"/>
    <s v="ACC-SHD-OS"/>
    <x v="4"/>
    <s v="Shoulder Bag"/>
    <n v="1799"/>
    <n v="1"/>
    <n v="1799"/>
    <s v="DIWALI20"/>
    <n v="20"/>
    <s v="COD"/>
    <x v="1"/>
    <s v="Patna"/>
    <s v="Bihar"/>
    <s v="Delhi"/>
    <m/>
    <s v="RTO"/>
    <s v="No"/>
    <x v="0"/>
    <m/>
    <s v="Not Applicable"/>
    <s v="OK"/>
    <b v="0"/>
    <s v="Discount_Not_Applied"/>
    <n v="1439.2"/>
    <s v="Mismatch"/>
    <n v="1"/>
    <s v="OK"/>
    <n v="-45591"/>
    <s v="Invalid_delivery_time"/>
    <n v="0"/>
    <s v="Oct-2024"/>
    <s v="2024-43"/>
    <s v="COD"/>
  </r>
  <r>
    <s v="UT-100105"/>
    <d v="2024-10-26T00:00:00"/>
    <s v="CUST_10104"/>
    <x v="0"/>
    <s v="BOT-STR-L"/>
    <x v="0"/>
    <s v="Straight Pants"/>
    <n v="1999"/>
    <n v="1"/>
    <n v="1999"/>
    <m/>
    <n v="0"/>
    <s v="Wallet"/>
    <x v="0"/>
    <s v="Bhopal"/>
    <s v="Madhya Pradesh"/>
    <s v="Mumbai"/>
    <d v="2024-11-07T00:00:00"/>
    <s v="Delivered"/>
    <s v="Yes"/>
    <x v="4"/>
    <d v="2024-12-07T00:00:00"/>
    <s v="Processed"/>
    <s v="OK"/>
    <b v="0"/>
    <s v="No_Discount"/>
    <n v="1999"/>
    <s v="OK"/>
    <n v="1"/>
    <s v="OK"/>
    <n v="12"/>
    <s v="OK"/>
    <n v="30"/>
    <s v="Oct-2024"/>
    <s v="2024-43"/>
    <s v="Prepaid"/>
  </r>
  <r>
    <s v="UT-100106"/>
    <d v="2024-10-26T00:00:00"/>
    <s v="CUST_10105"/>
    <x v="1"/>
    <s v="DRS-FIT-S"/>
    <x v="2"/>
    <s v="Fit &amp; Flare Dress"/>
    <n v="2499"/>
    <n v="1"/>
    <n v="2499"/>
    <m/>
    <n v="0"/>
    <s v="Debit Card"/>
    <x v="2"/>
    <s v="Nagpur"/>
    <s v="Maharashtra"/>
    <s v="Mumbai"/>
    <d v="2024-11-08T00:00:00"/>
    <s v="Delivered"/>
    <s v="No"/>
    <x v="0"/>
    <m/>
    <s v="Not Applicable"/>
    <s v="OK"/>
    <b v="0"/>
    <s v="No_Discount"/>
    <n v="2499"/>
    <s v="OK"/>
    <n v="1"/>
    <s v="OK"/>
    <n v="13"/>
    <s v="OK"/>
    <n v="0"/>
    <s v="Oct-2024"/>
    <s v="2024-43"/>
    <s v="Prepaid"/>
  </r>
  <r>
    <s v="UT-100107"/>
    <d v="2024-10-26T00:00:00"/>
    <s v="CUST_10106"/>
    <x v="0"/>
    <s v="TOP-CWL-M"/>
    <x v="1"/>
    <s v="Cowl Neck Top"/>
    <n v="1599"/>
    <n v="1"/>
    <n v="1599"/>
    <s v="FIRST15"/>
    <n v="15"/>
    <s v="UPI"/>
    <x v="1"/>
    <s v="Coimbatore"/>
    <s v="Tamil Nadu"/>
    <s v="Bangalore"/>
    <d v="2024-11-06T00:00:00"/>
    <s v="Delivered"/>
    <s v="Yes"/>
    <x v="1"/>
    <d v="2024-12-05T00:00:00"/>
    <s v="Processed"/>
    <s v="OK"/>
    <b v="0"/>
    <s v="Discount_Not_Applied"/>
    <n v="1359.1499999999999"/>
    <s v="Mismatch"/>
    <n v="1"/>
    <s v="OK"/>
    <n v="11"/>
    <s v="OK"/>
    <n v="29"/>
    <s v="Oct-2024"/>
    <s v="2024-43"/>
    <s v="Prepaid"/>
  </r>
  <r>
    <s v="UT-100108"/>
    <d v="2024-10-27T00:00:00"/>
    <s v="CUST_10107"/>
    <x v="0"/>
    <s v="OUT-BLR-L"/>
    <x v="3"/>
    <s v="Blazer"/>
    <n v="3999"/>
    <n v="1"/>
    <n v="3999"/>
    <m/>
    <n v="0"/>
    <s v="Credit Card"/>
    <x v="0"/>
    <s v="Kochi"/>
    <s v="Kerala"/>
    <s v="Bangalore"/>
    <d v="2024-11-09T00:00:00"/>
    <s v="Delivered"/>
    <s v="No"/>
    <x v="0"/>
    <m/>
    <s v="Not Applicable"/>
    <s v="OK"/>
    <b v="0"/>
    <s v="No_Discount"/>
    <n v="3999"/>
    <s v="OK"/>
    <n v="1"/>
    <s v="OK"/>
    <n v="13"/>
    <s v="OK"/>
    <n v="0"/>
    <s v="Oct-2024"/>
    <s v="2024-44"/>
    <s v="Prepaid"/>
  </r>
  <r>
    <s v="UT-100109"/>
    <d v="2024-10-27T00:00:00"/>
    <s v="CUST_10108"/>
    <x v="0"/>
    <s v="ACC-CFF-OS"/>
    <x v="4"/>
    <s v="Cuff Bracelet"/>
    <n v="599"/>
    <n v="2"/>
    <n v="1198"/>
    <m/>
    <n v="0"/>
    <s v="COD"/>
    <x v="2"/>
    <s v="Vizag"/>
    <s v="Andhra Pradesh"/>
    <s v="Bangalore"/>
    <d v="2024-11-07T00:00:00"/>
    <s v="Delivered"/>
    <s v="Yes"/>
    <x v="5"/>
    <d v="2024-12-06T00:00:00"/>
    <s v="Processed"/>
    <s v="OK"/>
    <b v="0"/>
    <s v="No_Discount"/>
    <n v="1198"/>
    <s v="OK"/>
    <n v="1"/>
    <s v="OK"/>
    <n v="11"/>
    <s v="OK"/>
    <n v="29"/>
    <s v="Oct-2024"/>
    <s v="2024-44"/>
    <s v="COD"/>
  </r>
  <r>
    <s v="UT-100110"/>
    <d v="2024-10-27T00:00:00"/>
    <s v="CUST_10109"/>
    <x v="1"/>
    <s v="BOT-HRM-M"/>
    <x v="0"/>
    <s v="Harem Pants"/>
    <n v="1799"/>
    <n v="1"/>
    <n v="1799"/>
    <s v="DIWALI20"/>
    <n v="20"/>
    <s v="UPI"/>
    <x v="1"/>
    <s v="Thiruvananthapuram"/>
    <s v="Kerala"/>
    <s v="Bangalore"/>
    <d v="2024-11-08T00:00:00"/>
    <s v="Delivered"/>
    <s v="No"/>
    <x v="0"/>
    <m/>
    <s v="Not Applicable"/>
    <s v="OK"/>
    <b v="0"/>
    <s v="Discount_Not_Applied"/>
    <n v="1439.2"/>
    <s v="Mismatch"/>
    <n v="1"/>
    <s v="OK"/>
    <n v="12"/>
    <s v="OK"/>
    <n v="0"/>
    <s v="Oct-2024"/>
    <s v="2024-44"/>
    <s v="Prepaid"/>
  </r>
  <r>
    <s v="UT-100111"/>
    <d v="2024-10-28T00:00:00"/>
    <s v="CUST_10110"/>
    <x v="0"/>
    <s v="DRS-FES-M"/>
    <x v="2"/>
    <s v="Festive Kurta Set"/>
    <n v="3499"/>
    <n v="1"/>
    <n v="3499"/>
    <s v="DIWALI40"/>
    <n v="40"/>
    <s v="Credit Card"/>
    <x v="0"/>
    <s v="Delhi"/>
    <s v="Delhi"/>
    <s v="Delhi"/>
    <d v="2024-11-02T00:00:00"/>
    <s v="Delivered"/>
    <s v="Yes"/>
    <x v="1"/>
    <d v="2024-11-18T00:00:00"/>
    <s v="Processed"/>
    <s v="OK"/>
    <b v="0"/>
    <s v="Discount_Not_Applied"/>
    <n v="2099.4"/>
    <s v="Mismatch"/>
    <n v="1"/>
    <s v="OK"/>
    <n v="5"/>
    <s v="OK"/>
    <n v="16"/>
    <s v="Oct-2024"/>
    <s v="2024-44"/>
    <s v="Prepaid"/>
  </r>
  <r>
    <s v="UT-100112"/>
    <d v="2024-10-28T00:00:00"/>
    <s v="CUST_10111"/>
    <x v="0"/>
    <s v="OUT-ETH-L"/>
    <x v="3"/>
    <s v="Embroidered Jacket"/>
    <n v="5999"/>
    <n v="1"/>
    <n v="5999"/>
    <s v="DIWALI40"/>
    <n v="40"/>
    <s v="COD"/>
    <x v="1"/>
    <s v="Mumbai"/>
    <s v="Maharashtra"/>
    <s v="Mumbai"/>
    <d v="2024-11-03T00:00:00"/>
    <s v="Delivered"/>
    <s v="Yes"/>
    <x v="4"/>
    <d v="2024-11-20T00:00:00"/>
    <s v="Processed"/>
    <s v="OK"/>
    <b v="0"/>
    <s v="Discount_Not_Applied"/>
    <n v="3599.4"/>
    <s v="Mismatch"/>
    <n v="1"/>
    <s v="OK"/>
    <n v="6"/>
    <s v="OK"/>
    <n v="17"/>
    <s v="Oct-2024"/>
    <s v="2024-44"/>
    <s v="COD"/>
  </r>
  <r>
    <s v="UT-100113"/>
    <d v="2024-10-28T00:00:00"/>
    <s v="CUST_10112"/>
    <x v="0"/>
    <s v="TOP-FES-S"/>
    <x v="1"/>
    <s v="Festive Blouse"/>
    <n v="2299"/>
    <n v="2"/>
    <n v="4598"/>
    <s v="DIWALI40"/>
    <n v="40"/>
    <s v="UPI"/>
    <x v="2"/>
    <s v="Jaipur"/>
    <s v="Rajasthan"/>
    <s v="Delhi"/>
    <d v="2024-11-04T00:00:00"/>
    <s v="Delivered"/>
    <s v="Yes"/>
    <x v="1"/>
    <d v="2024-11-22T00:00:00"/>
    <s v="Processed"/>
    <s v="OK"/>
    <b v="0"/>
    <s v="Discount_Not_Applied"/>
    <n v="2758.7999999999997"/>
    <s v="Mismatch"/>
    <n v="1"/>
    <s v="OK"/>
    <n v="7"/>
    <s v="OK"/>
    <n v="18"/>
    <s v="Oct-2024"/>
    <s v="2024-44"/>
    <s v="Prepaid"/>
  </r>
  <r>
    <s v="UT-100114"/>
    <d v="2024-10-28T00:00:00"/>
    <s v="CUST_10113"/>
    <x v="1"/>
    <s v="ACC-CLT-OS"/>
    <x v="4"/>
    <s v="Festive Clutch"/>
    <n v="1599"/>
    <n v="1"/>
    <n v="1599"/>
    <s v="DIWALI40"/>
    <n v="40"/>
    <s v="Credit Card"/>
    <x v="0"/>
    <s v="Lucknow"/>
    <s v="Uttar Pradesh"/>
    <s v="Delhi"/>
    <d v="2024-11-03T00:00:00"/>
    <s v="Delivered"/>
    <s v="No"/>
    <x v="0"/>
    <m/>
    <s v="Not Applicable"/>
    <s v="OK"/>
    <b v="0"/>
    <s v="Discount_Not_Applied"/>
    <n v="959.4"/>
    <s v="Mismatch"/>
    <n v="1"/>
    <s v="OK"/>
    <n v="6"/>
    <s v="OK"/>
    <n v="0"/>
    <s v="Oct-2024"/>
    <s v="2024-44"/>
    <s v="Prepaid"/>
  </r>
  <r>
    <s v="UT-100115"/>
    <d v="2024-10-28T00:00:00"/>
    <s v="CUST_10114"/>
    <x v="0"/>
    <s v="BOT-ETH-M"/>
    <x v="0"/>
    <s v="Palazzo Pants"/>
    <n v="1899"/>
    <n v="1"/>
    <n v="1899"/>
    <s v="DIWALI40"/>
    <n v="40"/>
    <s v="COD"/>
    <x v="1"/>
    <s v="Chennai"/>
    <s v="Tamil Nadu"/>
    <s v="Bangalore"/>
    <m/>
    <s v="RTO"/>
    <s v="No"/>
    <x v="0"/>
    <m/>
    <s v="Not Applicable"/>
    <s v="OK"/>
    <b v="0"/>
    <s v="Discount_Not_Applied"/>
    <n v="1139.3999999999999"/>
    <s v="Mismatch"/>
    <n v="1"/>
    <s v="OK"/>
    <n v="-45593"/>
    <s v="Invalid_delivery_time"/>
    <n v="0"/>
    <s v="Oct-2024"/>
    <s v="2024-44"/>
    <s v="COD"/>
  </r>
  <r>
    <s v="UT-100116"/>
    <d v="2024-10-29T00:00:00"/>
    <s v="CUST_10115"/>
    <x v="0"/>
    <s v="DRS-ANK-S"/>
    <x v="2"/>
    <s v="Anarkali Dress"/>
    <n v="4299"/>
    <n v="1"/>
    <n v="4299"/>
    <s v="DIWALI40"/>
    <n v="40"/>
    <s v="Debit Card"/>
    <x v="0"/>
    <s v="Hyderabad"/>
    <s v="Telangana"/>
    <s v="Bangalore"/>
    <d v="2024-11-05T00:00:00"/>
    <s v="Delivered"/>
    <s v="Yes"/>
    <x v="2"/>
    <d v="2024-11-25T00:00:00"/>
    <s v="Processed"/>
    <s v="OK"/>
    <b v="0"/>
    <s v="Discount_Not_Applied"/>
    <n v="2579.4"/>
    <s v="Mismatch"/>
    <n v="1"/>
    <s v="OK"/>
    <n v="7"/>
    <s v="OK"/>
    <n v="20"/>
    <s v="Oct-2024"/>
    <s v="2024-44"/>
    <s v="Prepaid"/>
  </r>
  <r>
    <s v="UT-100117"/>
    <d v="2024-10-29T00:00:00"/>
    <s v="CUST_10116"/>
    <x v="0"/>
    <s v="TOP-ETH-M"/>
    <x v="1"/>
    <s v="Embroidered Kurti"/>
    <n v="2599"/>
    <n v="1"/>
    <n v="2599"/>
    <s v="DIWALI40"/>
    <n v="40"/>
    <s v="UPI"/>
    <x v="2"/>
    <s v="Pune"/>
    <s v="Maharashtra"/>
    <s v="Mumbai"/>
    <d v="2024-11-06T00:00:00"/>
    <s v="Delivered"/>
    <s v="Yes"/>
    <x v="3"/>
    <d v="2024-11-28T00:00:00"/>
    <s v="Pending"/>
    <s v="OK"/>
    <b v="0"/>
    <s v="Discount_Not_Applied"/>
    <n v="1559.3999999999999"/>
    <s v="Mismatch"/>
    <n v="1"/>
    <s v="OK"/>
    <n v="8"/>
    <s v="OK"/>
    <n v="22"/>
    <s v="Oct-2024"/>
    <s v="2024-44"/>
    <s v="Prepaid"/>
  </r>
  <r>
    <s v="UT-100118"/>
    <d v="2024-10-29T00:00:00"/>
    <s v="CUST_10117"/>
    <x v="0"/>
    <s v="OUT-SHW-L"/>
    <x v="3"/>
    <s v="Pashmina Shawl"/>
    <n v="3999"/>
    <n v="1"/>
    <n v="3999"/>
    <s v="DIWALI40"/>
    <n v="40"/>
    <s v="Credit Card"/>
    <x v="1"/>
    <s v="Amritsar"/>
    <s v="Punjab"/>
    <s v="Delhi"/>
    <d v="2024-11-07T00:00:00"/>
    <s v="Delivered"/>
    <s v="Yes"/>
    <x v="1"/>
    <d v="2024-12-01T00:00:00"/>
    <s v="Processed"/>
    <s v="OK"/>
    <b v="0"/>
    <s v="Discount_Not_Applied"/>
    <n v="2399.4"/>
    <s v="Mismatch"/>
    <n v="1"/>
    <s v="OK"/>
    <n v="9"/>
    <s v="OK"/>
    <n v="24"/>
    <s v="Oct-2024"/>
    <s v="2024-44"/>
    <s v="Prepaid"/>
  </r>
  <r>
    <s v="UT-100119"/>
    <d v="2024-10-29T00:00:00"/>
    <s v="CUST_10118"/>
    <x v="1"/>
    <s v="DRS-LHG-M"/>
    <x v="2"/>
    <s v="Lehenga Set"/>
    <n v="8999"/>
    <n v="1"/>
    <n v="8999"/>
    <s v="DIWALI40"/>
    <n v="40"/>
    <s v="Credit Card"/>
    <x v="0"/>
    <s v="Ahmedabad"/>
    <s v="Gujarat"/>
    <s v="Mumbai"/>
    <d v="2024-11-06T00:00:00"/>
    <s v="Delivered"/>
    <s v="Yes"/>
    <x v="1"/>
    <d v="2024-12-02T00:00:00"/>
    <s v="Processed"/>
    <s v="OK"/>
    <b v="0"/>
    <s v="Discount_Not_Applied"/>
    <n v="5399.4"/>
    <s v="Mismatch"/>
    <n v="1"/>
    <s v="OK"/>
    <n v="8"/>
    <s v="OK"/>
    <n v="26"/>
    <s v="Oct-2024"/>
    <s v="2024-44"/>
    <s v="Prepaid"/>
  </r>
  <r>
    <s v="UT-100120"/>
    <d v="2024-10-29T00:00:00"/>
    <s v="CUST_10119"/>
    <x v="0"/>
    <s v="ACC-STL-OS"/>
    <x v="4"/>
    <s v="Statement Necklace"/>
    <n v="1299"/>
    <n v="2"/>
    <n v="2598"/>
    <s v="DIWALI40"/>
    <n v="40"/>
    <s v="COD"/>
    <x v="2"/>
    <s v="Kolkata"/>
    <s v="West Bengal"/>
    <s v="Delhi"/>
    <d v="2024-11-08T00:00:00"/>
    <s v="Delivered"/>
    <s v="Yes"/>
    <x v="5"/>
    <d v="2024-11-30T00:00:00"/>
    <s v="Processed"/>
    <s v="OK"/>
    <b v="0"/>
    <s v="Discount_Not_Applied"/>
    <n v="1558.8"/>
    <s v="Mismatch"/>
    <n v="1"/>
    <s v="OK"/>
    <n v="10"/>
    <s v="OK"/>
    <n v="22"/>
    <s v="Oct-2024"/>
    <s v="2024-44"/>
    <s v="COD"/>
  </r>
  <r>
    <s v="UT-100121"/>
    <d v="2024-10-29T00:00:00"/>
    <s v="CUST_10120"/>
    <x v="0"/>
    <s v="TOP-SQN-S"/>
    <x v="1"/>
    <s v="Sequin Top"/>
    <n v="1999"/>
    <n v="1"/>
    <n v="1999"/>
    <s v="DIWALI40"/>
    <n v="40"/>
    <s v="UPI"/>
    <x v="1"/>
    <s v="Bangalore"/>
    <s v="Karnataka"/>
    <s v="Bangalore"/>
    <d v="2024-11-07T00:00:00"/>
    <s v="Delivered"/>
    <s v="Yes"/>
    <x v="2"/>
    <d v="2024-12-03T00:00:00"/>
    <s v="Processed"/>
    <s v="OK"/>
    <b v="0"/>
    <s v="Discount_Not_Applied"/>
    <n v="1199.3999999999999"/>
    <s v="Mismatch"/>
    <n v="1"/>
    <s v="OK"/>
    <n v="9"/>
    <s v="OK"/>
    <n v="26"/>
    <s v="Oct-2024"/>
    <s v="2024-44"/>
    <s v="Prepaid"/>
  </r>
  <r>
    <s v="UT-100122"/>
    <d v="2024-10-30T00:00:00"/>
    <s v="CUST_10121"/>
    <x v="0"/>
    <s v="BOT-LHG-S"/>
    <x v="0"/>
    <s v="Lehenga Skirt"/>
    <n v="5499"/>
    <n v="1"/>
    <n v="5499"/>
    <s v="DIWALI40"/>
    <n v="40"/>
    <s v="Wallet"/>
    <x v="0"/>
    <s v="Surat"/>
    <s v="Gujarat"/>
    <s v="Mumbai"/>
    <d v="2024-11-08T00:00:00"/>
    <s v="Delivered"/>
    <s v="Yes"/>
    <x v="1"/>
    <d v="2024-12-01T00:00:00"/>
    <s v="Processed"/>
    <s v="OK"/>
    <b v="0"/>
    <s v="Discount_Not_Applied"/>
    <n v="3299.4"/>
    <s v="Mismatch"/>
    <n v="1"/>
    <s v="OK"/>
    <n v="9"/>
    <s v="OK"/>
    <n v="23"/>
    <s v="Oct-2024"/>
    <s v="2024-44"/>
    <s v="Prepaid"/>
  </r>
  <r>
    <s v="UT-100123"/>
    <d v="2024-10-30T00:00:00"/>
    <s v="CUST_10122"/>
    <x v="0"/>
    <s v="DRS-SAR-M"/>
    <x v="2"/>
    <s v="Saree Gown"/>
    <n v="6999"/>
    <n v="1"/>
    <n v="6999"/>
    <s v="DIWALI40"/>
    <n v="40"/>
    <s v="Credit Card"/>
    <x v="2"/>
    <s v="Mumbai"/>
    <s v="Maharashtra"/>
    <s v="Mumbai"/>
    <d v="2024-11-09T00:00:00"/>
    <s v="Delivered"/>
    <s v="Yes"/>
    <x v="1"/>
    <d v="2024-12-03T00:00:00"/>
    <s v="Processed"/>
    <s v="OK"/>
    <b v="0"/>
    <s v="Discount_Not_Applied"/>
    <n v="4199.3999999999996"/>
    <s v="Mismatch"/>
    <n v="1"/>
    <s v="OK"/>
    <n v="10"/>
    <s v="OK"/>
    <n v="24"/>
    <s v="Oct-2024"/>
    <s v="2024-44"/>
    <s v="Prepaid"/>
  </r>
  <r>
    <s v="UT-100124"/>
    <d v="2024-10-30T00:00:00"/>
    <s v="CUST_10123"/>
    <x v="1"/>
    <s v="OUT-BLS-M"/>
    <x v="3"/>
    <s v="Brocade Blazer"/>
    <n v="4999"/>
    <n v="1"/>
    <n v="4999"/>
    <s v="DIWALI40"/>
    <n v="40"/>
    <s v="Debit Card"/>
    <x v="1"/>
    <s v="Delhi"/>
    <s v="Delhi"/>
    <s v="Delhi"/>
    <d v="2024-11-10T00:00:00"/>
    <s v="Delivered"/>
    <s v="No"/>
    <x v="0"/>
    <m/>
    <s v="Not Applicable"/>
    <s v="OK"/>
    <b v="0"/>
    <s v="Discount_Not_Applied"/>
    <n v="2999.4"/>
    <s v="Mismatch"/>
    <n v="1"/>
    <s v="OK"/>
    <n v="11"/>
    <s v="OK"/>
    <n v="0"/>
    <s v="Oct-2024"/>
    <s v="2024-44"/>
    <s v="Prepaid"/>
  </r>
  <r>
    <s v="UT-100125"/>
    <d v="2024-10-30T00:00:00"/>
    <s v="CUST_10124"/>
    <x v="0"/>
    <s v="ACC-MNG-OS"/>
    <x v="4"/>
    <s v="Maang Tikka Set"/>
    <n v="899"/>
    <n v="1"/>
    <n v="899"/>
    <s v="DIWALI40"/>
    <n v="40"/>
    <s v="UPI"/>
    <x v="0"/>
    <s v="Varanasi"/>
    <s v="Uttar Pradesh"/>
    <s v="Delhi"/>
    <d v="2024-11-10T00:00:00"/>
    <s v="Delivered"/>
    <s v="No"/>
    <x v="0"/>
    <m/>
    <s v="Not Applicable"/>
    <s v="OK"/>
    <b v="0"/>
    <s v="Discount_Not_Applied"/>
    <n v="539.4"/>
    <s v="Mismatch"/>
    <n v="1"/>
    <s v="OK"/>
    <n v="11"/>
    <s v="OK"/>
    <n v="0"/>
    <s v="Oct-2024"/>
    <s v="2024-44"/>
    <s v="Prepaid"/>
  </r>
  <r>
    <s v="UT-100126"/>
    <d v="2024-10-30T00:00:00"/>
    <s v="CUST_10125"/>
    <x v="0"/>
    <s v="TOP-ZAR-L"/>
    <x v="1"/>
    <s v="Zardozi Blouse"/>
    <n v="3299"/>
    <n v="1"/>
    <n v="3299"/>
    <s v="DIWALI40"/>
    <n v="40"/>
    <s v="COD"/>
    <x v="2"/>
    <s v="Jaipur"/>
    <s v="Rajasthan"/>
    <s v="Delhi"/>
    <d v="2024-11-12T00:00:00"/>
    <s v="Delivered"/>
    <s v="Yes"/>
    <x v="4"/>
    <d v="2024-12-05T00:00:00"/>
    <s v="Pending"/>
    <s v="OK"/>
    <b v="0"/>
    <s v="Discount_Not_Applied"/>
    <n v="1979.3999999999999"/>
    <s v="Mismatch"/>
    <n v="1"/>
    <s v="OK"/>
    <n v="13"/>
    <s v="OK"/>
    <n v="23"/>
    <s v="Oct-2024"/>
    <s v="2024-44"/>
    <s v="COD"/>
  </r>
  <r>
    <s v="UT-100127"/>
    <d v="2024-10-31T00:00:00"/>
    <s v="CUST_10126"/>
    <x v="0"/>
    <s v="DRS-FES-L"/>
    <x v="2"/>
    <s v="Festive Gown"/>
    <n v="7499"/>
    <n v="1"/>
    <n v="7499"/>
    <s v="DIWALI40"/>
    <n v="40"/>
    <s v="Credit Card"/>
    <x v="0"/>
    <s v="Lucknow"/>
    <s v="Uttar Pradesh"/>
    <s v="Delhi"/>
    <d v="2024-11-11T00:00:00"/>
    <s v="Delivered"/>
    <s v="Yes"/>
    <x v="1"/>
    <d v="2024-12-04T00:00:00"/>
    <s v="Processed"/>
    <s v="OK"/>
    <b v="0"/>
    <s v="Discount_Not_Applied"/>
    <n v="4499.3999999999996"/>
    <s v="Mismatch"/>
    <n v="1"/>
    <s v="OK"/>
    <n v="11"/>
    <s v="OK"/>
    <n v="23"/>
    <s v="Oct-2024"/>
    <s v="2024-44"/>
    <s v="Prepaid"/>
  </r>
  <r>
    <s v="UT-100128"/>
    <d v="2024-10-31T00:00:00"/>
    <s v="CUST_10127"/>
    <x v="0"/>
    <s v="BOT-SLK-M"/>
    <x v="0"/>
    <s v="Silk Pants"/>
    <n v="3299"/>
    <n v="1"/>
    <n v="3299"/>
    <s v="DIWALI40"/>
    <n v="40"/>
    <s v="UPI"/>
    <x v="1"/>
    <s v="Chandigarh"/>
    <s v="Punjab"/>
    <s v="Delhi"/>
    <d v="2024-11-12T00:00:00"/>
    <s v="Delivered"/>
    <s v="Yes"/>
    <x v="3"/>
    <d v="2024-12-06T00:00:00"/>
    <s v="Processed"/>
    <s v="OK"/>
    <b v="0"/>
    <s v="Discount_Not_Applied"/>
    <n v="1979.3999999999999"/>
    <s v="Mismatch"/>
    <n v="1"/>
    <s v="OK"/>
    <n v="12"/>
    <s v="OK"/>
    <n v="24"/>
    <s v="Oct-2024"/>
    <s v="2024-44"/>
    <s v="Prepaid"/>
  </r>
  <r>
    <s v="UT-100129"/>
    <d v="2024-10-31T00:00:00"/>
    <s v="CUST_10128"/>
    <x v="1"/>
    <s v="OUT-VLV-L"/>
    <x v="3"/>
    <s v="Velvet Jacket"/>
    <n v="5499"/>
    <n v="1"/>
    <n v="5499"/>
    <s v="DIWALI40"/>
    <n v="40"/>
    <s v="Debit Card"/>
    <x v="2"/>
    <s v="Noida"/>
    <s v="Uttar Pradesh"/>
    <s v="Delhi"/>
    <d v="2024-11-13T00:00:00"/>
    <s v="Delivered"/>
    <s v="Yes"/>
    <x v="2"/>
    <d v="2024-12-08T00:00:00"/>
    <s v="Processed"/>
    <s v="OK"/>
    <b v="0"/>
    <s v="Discount_Not_Applied"/>
    <n v="3299.4"/>
    <s v="Mismatch"/>
    <n v="1"/>
    <s v="OK"/>
    <n v="13"/>
    <s v="OK"/>
    <n v="25"/>
    <s v="Oct-2024"/>
    <s v="2024-44"/>
    <s v="Prepaid"/>
  </r>
  <r>
    <s v="UT-100130"/>
    <d v="2024-10-31T00:00:00"/>
    <s v="CUST_10129"/>
    <x v="0"/>
    <s v="ACC-TKA-OS"/>
    <x v="4"/>
    <s v="Tikka Headpiece"/>
    <n v="1199"/>
    <n v="1"/>
    <n v="1199"/>
    <s v="DIWALI40"/>
    <n v="40"/>
    <s v="COD"/>
    <x v="0"/>
    <s v="Gurgaon"/>
    <s v="Haryana"/>
    <s v="Delhi"/>
    <m/>
    <s v="RTO"/>
    <s v="No"/>
    <x v="0"/>
    <m/>
    <s v="Not Applicable"/>
    <s v="OK"/>
    <b v="0"/>
    <s v="Discount_Not_Applied"/>
    <n v="719.4"/>
    <s v="Mismatch"/>
    <n v="1"/>
    <s v="OK"/>
    <n v="-45596"/>
    <s v="Invalid_delivery_time"/>
    <n v="0"/>
    <s v="Oct-2024"/>
    <s v="2024-44"/>
    <s v="COD"/>
  </r>
  <r>
    <s v="UT-100131"/>
    <d v="2024-10-31T00:00:00"/>
    <s v="CUST_10130"/>
    <x v="0"/>
    <s v="TOP-GOT-S"/>
    <x v="1"/>
    <s v="Gota Patti Top"/>
    <n v="2799"/>
    <n v="1"/>
    <n v="2799"/>
    <s v="DIWALI40"/>
    <n v="40"/>
    <s v="Wallet"/>
    <x v="1"/>
    <s v="Indore"/>
    <s v="Madhya Pradesh"/>
    <s v="Mumbai"/>
    <d v="2024-11-12T00:00:00"/>
    <s v="Delivered"/>
    <s v="Yes"/>
    <x v="1"/>
    <d v="2024-12-07T00:00:00"/>
    <s v="Processed"/>
    <s v="OK"/>
    <b v="0"/>
    <s v="Discount_Not_Applied"/>
    <n v="1679.3999999999999"/>
    <s v="Mismatch"/>
    <n v="1"/>
    <s v="OK"/>
    <n v="12"/>
    <s v="OK"/>
    <n v="25"/>
    <s v="Oct-2024"/>
    <s v="2024-44"/>
    <s v="Prepaid"/>
  </r>
  <r>
    <s v="UT-100132"/>
    <d v="2024-11-01T00:00:00"/>
    <s v="CUST_10131"/>
    <x v="0"/>
    <s v="DRS-BND-M"/>
    <x v="2"/>
    <s v="Bandhani Dress"/>
    <n v="3899"/>
    <n v="1"/>
    <n v="3899"/>
    <s v="DIWALI40"/>
    <n v="40"/>
    <s v="Credit Card"/>
    <x v="2"/>
    <s v="Surat"/>
    <s v="Gujarat"/>
    <s v="Mumbai"/>
    <d v="2024-11-10T00:00:00"/>
    <s v="Delivered"/>
    <s v="Yes"/>
    <x v="4"/>
    <d v="2024-12-05T00:00:00"/>
    <s v="Processed"/>
    <s v="OK"/>
    <b v="0"/>
    <s v="Discount_Not_Applied"/>
    <n v="2339.4"/>
    <s v="Mismatch"/>
    <n v="1"/>
    <s v="OK"/>
    <n v="9"/>
    <s v="OK"/>
    <n v="25"/>
    <s v="Nov-2024"/>
    <s v="2024-44"/>
    <s v="Prepaid"/>
  </r>
  <r>
    <s v="UT-100133"/>
    <d v="2024-11-01T00:00:00"/>
    <s v="CUST_10132"/>
    <x v="0"/>
    <s v="BOT-BRC-L"/>
    <x v="0"/>
    <s v="Brocade Pants"/>
    <n v="2999"/>
    <n v="1"/>
    <n v="2999"/>
    <s v="DIWALI40"/>
    <n v="40"/>
    <s v="UPI"/>
    <x v="0"/>
    <s v="Patna"/>
    <s v="Bihar"/>
    <s v="Delhi"/>
    <d v="2024-11-11T00:00:00"/>
    <s v="Delivered"/>
    <s v="No"/>
    <x v="0"/>
    <m/>
    <s v="Not Applicable"/>
    <s v="OK"/>
    <b v="0"/>
    <s v="Discount_Not_Applied"/>
    <n v="1799.3999999999999"/>
    <s v="Mismatch"/>
    <n v="1"/>
    <s v="OK"/>
    <n v="10"/>
    <s v="OK"/>
    <n v="0"/>
    <s v="Nov-2024"/>
    <s v="2024-44"/>
    <s v="Prepaid"/>
  </r>
  <r>
    <s v="UT-100134"/>
    <d v="2024-11-01T00:00:00"/>
    <s v="CUST_10133"/>
    <x v="1"/>
    <s v="OUT-ZRI-M"/>
    <x v="3"/>
    <s v="Zari Work Jacket"/>
    <n v="6499"/>
    <n v="1"/>
    <n v="6499"/>
    <s v="DIWALI40"/>
    <n v="40"/>
    <s v="Credit Card"/>
    <x v="1"/>
    <s v="Bhopal"/>
    <s v="Madhya Pradesh"/>
    <s v="Mumbai"/>
    <d v="2024-11-13T00:00:00"/>
    <s v="Delivered"/>
    <s v="Yes"/>
    <x v="1"/>
    <d v="2024-12-10T00:00:00"/>
    <s v="Processed"/>
    <s v="OK"/>
    <b v="0"/>
    <s v="Discount_Not_Applied"/>
    <n v="3899.3999999999996"/>
    <s v="Mismatch"/>
    <n v="1"/>
    <s v="OK"/>
    <n v="12"/>
    <s v="OK"/>
    <n v="27"/>
    <s v="Nov-2024"/>
    <s v="2024-44"/>
    <s v="Prepaid"/>
  </r>
  <r>
    <s v="UT-100135"/>
    <d v="2024-11-01T00:00:00"/>
    <s v="CUST_10134"/>
    <x v="0"/>
    <s v="ACC-JHM-OS"/>
    <x v="4"/>
    <s v="Jhumka Earrings"/>
    <n v="999"/>
    <n v="2"/>
    <n v="1998"/>
    <s v="DIWALI40"/>
    <n v="40"/>
    <s v="Debit Card"/>
    <x v="2"/>
    <s v="Nagpur"/>
    <s v="Maharashtra"/>
    <s v="Mumbai"/>
    <d v="2024-11-11T00:00:00"/>
    <s v="Delivered"/>
    <s v="No"/>
    <x v="0"/>
    <m/>
    <s v="Not Applicable"/>
    <s v="OK"/>
    <b v="0"/>
    <s v="Discount_Not_Applied"/>
    <n v="1198.8"/>
    <s v="Mismatch"/>
    <n v="1"/>
    <s v="OK"/>
    <n v="10"/>
    <s v="OK"/>
    <n v="0"/>
    <s v="Nov-2024"/>
    <s v="2024-44"/>
    <s v="Prepaid"/>
  </r>
  <r>
    <s v="UT-100136"/>
    <d v="2024-11-02T00:00:00"/>
    <s v="CUST_10135"/>
    <x v="0"/>
    <s v="TOP-MRR-S"/>
    <x v="1"/>
    <s v="Mirror Work Top"/>
    <n v="2499"/>
    <n v="1"/>
    <n v="2499"/>
    <s v="DIWALI40"/>
    <n v="40"/>
    <s v="COD"/>
    <x v="0"/>
    <s v="Coimbatore"/>
    <s v="Tamil Nadu"/>
    <s v="Bangalore"/>
    <d v="2024-11-12T00:00:00"/>
    <s v="Delivered"/>
    <s v="Yes"/>
    <x v="2"/>
    <d v="2024-12-08T00:00:00"/>
    <s v="Processed"/>
    <s v="OK"/>
    <b v="0"/>
    <s v="Discount_Not_Applied"/>
    <n v="1499.3999999999999"/>
    <s v="Mismatch"/>
    <n v="1"/>
    <s v="OK"/>
    <n v="10"/>
    <s v="OK"/>
    <n v="26"/>
    <s v="Nov-2024"/>
    <s v="2024-44"/>
    <s v="COD"/>
  </r>
  <r>
    <s v="UT-100137"/>
    <d v="2024-11-02T00:00:00"/>
    <s v="CUST_10136"/>
    <x v="0"/>
    <s v="DRS-PTL-M"/>
    <x v="2"/>
    <s v="Patiala Suit"/>
    <n v="4599"/>
    <n v="1"/>
    <n v="4599"/>
    <s v="DIWALI40"/>
    <n v="40"/>
    <s v="UPI"/>
    <x v="1"/>
    <s v="Kochi"/>
    <s v="Kerala"/>
    <s v="Bangalore"/>
    <d v="2024-11-14T00:00:00"/>
    <s v="Delivered"/>
    <s v="Yes"/>
    <x v="1"/>
    <d v="2024-12-12T00:00:00"/>
    <s v="Processed"/>
    <s v="OK"/>
    <b v="0"/>
    <s v="Discount_Not_Applied"/>
    <n v="2759.4"/>
    <s v="Mismatch"/>
    <n v="1"/>
    <s v="OK"/>
    <n v="12"/>
    <s v="OK"/>
    <n v="28"/>
    <s v="Nov-2024"/>
    <s v="2024-44"/>
    <s v="Prepaid"/>
  </r>
  <r>
    <s v="UT-100138"/>
    <d v="2024-11-02T00:00:00"/>
    <s v="CUST_10137"/>
    <x v="0"/>
    <s v="BOT-DHT-L"/>
    <x v="0"/>
    <s v="Dhoti Pants"/>
    <n v="1799"/>
    <n v="1"/>
    <n v="1799"/>
    <s v="DIWALI40"/>
    <n v="40"/>
    <s v="Credit Card"/>
    <x v="2"/>
    <s v="Vizag"/>
    <s v="Andhra Pradesh"/>
    <s v="Bangalore"/>
    <d v="2024-11-13T00:00:00"/>
    <s v="Delivered"/>
    <s v="No"/>
    <x v="0"/>
    <m/>
    <s v="Not Applicable"/>
    <s v="OK"/>
    <b v="0"/>
    <s v="Discount_Not_Applied"/>
    <n v="1079.3999999999999"/>
    <s v="Mismatch"/>
    <n v="1"/>
    <s v="OK"/>
    <n v="11"/>
    <s v="OK"/>
    <n v="0"/>
    <s v="Nov-2024"/>
    <s v="2024-44"/>
    <s v="Prepaid"/>
  </r>
  <r>
    <s v="UT-100139"/>
    <d v="2024-11-02T00:00:00"/>
    <s v="CUST_10138"/>
    <x v="1"/>
    <s v="OUT-KTN-M"/>
    <x v="3"/>
    <s v="Katan Silk Jacket"/>
    <n v="7999"/>
    <n v="1"/>
    <n v="7999"/>
    <s v="DIWALI40"/>
    <n v="40"/>
    <s v="Wallet"/>
    <x v="0"/>
    <s v="Thiruvananthapuram"/>
    <s v="Kerala"/>
    <s v="Bangalore"/>
    <d v="2024-11-15T00:00:00"/>
    <s v="Delivered"/>
    <s v="Yes"/>
    <x v="3"/>
    <d v="2024-12-14T00:00:00"/>
    <s v="Processed"/>
    <s v="OK"/>
    <b v="0"/>
    <s v="Discount_Not_Applied"/>
    <n v="4799.3999999999996"/>
    <s v="Mismatch"/>
    <n v="1"/>
    <s v="OK"/>
    <n v="13"/>
    <s v="OK"/>
    <n v="29"/>
    <s v="Nov-2024"/>
    <s v="2024-44"/>
    <s v="Prepaid"/>
  </r>
  <r>
    <s v="UT-100140"/>
    <d v="2024-11-03T00:00:00"/>
    <s v="CUST_10139"/>
    <x v="0"/>
    <s v="ACC-KDN-OS"/>
    <x v="4"/>
    <s v="Kundan Set"/>
    <n v="2499"/>
    <n v="1"/>
    <n v="2499"/>
    <s v="DIWALI40"/>
    <n v="40"/>
    <s v="Debit Card"/>
    <x v="1"/>
    <s v="Mysore"/>
    <s v="Karnataka"/>
    <s v="Bangalore"/>
    <d v="2024-11-14T00:00:00"/>
    <s v="Delivered"/>
    <s v="Yes"/>
    <x v="5"/>
    <d v="2024-12-12T00:00:00"/>
    <s v="Processed"/>
    <s v="OK"/>
    <b v="0"/>
    <s v="Discount_Not_Applied"/>
    <n v="1499.3999999999999"/>
    <s v="Mismatch"/>
    <n v="1"/>
    <s v="OK"/>
    <n v="11"/>
    <s v="OK"/>
    <n v="28"/>
    <s v="Nov-2024"/>
    <s v="2024-45"/>
    <s v="Prepaid"/>
  </r>
  <r>
    <s v="UT-100141"/>
    <d v="2024-11-03T00:00:00"/>
    <s v="CUST_10140"/>
    <x v="0"/>
    <s v="TOP-CHK-L"/>
    <x v="1"/>
    <s v="Chikankari Top"/>
    <n v="2299"/>
    <n v="1"/>
    <n v="2299"/>
    <s v="DIWALI40"/>
    <n v="40"/>
    <s v="UPI"/>
    <x v="2"/>
    <s v="Vadodara"/>
    <s v="Gujarat"/>
    <s v="Mumbai"/>
    <d v="2024-11-15T00:00:00"/>
    <s v="Delivered"/>
    <s v="Yes"/>
    <x v="1"/>
    <d v="2024-12-13T00:00:00"/>
    <s v="Processed"/>
    <s v="OK"/>
    <b v="0"/>
    <s v="Discount_Not_Applied"/>
    <n v="1379.3999999999999"/>
    <s v="Mismatch"/>
    <n v="1"/>
    <s v="OK"/>
    <n v="12"/>
    <s v="OK"/>
    <n v="28"/>
    <s v="Nov-2024"/>
    <s v="2024-45"/>
    <s v="Prepaid"/>
  </r>
  <r>
    <s v="UT-100142"/>
    <d v="2024-11-03T00:00:00"/>
    <s v="CUST_10141"/>
    <x v="0"/>
    <s v="DRS-SHR-S"/>
    <x v="2"/>
    <s v="Sharara Set"/>
    <n v="5999"/>
    <n v="1"/>
    <n v="5999"/>
    <s v="DIWALI40"/>
    <n v="40"/>
    <s v="Credit Card"/>
    <x v="0"/>
    <s v="Rajkot"/>
    <s v="Gujarat"/>
    <s v="Mumbai"/>
    <d v="2024-11-16T00:00:00"/>
    <s v="Delivered"/>
    <s v="Yes"/>
    <x v="4"/>
    <d v="2024-12-15T00:00:00"/>
    <s v="Processed"/>
    <s v="OK"/>
    <b v="0"/>
    <s v="Discount_Not_Applied"/>
    <n v="3599.4"/>
    <s v="Mismatch"/>
    <n v="1"/>
    <s v="OK"/>
    <n v="13"/>
    <s v="OK"/>
    <n v="29"/>
    <s v="Nov-2024"/>
    <s v="2024-45"/>
    <s v="Prepaid"/>
  </r>
  <r>
    <s v="UT-100143"/>
    <d v="2024-11-03T00:00:00"/>
    <s v="CUST_10142"/>
    <x v="1"/>
    <s v="BOT-GRR-M"/>
    <x v="0"/>
    <s v="Gharara Pants"/>
    <n v="2599"/>
    <n v="1"/>
    <n v="2599"/>
    <s v="DIWALI40"/>
    <n v="40"/>
    <s v="COD"/>
    <x v="1"/>
    <s v="Kanpur"/>
    <s v="Uttar Pradesh"/>
    <s v="Delhi"/>
    <d v="2024-11-15T00:00:00"/>
    <s v="Delivered"/>
    <s v="No"/>
    <x v="0"/>
    <m/>
    <s v="Not Applicable"/>
    <s v="OK"/>
    <b v="0"/>
    <s v="Discount_Not_Applied"/>
    <n v="1559.3999999999999"/>
    <s v="Mismatch"/>
    <n v="1"/>
    <s v="OK"/>
    <n v="12"/>
    <s v="OK"/>
    <n v="0"/>
    <s v="Nov-2024"/>
    <s v="2024-45"/>
    <s v="COD"/>
  </r>
  <r>
    <s v="UT-100144"/>
    <d v="2024-11-04T00:00:00"/>
    <s v="CUST_10143"/>
    <x v="0"/>
    <s v="OUT-PHU-L"/>
    <x v="3"/>
    <s v="Phulkari Jacket"/>
    <n v="4299"/>
    <n v="1"/>
    <n v="4299"/>
    <s v="DIWALI40"/>
    <n v="40"/>
    <s v="Credit Card"/>
    <x v="2"/>
    <s v="Mumbai"/>
    <s v="Maharashtra"/>
    <s v="Mumbai"/>
    <d v="2024-11-17T00:00:00"/>
    <s v="Delivered"/>
    <s v="Yes"/>
    <x v="2"/>
    <d v="2024-12-16T00:00:00"/>
    <s v="Processed"/>
    <s v="OK"/>
    <b v="0"/>
    <s v="Discount_Not_Applied"/>
    <n v="2579.4"/>
    <s v="Mismatch"/>
    <n v="1"/>
    <s v="OK"/>
    <n v="13"/>
    <s v="OK"/>
    <n v="29"/>
    <s v="Nov-2024"/>
    <s v="2024-45"/>
    <s v="Prepaid"/>
  </r>
  <r>
    <s v="UT-100145"/>
    <d v="2024-11-04T00:00:00"/>
    <s v="CUST_10144"/>
    <x v="0"/>
    <s v="ACC-MNP-OS"/>
    <x v="4"/>
    <s v="Mang Patti"/>
    <n v="799"/>
    <n v="1"/>
    <n v="799"/>
    <s v="DIWALI40"/>
    <n v="40"/>
    <s v="UPI"/>
    <x v="0"/>
    <s v="Delhi"/>
    <s v="Delhi"/>
    <s v="Delhi"/>
    <d v="2024-11-16T00:00:00"/>
    <s v="Delivered"/>
    <s v="No"/>
    <x v="0"/>
    <m/>
    <s v="Not Applicable"/>
    <s v="OK"/>
    <b v="0"/>
    <s v="Discount_Not_Applied"/>
    <n v="479.4"/>
    <s v="Mismatch"/>
    <n v="1"/>
    <s v="OK"/>
    <n v="12"/>
    <s v="OK"/>
    <n v="0"/>
    <s v="Nov-2024"/>
    <s v="2024-45"/>
    <s v="Prepaid"/>
  </r>
  <r>
    <s v="UT-100146"/>
    <d v="2024-11-04T00:00:00"/>
    <s v="CUST_10145"/>
    <x v="0"/>
    <s v="TOP-BND-S"/>
    <x v="1"/>
    <s v="Bandhej Top"/>
    <n v="1899"/>
    <n v="1"/>
    <n v="1899"/>
    <s v="DIWALI40"/>
    <n v="40"/>
    <s v="Wallet"/>
    <x v="1"/>
    <s v="Kolkata"/>
    <s v="West Bengal"/>
    <s v="Delhi"/>
    <d v="2024-11-17T00:00:00"/>
    <s v="Delivered"/>
    <s v="Yes"/>
    <x v="1"/>
    <d v="2024-12-15T00:00:00"/>
    <s v="Processed"/>
    <s v="OK"/>
    <b v="0"/>
    <s v="Discount_Not_Applied"/>
    <n v="1139.3999999999999"/>
    <s v="Mismatch"/>
    <n v="1"/>
    <s v="OK"/>
    <n v="13"/>
    <s v="OK"/>
    <n v="28"/>
    <s v="Nov-2024"/>
    <s v="2024-45"/>
    <s v="Prepaid"/>
  </r>
  <r>
    <s v="UT-100147"/>
    <d v="2024-11-05T00:00:00"/>
    <s v="CUST_10146"/>
    <x v="0"/>
    <s v="DRS-LKH-M"/>
    <x v="2"/>
    <s v="Lucknowi Dress"/>
    <n v="4899"/>
    <n v="1"/>
    <n v="4899"/>
    <s v="DIWALI40"/>
    <n v="40"/>
    <s v="Debit Card"/>
    <x v="2"/>
    <s v="Chennai"/>
    <s v="Tamil Nadu"/>
    <s v="Bangalore"/>
    <d v="2024-11-18T00:00:00"/>
    <s v="Delivered"/>
    <s v="Yes"/>
    <x v="3"/>
    <d v="2024-12-17T00:00:00"/>
    <s v="Processed"/>
    <s v="OK"/>
    <b v="0"/>
    <s v="Discount_Not_Applied"/>
    <n v="2939.4"/>
    <s v="Mismatch"/>
    <n v="1"/>
    <s v="OK"/>
    <n v="13"/>
    <s v="OK"/>
    <n v="29"/>
    <s v="Nov-2024"/>
    <s v="2024-45"/>
    <s v="Prepaid"/>
  </r>
  <r>
    <s v="UT-100148"/>
    <d v="2024-11-05T00:00:00"/>
    <s v="CUST_10147"/>
    <x v="1"/>
    <s v="BOT-PTL-L"/>
    <x v="0"/>
    <s v="Patiala Pants"/>
    <n v="1499"/>
    <n v="1"/>
    <n v="1499"/>
    <s v="DIWALI40"/>
    <n v="40"/>
    <s v="Credit Card"/>
    <x v="0"/>
    <s v="Hyderabad"/>
    <s v="Telangana"/>
    <s v="Bangalore"/>
    <d v="2024-11-17T00:00:00"/>
    <s v="Delivered"/>
    <s v="No"/>
    <x v="0"/>
    <m/>
    <s v="Not Applicable"/>
    <s v="OK"/>
    <b v="0"/>
    <s v="Discount_Not_Applied"/>
    <n v="899.4"/>
    <s v="Mismatch"/>
    <n v="1"/>
    <s v="OK"/>
    <n v="12"/>
    <s v="OK"/>
    <n v="0"/>
    <s v="Nov-2024"/>
    <s v="2024-45"/>
    <s v="Prepaid"/>
  </r>
  <r>
    <s v="UT-100149"/>
    <d v="2024-11-05T00:00:00"/>
    <s v="CUST_10148"/>
    <x v="0"/>
    <s v="OUT-KTH-M"/>
    <x v="3"/>
    <s v="Katha Work Jacket"/>
    <n v="5699"/>
    <n v="1"/>
    <n v="5699"/>
    <s v="DIWALI40"/>
    <n v="40"/>
    <s v="UPI"/>
    <x v="1"/>
    <s v="Pune"/>
    <s v="Maharashtra"/>
    <s v="Mumbai"/>
    <d v="2024-11-19T00:00:00"/>
    <s v="Delivered"/>
    <s v="Yes"/>
    <x v="1"/>
    <d v="2024-12-18T00:00:00"/>
    <s v="Processed"/>
    <s v="OK"/>
    <b v="0"/>
    <s v="Discount_Not_Applied"/>
    <n v="3419.4"/>
    <s v="Mismatch"/>
    <n v="1"/>
    <s v="OK"/>
    <n v="14"/>
    <s v="OK"/>
    <n v="29"/>
    <s v="Nov-2024"/>
    <s v="2024-45"/>
    <s v="Prepaid"/>
  </r>
  <r>
    <s v="UT-100150"/>
    <d v="2024-11-05T00:00:00"/>
    <s v="CUST_10149"/>
    <x v="0"/>
    <s v="ACC-BNG-OS"/>
    <x v="4"/>
    <s v="Bangle Set"/>
    <n v="599"/>
    <n v="4"/>
    <n v="2396"/>
    <s v="DIWALI40"/>
    <n v="40"/>
    <s v="COD"/>
    <x v="2"/>
    <s v="Ahmedabad"/>
    <s v="Gujarat"/>
    <s v="Mumbai"/>
    <d v="2024-11-18T00:00:00"/>
    <s v="Delivered"/>
    <s v="Yes"/>
    <x v="5"/>
    <d v="2024-12-16T00:00:00"/>
    <s v="Processed"/>
    <s v="OK"/>
    <b v="0"/>
    <s v="Discount_Not_Applied"/>
    <n v="1437.6"/>
    <s v="Mismatch"/>
    <n v="1"/>
    <s v="OK"/>
    <n v="13"/>
    <s v="OK"/>
    <n v="28"/>
    <s v="Nov-2024"/>
    <s v="2024-45"/>
    <s v="COD"/>
  </r>
  <r>
    <s v="UT-100151"/>
    <d v="2024-11-06T00:00:00"/>
    <s v="CUST_10150"/>
    <x v="0"/>
    <s v="TOP-KSH-L"/>
    <x v="1"/>
    <s v="Kashmiri Top"/>
    <n v="2999"/>
    <n v="1"/>
    <n v="2999"/>
    <m/>
    <n v="0"/>
    <s v="Credit Card"/>
    <x v="0"/>
    <s v="Jaipur"/>
    <s v="Rajasthan"/>
    <s v="Delhi"/>
    <d v="2024-11-19T00:00:00"/>
    <s v="Delivered"/>
    <s v="No"/>
    <x v="0"/>
    <m/>
    <s v="Not Applicable"/>
    <s v="OK"/>
    <b v="0"/>
    <s v="No_Discount"/>
    <n v="2999"/>
    <s v="OK"/>
    <n v="1"/>
    <s v="OK"/>
    <n v="13"/>
    <s v="OK"/>
    <n v="0"/>
    <s v="Nov-2024"/>
    <s v="2024-45"/>
    <s v="Prepaid"/>
  </r>
  <r>
    <s v="UT-100152"/>
    <d v="2024-11-06T00:00:00"/>
    <s v="CUST_10151"/>
    <x v="0"/>
    <s v="DRS-IDR-S"/>
    <x v="2"/>
    <s v="Ikat Dress"/>
    <n v="2799"/>
    <n v="1"/>
    <n v="2799"/>
    <m/>
    <n v="0"/>
    <s v="UPI"/>
    <x v="1"/>
    <s v="Lucknow"/>
    <s v="Uttar Pradesh"/>
    <s v="Delhi"/>
    <d v="2024-11-20T00:00:00"/>
    <s v="Delivered"/>
    <s v="Yes"/>
    <x v="2"/>
    <d v="2024-12-18T00:00:00"/>
    <s v="Processed"/>
    <s v="OK"/>
    <b v="0"/>
    <s v="No_Discount"/>
    <n v="2799"/>
    <s v="OK"/>
    <n v="1"/>
    <s v="OK"/>
    <n v="14"/>
    <s v="OK"/>
    <n v="28"/>
    <s v="Nov-2024"/>
    <s v="2024-45"/>
    <s v="Prepaid"/>
  </r>
  <r>
    <s v="UT-100153"/>
    <d v="2024-11-06T00:00:00"/>
    <s v="CUST_10152"/>
    <x v="1"/>
    <s v="BOT-KLN-M"/>
    <x v="0"/>
    <s v="Kalamkari Pants"/>
    <n v="1699"/>
    <n v="1"/>
    <n v="1699"/>
    <d v="2026-11-15T00:00:00"/>
    <n v="15"/>
    <s v="Debit Card"/>
    <x v="2"/>
    <s v="Bangalore"/>
    <s v="Karnataka"/>
    <s v="Bangalore"/>
    <d v="2024-11-18T00:00:00"/>
    <s v="Delivered"/>
    <s v="No"/>
    <x v="0"/>
    <m/>
    <s v="Not Applicable"/>
    <s v="OK"/>
    <b v="0"/>
    <s v="Discount_Not_Applied"/>
    <n v="1444.1499999999999"/>
    <s v="Mismatch"/>
    <n v="1"/>
    <s v="OK"/>
    <n v="12"/>
    <s v="OK"/>
    <n v="0"/>
    <s v="Nov-2024"/>
    <s v="2024-45"/>
    <s v="Prepaid"/>
  </r>
  <r>
    <s v="UT-100154"/>
    <d v="2024-11-07T00:00:00"/>
    <s v="CUST_10153"/>
    <x v="0"/>
    <s v="OUT-JQD-L"/>
    <x v="3"/>
    <s v="Jacquard Jacket"/>
    <n v="4599"/>
    <n v="1"/>
    <n v="4599"/>
    <m/>
    <n v="0"/>
    <s v="Credit Card"/>
    <x v="0"/>
    <s v="Mumbai"/>
    <s v="Maharashtra"/>
    <s v="Mumbai"/>
    <d v="2024-11-21T00:00:00"/>
    <s v="Delivered"/>
    <s v="Yes"/>
    <x v="1"/>
    <d v="2024-12-20T00:00:00"/>
    <s v="Processed"/>
    <s v="OK"/>
    <b v="0"/>
    <s v="No_Discount"/>
    <n v="4599"/>
    <s v="OK"/>
    <n v="1"/>
    <s v="OK"/>
    <n v="14"/>
    <s v="OK"/>
    <n v="29"/>
    <s v="Nov-2024"/>
    <s v="2024-45"/>
    <s v="Prepaid"/>
  </r>
  <r>
    <s v="UT-100155"/>
    <d v="2024-11-07T00:00:00"/>
    <s v="CUST_10154"/>
    <x v="0"/>
    <s v="ACC-CHN-OS"/>
    <x v="4"/>
    <s v="Choker Necklace"/>
    <n v="899"/>
    <n v="1"/>
    <n v="899"/>
    <m/>
    <n v="0"/>
    <s v="COD"/>
    <x v="1"/>
    <s v="Delhi"/>
    <s v="Delhi"/>
    <s v="Delhi"/>
    <d v="2024-11-19T00:00:00"/>
    <s v="Delivered"/>
    <s v="No"/>
    <x v="0"/>
    <m/>
    <s v="Not Applicable"/>
    <s v="OK"/>
    <b v="0"/>
    <s v="No_Discount"/>
    <n v="899"/>
    <s v="OK"/>
    <n v="1"/>
    <s v="OK"/>
    <n v="12"/>
    <s v="OK"/>
    <n v="0"/>
    <s v="Nov-2024"/>
    <s v="2024-45"/>
    <s v="COD"/>
  </r>
  <r>
    <s v="UT-100156"/>
    <d v="2024-11-07T00:00:00"/>
    <s v="CUST_10155"/>
    <x v="0"/>
    <s v="TOP-AJR-M"/>
    <x v="1"/>
    <s v="Ajrakh Print Top"/>
    <n v="1799"/>
    <n v="1"/>
    <n v="1799"/>
    <d v="2026-11-15T00:00:00"/>
    <n v="15"/>
    <s v="UPI"/>
    <x v="2"/>
    <s v="Chandigarh"/>
    <s v="Punjab"/>
    <s v="Delhi"/>
    <d v="2024-11-20T00:00:00"/>
    <s v="Delivered"/>
    <s v="Yes"/>
    <x v="4"/>
    <d v="2024-12-19T00:00:00"/>
    <s v="Processed"/>
    <s v="OK"/>
    <b v="0"/>
    <s v="Discount_Not_Applied"/>
    <n v="1529.1499999999999"/>
    <s v="Mismatch"/>
    <n v="1"/>
    <s v="OK"/>
    <n v="13"/>
    <s v="OK"/>
    <n v="29"/>
    <s v="Nov-2024"/>
    <s v="2024-45"/>
    <s v="Prepaid"/>
  </r>
  <r>
    <s v="UT-100157"/>
    <d v="2024-11-08T00:00:00"/>
    <s v="CUST_10156"/>
    <x v="0"/>
    <s v="DRS-BLK-L"/>
    <x v="2"/>
    <s v="Block Print Dress"/>
    <n v="2599"/>
    <n v="1"/>
    <n v="2599"/>
    <m/>
    <n v="0"/>
    <s v="Wallet"/>
    <x v="0"/>
    <s v="Noida"/>
    <s v="Uttar Pradesh"/>
    <s v="Delhi"/>
    <d v="2024-11-22T00:00:00"/>
    <s v="Delivered"/>
    <s v="No"/>
    <x v="0"/>
    <m/>
    <s v="Not Applicable"/>
    <s v="OK"/>
    <b v="0"/>
    <s v="No_Discount"/>
    <n v="2599"/>
    <s v="OK"/>
    <n v="1"/>
    <s v="OK"/>
    <n v="14"/>
    <s v="OK"/>
    <n v="0"/>
    <s v="Nov-2024"/>
    <s v="2024-45"/>
    <s v="Prepaid"/>
  </r>
  <r>
    <s v="UT-100158"/>
    <d v="2024-11-08T00:00:00"/>
    <s v="CUST_10157"/>
    <x v="1"/>
    <s v="BOT-TIE-S"/>
    <x v="0"/>
    <s v="Tie Dye Pants"/>
    <n v="1599"/>
    <n v="1"/>
    <n v="1599"/>
    <m/>
    <n v="0"/>
    <s v="Credit Card"/>
    <x v="1"/>
    <s v="Gurgaon"/>
    <s v="Haryana"/>
    <s v="Delhi"/>
    <d v="2024-11-20T00:00:00"/>
    <s v="Delivered"/>
    <s v="Yes"/>
    <x v="3"/>
    <d v="2024-12-18T00:00:00"/>
    <s v="Processed"/>
    <s v="OK"/>
    <b v="0"/>
    <s v="No_Discount"/>
    <n v="1599"/>
    <s v="OK"/>
    <n v="1"/>
    <s v="OK"/>
    <n v="12"/>
    <s v="OK"/>
    <n v="28"/>
    <s v="Nov-2024"/>
    <s v="2024-45"/>
    <s v="Prepaid"/>
  </r>
  <r>
    <s v="UT-100159"/>
    <d v="2024-11-08T00:00:00"/>
    <s v="CUST_10158"/>
    <x v="0"/>
    <s v="OUT-EMB-M"/>
    <x v="3"/>
    <s v="Embellished Jacket"/>
    <n v="5299"/>
    <n v="1"/>
    <n v="5299"/>
    <d v="2026-11-15T00:00:00"/>
    <n v="15"/>
    <s v="Debit Card"/>
    <x v="2"/>
    <s v="Indore"/>
    <s v="Madhya Pradesh"/>
    <s v="Mumbai"/>
    <d v="2024-11-23T00:00:00"/>
    <s v="Delivered"/>
    <s v="No"/>
    <x v="0"/>
    <m/>
    <s v="Not Applicable"/>
    <s v="OK"/>
    <b v="0"/>
    <s v="Discount_Not_Applied"/>
    <n v="4504.1499999999996"/>
    <s v="Mismatch"/>
    <n v="1"/>
    <s v="OK"/>
    <n v="15"/>
    <s v="OK"/>
    <n v="0"/>
    <s v="Nov-2024"/>
    <s v="2024-45"/>
    <s v="Prepaid"/>
  </r>
  <r>
    <s v="UT-100160"/>
    <d v="2024-11-09T00:00:00"/>
    <s v="CUST_10159"/>
    <x v="0"/>
    <s v="ACC-HRM-OS"/>
    <x v="4"/>
    <s v="Hair Clip Set"/>
    <n v="499"/>
    <n v="3"/>
    <n v="1497"/>
    <m/>
    <n v="0"/>
    <s v="UPI"/>
    <x v="0"/>
    <s v="Surat"/>
    <s v="Gujarat"/>
    <s v="Mumbai"/>
    <d v="2024-11-21T00:00:00"/>
    <s v="Delivered"/>
    <s v="Yes"/>
    <x v="5"/>
    <d v="2024-12-19T00:00:00"/>
    <s v="Processed"/>
    <s v="OK"/>
    <b v="0"/>
    <s v="No_Discount"/>
    <n v="1497"/>
    <s v="OK"/>
    <n v="1"/>
    <s v="OK"/>
    <n v="12"/>
    <s v="OK"/>
    <n v="28"/>
    <s v="Nov-2024"/>
    <s v="2024-45"/>
    <s v="Prepaid"/>
  </r>
  <r>
    <s v="UT-100161"/>
    <d v="2024-11-09T00:00:00"/>
    <s v="CUST_10160"/>
    <x v="0"/>
    <s v="TOP-PRN-L"/>
    <x v="1"/>
    <s v="Printed Kurta"/>
    <n v="2099"/>
    <n v="1"/>
    <n v="2099"/>
    <m/>
    <n v="0"/>
    <s v="COD"/>
    <x v="1"/>
    <s v="Patna"/>
    <s v="Bihar"/>
    <s v="Delhi"/>
    <m/>
    <s v="RTO"/>
    <s v="No"/>
    <x v="0"/>
    <m/>
    <s v="Not Applicable"/>
    <s v="OK"/>
    <b v="0"/>
    <s v="No_Discount"/>
    <n v="2099"/>
    <s v="OK"/>
    <n v="1"/>
    <s v="OK"/>
    <n v="-45605"/>
    <s v="Invalid_delivery_time"/>
    <n v="0"/>
    <s v="Nov-2024"/>
    <s v="2024-45"/>
    <s v="COD"/>
  </r>
  <r>
    <s v="UT-100162"/>
    <d v="2024-11-09T00:00:00"/>
    <s v="CUST_10161"/>
    <x v="0"/>
    <s v="DRS-FLR-S"/>
    <x v="2"/>
    <s v="Floral Print Dress"/>
    <n v="2399"/>
    <n v="1"/>
    <n v="2399"/>
    <d v="2026-11-15T00:00:00"/>
    <n v="15"/>
    <s v="Credit Card"/>
    <x v="2"/>
    <s v="Bhopal"/>
    <s v="Madhya Pradesh"/>
    <s v="Mumbai"/>
    <d v="2024-11-24T00:00:00"/>
    <s v="Delivered"/>
    <s v="Yes"/>
    <x v="1"/>
    <d v="2024-12-22T00:00:00"/>
    <s v="Processed"/>
    <s v="OK"/>
    <b v="0"/>
    <s v="Discount_Not_Applied"/>
    <n v="2039.1499999999999"/>
    <s v="Mismatch"/>
    <n v="1"/>
    <s v="OK"/>
    <n v="15"/>
    <s v="OK"/>
    <n v="28"/>
    <s v="Nov-2024"/>
    <s v="2024-45"/>
    <s v="Prepaid"/>
  </r>
  <r>
    <s v="UT-100163"/>
    <d v="2024-11-10T00:00:00"/>
    <s v="CUST_10162"/>
    <x v="1"/>
    <s v="BOT-DOT-M"/>
    <x v="0"/>
    <s v="Polka Dot Pants"/>
    <n v="1799"/>
    <n v="1"/>
    <n v="1799"/>
    <m/>
    <n v="0"/>
    <s v="Wallet"/>
    <x v="0"/>
    <s v="Nagpur"/>
    <s v="Maharashtra"/>
    <s v="Mumbai"/>
    <d v="2024-11-22T00:00:00"/>
    <s v="Delivered"/>
    <s v="No"/>
    <x v="0"/>
    <m/>
    <s v="Not Applicable"/>
    <s v="OK"/>
    <b v="0"/>
    <s v="No_Discount"/>
    <n v="1799"/>
    <s v="OK"/>
    <n v="1"/>
    <s v="OK"/>
    <n v="12"/>
    <s v="OK"/>
    <n v="0"/>
    <s v="Nov-2024"/>
    <s v="2024-46"/>
    <s v="Prepaid"/>
  </r>
  <r>
    <s v="UT-100165"/>
    <d v="2024-11-10T00:00:00"/>
    <s v="CUST_10164"/>
    <x v="0"/>
    <s v="ACC-TBR-OS"/>
    <x v="4"/>
    <s v="Tassel Earrings"/>
    <n v="699"/>
    <n v="2"/>
    <n v="1398"/>
    <m/>
    <n v="0"/>
    <s v="Debit Card"/>
    <x v="2"/>
    <s v="Kochi"/>
    <s v="Kerala"/>
    <s v="Bangalore"/>
    <d v="2024-11-23T00:00:00"/>
    <s v="Delivered"/>
    <s v="No"/>
    <x v="0"/>
    <m/>
    <s v="Not Applicable"/>
    <s v="OK"/>
    <b v="0"/>
    <s v="No_Discount"/>
    <n v="1398"/>
    <s v="OK"/>
    <n v="1"/>
    <s v="OK"/>
    <n v="13"/>
    <s v="OK"/>
    <n v="0"/>
    <s v="Nov-2024"/>
    <s v="2024-46"/>
    <s v="Prepaid"/>
  </r>
  <r>
    <s v="UT-100166"/>
    <d v="2024-11-11T00:00:00"/>
    <s v="CUST_10165"/>
    <x v="0"/>
    <s v="TOP-SLV-S"/>
    <x v="1"/>
    <s v="Sleeve Detail Top"/>
    <n v="1599"/>
    <n v="1"/>
    <n v="1599"/>
    <d v="2026-11-15T00:00:00"/>
    <n v="15"/>
    <s v="Credit Card"/>
    <x v="0"/>
    <s v="Vizag"/>
    <s v="Andhra Pradesh"/>
    <s v="Bangalore"/>
    <d v="2024-11-24T00:00:00"/>
    <s v="Delivered"/>
    <s v="Yes"/>
    <x v="1"/>
    <d v="2024-12-23T00:00:00"/>
    <s v="Processed"/>
    <s v="OK"/>
    <b v="0"/>
    <s v="Discount_Not_Applied"/>
    <n v="1359.1499999999999"/>
    <s v="Mismatch"/>
    <n v="1"/>
    <s v="OK"/>
    <n v="13"/>
    <s v="OK"/>
    <n v="29"/>
    <s v="Nov-2024"/>
    <s v="2024-46"/>
    <s v="Prepaid"/>
  </r>
  <r>
    <s v="UT-100167"/>
    <d v="2024-11-11T00:00:00"/>
    <s v="CUST_10166"/>
    <x v="0"/>
    <s v="DRS-ASY-M"/>
    <x v="2"/>
    <s v="Asymmetric Dress"/>
    <n v="2899"/>
    <n v="1"/>
    <n v="2899"/>
    <m/>
    <n v="0"/>
    <s v="COD"/>
    <x v="1"/>
    <s v="Thiruvananthapuram"/>
    <s v="Kerala"/>
    <s v="Bangalore"/>
    <d v="2024-11-26T00:00:00"/>
    <s v="Delivered"/>
    <s v="Yes"/>
    <x v="4"/>
    <d v="2024-12-25T00:00:00"/>
    <s v="Processed"/>
    <s v="OK"/>
    <b v="0"/>
    <s v="No_Discount"/>
    <n v="2899"/>
    <s v="OK"/>
    <n v="1"/>
    <s v="OK"/>
    <n v="15"/>
    <s v="OK"/>
    <n v="29"/>
    <s v="Nov-2024"/>
    <s v="2024-46"/>
    <s v="COD"/>
  </r>
  <r>
    <s v="UT-100168"/>
    <d v="2024-11-11T00:00:00"/>
    <s v="CUST_10167"/>
    <x v="1"/>
    <s v="BOT-FRN-L"/>
    <x v="0"/>
    <s v="Fringe Pants"/>
    <n v="2199"/>
    <n v="1"/>
    <n v="2199"/>
    <m/>
    <n v="0"/>
    <s v="UPI"/>
    <x v="2"/>
    <s v="Mysore"/>
    <s v="Karnataka"/>
    <s v="Bangalore"/>
    <d v="2024-11-24T00:00:00"/>
    <s v="Delivered"/>
    <s v="No"/>
    <x v="0"/>
    <m/>
    <s v="Not Applicable"/>
    <s v="OK"/>
    <b v="0"/>
    <s v="No_Discount"/>
    <n v="2199"/>
    <s v="OK"/>
    <n v="1"/>
    <s v="OK"/>
    <n v="13"/>
    <s v="OK"/>
    <n v="0"/>
    <s v="Nov-2024"/>
    <s v="2024-46"/>
    <s v="Prepaid"/>
  </r>
  <r>
    <s v="UT-100169"/>
    <d v="2024-11-12T00:00:00"/>
    <s v="CUST_10168"/>
    <x v="0"/>
    <s v="OUT-TWD-M"/>
    <x v="3"/>
    <s v="Tweed Jacket"/>
    <n v="5599"/>
    <n v="1"/>
    <n v="5599"/>
    <m/>
    <n v="0"/>
    <s v="Credit Card"/>
    <x v="0"/>
    <s v="Vadodara"/>
    <s v="Gujarat"/>
    <s v="Mumbai"/>
    <d v="2024-11-27T00:00:00"/>
    <s v="Delivered"/>
    <s v="Yes"/>
    <x v="3"/>
    <d v="2024-12-26T00:00:00"/>
    <s v="Processed"/>
    <s v="OK"/>
    <b v="0"/>
    <s v="No_Discount"/>
    <n v="5599"/>
    <s v="OK"/>
    <n v="1"/>
    <s v="OK"/>
    <n v="15"/>
    <s v="OK"/>
    <n v="29"/>
    <s v="Nov-2024"/>
    <s v="2024-46"/>
    <s v="Prepaid"/>
  </r>
  <r>
    <s v="UT-100170"/>
    <d v="2024-11-12T00:00:00"/>
    <s v="CUST_10169"/>
    <x v="0"/>
    <s v="ACC-PIN-OS"/>
    <x v="4"/>
    <s v="Brooch Pin"/>
    <n v="399"/>
    <n v="2"/>
    <n v="798"/>
    <d v="2026-11-15T00:00:00"/>
    <n v="15"/>
    <s v="Wallet"/>
    <x v="1"/>
    <s v="Rajkot"/>
    <s v="Gujarat"/>
    <s v="Mumbai"/>
    <d v="2024-11-25T00:00:00"/>
    <s v="Delivered"/>
    <s v="No"/>
    <x v="0"/>
    <m/>
    <s v="Not Applicable"/>
    <s v="OK"/>
    <b v="0"/>
    <s v="Discount_Not_Applied"/>
    <n v="678.3"/>
    <s v="Mismatch"/>
    <n v="1"/>
    <s v="OK"/>
    <n v="13"/>
    <s v="OK"/>
    <n v="0"/>
    <s v="Nov-2024"/>
    <s v="2024-46"/>
    <s v="Prepaid"/>
  </r>
  <r>
    <s v="UT-100171"/>
    <d v="2024-11-12T00:00:00"/>
    <s v="CUST_10170"/>
    <x v="0"/>
    <s v="TOP-MCR-M"/>
    <x v="1"/>
    <s v="Macrame Top"/>
    <n v="1899"/>
    <n v="1"/>
    <n v="1899"/>
    <m/>
    <n v="0"/>
    <s v="Debit Card"/>
    <x v="2"/>
    <s v="Kanpur"/>
    <s v="Uttar Pradesh"/>
    <s v="Delhi"/>
    <d v="2024-11-26T00:00:00"/>
    <s v="Delivered"/>
    <s v="Yes"/>
    <x v="2"/>
    <d v="2024-12-24T00:00:00"/>
    <s v="Processed"/>
    <s v="OK"/>
    <b v="0"/>
    <s v="No_Discount"/>
    <n v="1899"/>
    <s v="OK"/>
    <n v="1"/>
    <s v="OK"/>
    <n v="14"/>
    <s v="OK"/>
    <n v="28"/>
    <s v="Nov-2024"/>
    <s v="2024-46"/>
    <s v="Prepaid"/>
  </r>
  <r>
    <s v="UT-100172"/>
    <d v="2024-11-13T00:00:00"/>
    <s v="CUST_10171"/>
    <x v="0"/>
    <s v="DRS-PLT-S"/>
    <x v="2"/>
    <s v="Pleated Midi Dress"/>
    <n v="2699"/>
    <n v="1"/>
    <n v="2699"/>
    <m/>
    <n v="0"/>
    <s v="UPI"/>
    <x v="0"/>
    <s v="Mumbai"/>
    <s v="Maharashtra"/>
    <s v="Mumbai"/>
    <d v="2024-11-28T00:00:00"/>
    <s v="Delivered"/>
    <s v="No"/>
    <x v="0"/>
    <m/>
    <s v="Not Applicable"/>
    <s v="OK"/>
    <b v="0"/>
    <s v="No_Discount"/>
    <n v="2699"/>
    <s v="OK"/>
    <n v="1"/>
    <s v="OK"/>
    <n v="15"/>
    <s v="OK"/>
    <n v="0"/>
    <s v="Nov-2024"/>
    <s v="2024-46"/>
    <s v="Prepaid"/>
  </r>
  <r>
    <s v="UT-100173"/>
    <d v="2024-11-13T00:00:00"/>
    <s v="CUST_10172"/>
    <x v="1"/>
    <s v="BOT-VLT-L"/>
    <x v="0"/>
    <s v="Velvet Pants"/>
    <n v="2499"/>
    <n v="1"/>
    <n v="2499"/>
    <d v="2026-11-15T00:00:00"/>
    <n v="15"/>
    <s v="Credit Card"/>
    <x v="1"/>
    <s v="Delhi"/>
    <s v="Delhi"/>
    <s v="Delhi"/>
    <d v="2024-11-26T00:00:00"/>
    <s v="Delivered"/>
    <s v="Yes"/>
    <x v="1"/>
    <d v="2024-12-25T00:00:00"/>
    <s v="Processed"/>
    <s v="OK"/>
    <b v="0"/>
    <s v="Discount_Not_Applied"/>
    <n v="2124.15"/>
    <s v="Mismatch"/>
    <n v="1"/>
    <s v="OK"/>
    <n v="13"/>
    <s v="OK"/>
    <n v="29"/>
    <s v="Nov-2024"/>
    <s v="2024-46"/>
    <s v="Prepaid"/>
  </r>
  <r>
    <s v="UT-100174"/>
    <d v="2024-11-13T00:00:00"/>
    <s v="CUST_10173"/>
    <x v="0"/>
    <s v="OUT-CHK-M"/>
    <x v="3"/>
    <s v="Check Coat"/>
    <n v="6299"/>
    <n v="1"/>
    <n v="6299"/>
    <m/>
    <n v="0"/>
    <s v="COD"/>
    <x v="2"/>
    <s v="Kolkata"/>
    <s v="West Bengal"/>
    <s v="Delhi"/>
    <m/>
    <s v="RTO"/>
    <s v="No"/>
    <x v="0"/>
    <m/>
    <s v="Not Applicable"/>
    <s v="OK"/>
    <b v="0"/>
    <s v="No_Discount"/>
    <n v="6299"/>
    <s v="OK"/>
    <n v="1"/>
    <s v="OK"/>
    <n v="-45609"/>
    <s v="Invalid_delivery_time"/>
    <n v="0"/>
    <s v="Nov-2024"/>
    <s v="2024-46"/>
    <s v="COD"/>
  </r>
  <r>
    <s v="UT-100175"/>
    <d v="2024-11-14T00:00:00"/>
    <s v="CUST_10174"/>
    <x v="0"/>
    <s v="ACC-WVN-OS"/>
    <x v="4"/>
    <s v="Woven Bag"/>
    <n v="1599"/>
    <n v="1"/>
    <n v="1599"/>
    <m/>
    <n v="0"/>
    <s v="Wallet"/>
    <x v="0"/>
    <s v="Chennai"/>
    <s v="Tamil Nadu"/>
    <s v="Bangalore"/>
    <d v="2024-11-27T00:00:00"/>
    <s v="Delivered"/>
    <s v="Yes"/>
    <x v="5"/>
    <d v="2024-12-26T00:00:00"/>
    <s v="Processed"/>
    <s v="OK"/>
    <b v="0"/>
    <s v="No_Discount"/>
    <n v="1599"/>
    <s v="OK"/>
    <n v="1"/>
    <s v="OK"/>
    <n v="13"/>
    <s v="OK"/>
    <n v="29"/>
    <s v="Nov-2024"/>
    <s v="2024-46"/>
    <s v="Prepaid"/>
  </r>
  <r>
    <s v="UT-100176"/>
    <d v="2024-11-14T00:00:00"/>
    <s v="CUST_10175"/>
    <x v="0"/>
    <s v="TOP-BLN-L"/>
    <x v="1"/>
    <s v="Balloon Sleeve Top"/>
    <n v="1699"/>
    <n v="1"/>
    <n v="1699"/>
    <m/>
    <n v="0"/>
    <s v="UPI"/>
    <x v="1"/>
    <s v="Hyderabad"/>
    <s v="Telangana"/>
    <s v="Bangalore"/>
    <d v="2024-11-28T00:00:00"/>
    <s v="Delivered"/>
    <s v="No"/>
    <x v="0"/>
    <m/>
    <s v="Not Applicable"/>
    <s v="OK"/>
    <b v="0"/>
    <s v="No_Discount"/>
    <n v="1699"/>
    <s v="OK"/>
    <n v="1"/>
    <s v="OK"/>
    <n v="14"/>
    <s v="OK"/>
    <n v="0"/>
    <s v="Nov-2024"/>
    <s v="2024-46"/>
    <s v="Prepaid"/>
  </r>
  <r>
    <s v="UT-100177"/>
    <d v="2024-11-14T00:00:00"/>
    <s v="CUST_10176"/>
    <x v="0"/>
    <s v="DRS-CRO-S"/>
    <x v="2"/>
    <s v="Crochet Dress"/>
    <n v="3199"/>
    <n v="1"/>
    <n v="3199"/>
    <d v="2026-11-15T00:00:00"/>
    <n v="15"/>
    <s v="Debit Card"/>
    <x v="2"/>
    <s v="Pune"/>
    <s v="Maharashtra"/>
    <s v="Mumbai"/>
    <d v="2024-11-29T00:00:00"/>
    <s v="Delivered"/>
    <s v="Yes"/>
    <x v="1"/>
    <d v="2024-12-28T00:00:00"/>
    <s v="Processed"/>
    <s v="OK"/>
    <b v="0"/>
    <s v="Discount_Not_Applied"/>
    <n v="2719.15"/>
    <s v="Mismatch"/>
    <n v="1"/>
    <s v="OK"/>
    <n v="15"/>
    <s v="OK"/>
    <n v="29"/>
    <s v="Nov-2024"/>
    <s v="2024-46"/>
    <s v="Prepaid"/>
  </r>
  <r>
    <s v="UT-100178"/>
    <d v="2024-11-15T00:00:00"/>
    <s v="CUST_10177"/>
    <x v="1"/>
    <s v="BOT-PTW-M"/>
    <x v="0"/>
    <s v="Patchwork Pants"/>
    <n v="2099"/>
    <n v="1"/>
    <n v="2099"/>
    <m/>
    <n v="0"/>
    <s v="Credit Card"/>
    <x v="0"/>
    <s v="Ahmedabad"/>
    <s v="Gujarat"/>
    <s v="Mumbai"/>
    <d v="2024-11-28T00:00:00"/>
    <s v="Delivered"/>
    <s v="No"/>
    <x v="0"/>
    <m/>
    <s v="Not Applicable"/>
    <s v="OK"/>
    <b v="0"/>
    <s v="No_Discount"/>
    <n v="2099"/>
    <s v="OK"/>
    <n v="1"/>
    <s v="OK"/>
    <n v="13"/>
    <s v="OK"/>
    <n v="0"/>
    <s v="Nov-2024"/>
    <s v="2024-46"/>
    <s v="Prepaid"/>
  </r>
  <r>
    <s v="UT-100179"/>
    <d v="2024-11-15T00:00:00"/>
    <s v="CUST_10178"/>
    <x v="0"/>
    <s v="OUT-HRN-L"/>
    <x v="3"/>
    <s v="Herringbone Coat"/>
    <n v="6999"/>
    <n v="1"/>
    <n v="6999"/>
    <m/>
    <n v="0"/>
    <s v="UPI"/>
    <x v="1"/>
    <s v="Jaipur"/>
    <s v="Rajasthan"/>
    <s v="Delhi"/>
    <d v="2024-11-30T00:00:00"/>
    <s v="Delivered"/>
    <s v="Yes"/>
    <x v="4"/>
    <d v="2024-12-29T00:00:00"/>
    <s v="Processed"/>
    <s v="OK"/>
    <b v="0"/>
    <s v="No_Discount"/>
    <n v="6999"/>
    <s v="OK"/>
    <n v="1"/>
    <s v="OK"/>
    <n v="15"/>
    <s v="OK"/>
    <n v="29"/>
    <s v="Nov-2024"/>
    <s v="2024-46"/>
    <s v="Prepaid"/>
  </r>
  <r>
    <s v="UT-100180"/>
    <d v="2024-11-15T00:00:00"/>
    <s v="CUST_10179"/>
    <x v="0"/>
    <s v="ACC-MTL-OS"/>
    <x v="4"/>
    <s v="Metal Belt"/>
    <n v="899"/>
    <n v="1"/>
    <n v="899"/>
    <m/>
    <n v="0"/>
    <s v="COD"/>
    <x v="2"/>
    <s v="Lucknow"/>
    <s v="Uttar Pradesh"/>
    <s v="Delhi"/>
    <d v="2024-11-28T00:00:00"/>
    <s v="Delivered"/>
    <s v="Yes"/>
    <x v="3"/>
    <d v="2024-12-27T00:00:00"/>
    <s v="Processed"/>
    <s v="OK"/>
    <b v="0"/>
    <s v="No_Discount"/>
    <n v="899"/>
    <s v="OK"/>
    <n v="1"/>
    <s v="OK"/>
    <n v="13"/>
    <s v="OK"/>
    <n v="29"/>
    <s v="Nov-2024"/>
    <s v="2024-46"/>
    <s v="COD"/>
  </r>
  <r>
    <s v="UT-100181"/>
    <d v="2024-11-16T00:00:00"/>
    <s v="CUST_10180"/>
    <x v="0"/>
    <s v="TOP-RCH-S"/>
    <x v="1"/>
    <s v="Rouched Top"/>
    <n v="1499"/>
    <n v="1"/>
    <n v="1499"/>
    <d v="2026-11-15T00:00:00"/>
    <n v="15"/>
    <s v="Wallet"/>
    <x v="0"/>
    <s v="Bangalore"/>
    <s v="Karnataka"/>
    <s v="Bangalore"/>
    <d v="2024-11-29T00:00:00"/>
    <s v="Delivered"/>
    <s v="No"/>
    <x v="0"/>
    <m/>
    <s v="Not Applicable"/>
    <s v="OK"/>
    <b v="0"/>
    <s v="Discount_Not_Applied"/>
    <n v="1274.1499999999999"/>
    <s v="Mismatch"/>
    <n v="1"/>
    <s v="OK"/>
    <n v="13"/>
    <s v="OK"/>
    <n v="0"/>
    <s v="Nov-2024"/>
    <s v="2024-46"/>
    <s v="Prepaid"/>
  </r>
  <r>
    <s v="UT-100182"/>
    <d v="2024-11-16T00:00:00"/>
    <s v="CUST_10181"/>
    <x v="0"/>
    <s v="DRS-TRF-M"/>
    <x v="2"/>
    <s v="Tiered Ruffle Dress"/>
    <n v="2999"/>
    <n v="1"/>
    <n v="2999"/>
    <m/>
    <n v="0"/>
    <s v="Debit Card"/>
    <x v="1"/>
    <s v="Mumbai"/>
    <s v="Maharashtra"/>
    <s v="Mumbai"/>
    <d v="2024-12-01T00:00:00"/>
    <s v="Delivered"/>
    <s v="Yes"/>
    <x v="2"/>
    <d v="2024-12-30T00:00:00"/>
    <s v="Processed"/>
    <s v="OK"/>
    <b v="0"/>
    <s v="No_Discount"/>
    <n v="2999"/>
    <s v="OK"/>
    <n v="1"/>
    <s v="OK"/>
    <n v="15"/>
    <s v="OK"/>
    <n v="29"/>
    <s v="Nov-2024"/>
    <s v="2024-46"/>
    <s v="Prepaid"/>
  </r>
  <r>
    <s v="UT-100183"/>
    <d v="2024-11-16T00:00:00"/>
    <s v="CUST_10182"/>
    <x v="1"/>
    <s v="BOT-BND-L"/>
    <x v="0"/>
    <s v="Banded Pants"/>
    <n v="1899"/>
    <n v="1"/>
    <n v="1899"/>
    <m/>
    <n v="0"/>
    <s v="Credit Card"/>
    <x v="2"/>
    <s v="Delhi"/>
    <s v="Delhi"/>
    <s v="Delhi"/>
    <d v="2024-11-29T00:00:00"/>
    <s v="Delivered"/>
    <s v="No"/>
    <x v="0"/>
    <m/>
    <s v="Not Applicable"/>
    <s v="OK"/>
    <b v="0"/>
    <s v="No_Discount"/>
    <n v="1899"/>
    <s v="OK"/>
    <n v="1"/>
    <s v="OK"/>
    <n v="13"/>
    <s v="OK"/>
    <n v="0"/>
    <s v="Nov-2024"/>
    <s v="2024-46"/>
    <s v="Prepaid"/>
  </r>
  <r>
    <s v="UT-100184"/>
    <d v="2024-11-17T00:00:00"/>
    <s v="CUST_10183"/>
    <x v="0"/>
    <s v="OUT-CML-M"/>
    <x v="3"/>
    <s v="Camel Coat"/>
    <n v="7499"/>
    <n v="1"/>
    <n v="7499"/>
    <m/>
    <n v="0"/>
    <s v="UPI"/>
    <x v="0"/>
    <s v="Chandigarh"/>
    <s v="Punjab"/>
    <s v="Delhi"/>
    <d v="2024-12-02T00:00:00"/>
    <s v="Delivered"/>
    <s v="Yes"/>
    <x v="1"/>
    <d v="2024-12-31T00:00:00"/>
    <s v="Processed"/>
    <s v="OK"/>
    <b v="0"/>
    <s v="No_Discount"/>
    <n v="7499"/>
    <s v="OK"/>
    <n v="1"/>
    <s v="OK"/>
    <n v="15"/>
    <s v="OK"/>
    <n v="29"/>
    <s v="Nov-2024"/>
    <s v="2024-47"/>
    <s v="Prepaid"/>
  </r>
  <r>
    <s v="UT-100185"/>
    <d v="2024-11-17T00:00:00"/>
    <s v="CUST_10184"/>
    <x v="0"/>
    <s v="ACC-STN-OS"/>
    <x v="4"/>
    <s v="Stone Necklace"/>
    <n v="1299"/>
    <n v="1"/>
    <n v="1299"/>
    <d v="2026-11-15T00:00:00"/>
    <n v="15"/>
    <s v="COD"/>
    <x v="1"/>
    <s v="Noida"/>
    <s v="Uttar Pradesh"/>
    <s v="Delhi"/>
    <d v="2024-11-30T00:00:00"/>
    <s v="Delivered"/>
    <s v="No"/>
    <x v="0"/>
    <m/>
    <s v="Not Applicable"/>
    <s v="OK"/>
    <b v="0"/>
    <s v="Discount_Not_Applied"/>
    <n v="1104.1499999999999"/>
    <s v="Mismatch"/>
    <n v="1"/>
    <s v="OK"/>
    <n v="13"/>
    <s v="OK"/>
    <n v="0"/>
    <s v="Nov-2024"/>
    <s v="2024-47"/>
    <s v="COD"/>
  </r>
  <r>
    <s v="UT-100186"/>
    <d v="2024-11-17T00:00:00"/>
    <s v="CUST_10185"/>
    <x v="0"/>
    <s v="TOP-KNT-M"/>
    <x v="1"/>
    <s v="Knotted Top"/>
    <n v="1599"/>
    <n v="1"/>
    <n v="1599"/>
    <m/>
    <n v="0"/>
    <s v="Credit Card"/>
    <x v="2"/>
    <s v="Gurgaon"/>
    <s v="Haryana"/>
    <s v="Delhi"/>
    <d v="2024-12-01T00:00:00"/>
    <s v="Delivered"/>
    <s v="Yes"/>
    <x v="5"/>
    <d v="2024-12-29T00:00:00"/>
    <s v="Processed"/>
    <s v="OK"/>
    <b v="0"/>
    <s v="No_Discount"/>
    <n v="1599"/>
    <s v="OK"/>
    <n v="1"/>
    <s v="OK"/>
    <n v="14"/>
    <s v="OK"/>
    <n v="28"/>
    <s v="Nov-2024"/>
    <s v="2024-47"/>
    <s v="Prepaid"/>
  </r>
  <r>
    <s v="UT-100187"/>
    <d v="2024-11-18T00:00:00"/>
    <s v="CUST_10186"/>
    <x v="0"/>
    <s v="DRS-SQN-L"/>
    <x v="2"/>
    <s v="Sequin Midi Dress"/>
    <n v="3799"/>
    <n v="1"/>
    <n v="3799"/>
    <m/>
    <n v="0"/>
    <s v="Wallet"/>
    <x v="0"/>
    <s v="Indore"/>
    <s v="Madhya Pradesh"/>
    <s v="Mumbai"/>
    <d v="2024-12-03T00:00:00"/>
    <s v="Delivered"/>
    <s v="No"/>
    <x v="0"/>
    <m/>
    <s v="Not Applicable"/>
    <s v="OK"/>
    <b v="0"/>
    <s v="No_Discount"/>
    <n v="3799"/>
    <s v="OK"/>
    <n v="1"/>
    <s v="OK"/>
    <n v="15"/>
    <s v="OK"/>
    <n v="0"/>
    <s v="Nov-2024"/>
    <s v="2024-47"/>
    <s v="Prepaid"/>
  </r>
  <r>
    <s v="UT-100188"/>
    <d v="2024-11-18T00:00:00"/>
    <s v="CUST_10187"/>
    <x v="1"/>
    <s v="BOT-GLT-S"/>
    <x v="0"/>
    <s v="Glitter Pants"/>
    <n v="2299"/>
    <n v="1"/>
    <n v="2299"/>
    <m/>
    <n v="0"/>
    <s v="UPI"/>
    <x v="1"/>
    <s v="Surat"/>
    <s v="Gujarat"/>
    <s v="Mumbai"/>
    <d v="2024-12-01T00:00:00"/>
    <s v="Delivered"/>
    <s v="Yes"/>
    <x v="1"/>
    <d v="2024-12-30T00:00:00"/>
    <s v="Processed"/>
    <s v="OK"/>
    <b v="0"/>
    <s v="No_Discount"/>
    <n v="2299"/>
    <s v="OK"/>
    <n v="1"/>
    <s v="OK"/>
    <n v="13"/>
    <s v="OK"/>
    <n v="29"/>
    <s v="Nov-2024"/>
    <s v="2024-47"/>
    <s v="Prepaid"/>
  </r>
  <r>
    <s v="UT-100189"/>
    <d v="2024-11-18T00:00:00"/>
    <s v="CUST_10188"/>
    <x v="0"/>
    <s v="OUT-FXF-M"/>
    <x v="3"/>
    <s v="Faux Fur Jacket"/>
    <n v="5999"/>
    <n v="1"/>
    <n v="5999"/>
    <d v="2026-11-15T00:00:00"/>
    <n v="15"/>
    <s v="Debit Card"/>
    <x v="2"/>
    <s v="Patna"/>
    <s v="Bihar"/>
    <s v="Delhi"/>
    <d v="2024-12-04T00:00:00"/>
    <s v="Delivered"/>
    <s v="Yes"/>
    <x v="4"/>
    <d v="2025-01-02T00:00:00"/>
    <s v="Processed"/>
    <s v="OK"/>
    <b v="0"/>
    <s v="Discount_Not_Applied"/>
    <n v="5099.1499999999996"/>
    <s v="Mismatch"/>
    <n v="1"/>
    <s v="OK"/>
    <n v="16"/>
    <s v="OK"/>
    <n v="29"/>
    <s v="Nov-2024"/>
    <s v="2024-47"/>
    <s v="Prepaid"/>
  </r>
  <r>
    <s v="UT-100190"/>
    <d v="2024-11-19T00:00:00"/>
    <s v="CUST_10189"/>
    <x v="0"/>
    <s v="ACC-CHM-OS"/>
    <x v="4"/>
    <s v="Charm Anklet"/>
    <n v="499"/>
    <n v="2"/>
    <n v="998"/>
    <m/>
    <n v="0"/>
    <s v="Credit Card"/>
    <x v="0"/>
    <s v="Bhopal"/>
    <s v="Madhya Pradesh"/>
    <s v="Mumbai"/>
    <d v="2024-12-02T00:00:00"/>
    <s v="Delivered"/>
    <s v="No"/>
    <x v="0"/>
    <m/>
    <s v="Not Applicable"/>
    <s v="OK"/>
    <b v="0"/>
    <s v="No_Discount"/>
    <n v="998"/>
    <s v="OK"/>
    <n v="1"/>
    <s v="OK"/>
    <n v="13"/>
    <s v="OK"/>
    <n v="0"/>
    <s v="Nov-2024"/>
    <s v="2024-47"/>
    <s v="Prepaid"/>
  </r>
  <r>
    <s v="UT-100191"/>
    <d v="2024-11-19T00:00:00"/>
    <s v="CUST_10190"/>
    <x v="0"/>
    <s v="TOP-TXD-L"/>
    <x v="1"/>
    <s v="Textured Top"/>
    <n v="1799"/>
    <n v="1"/>
    <n v="1799"/>
    <m/>
    <n v="0"/>
    <s v="COD"/>
    <x v="1"/>
    <s v="Nagpur"/>
    <s v="Maharashtra"/>
    <s v="Mumbai"/>
    <m/>
    <s v="RTO"/>
    <s v="No"/>
    <x v="0"/>
    <m/>
    <s v="Not Applicable"/>
    <s v="OK"/>
    <b v="0"/>
    <s v="No_Discount"/>
    <n v="1799"/>
    <s v="OK"/>
    <n v="1"/>
    <s v="OK"/>
    <n v="-45615"/>
    <s v="Invalid_delivery_time"/>
    <n v="0"/>
    <s v="Nov-2024"/>
    <s v="2024-47"/>
    <s v="COD"/>
  </r>
  <r>
    <s v="UT-100192"/>
    <d v="2024-11-19T00:00:00"/>
    <s v="CUST_10191"/>
    <x v="0"/>
    <s v="DRS-VLR-S"/>
    <x v="2"/>
    <s v="Velour Dress"/>
    <n v="2999"/>
    <n v="1"/>
    <n v="2999"/>
    <m/>
    <n v="0"/>
    <s v="UPI"/>
    <x v="2"/>
    <s v="Coimbatore"/>
    <s v="Tamil Nadu"/>
    <s v="Bangalore"/>
    <d v="2024-12-05T00:00:00"/>
    <s v="Delivered"/>
    <s v="Yes"/>
    <x v="3"/>
    <d v="2025-01-03T00:00:00"/>
    <s v="Processed"/>
    <s v="OK"/>
    <b v="0"/>
    <s v="No_Discount"/>
    <n v="2999"/>
    <s v="OK"/>
    <n v="1"/>
    <s v="OK"/>
    <n v="16"/>
    <s v="OK"/>
    <n v="29"/>
    <s v="Nov-2024"/>
    <s v="2024-47"/>
    <s v="Prepaid"/>
  </r>
  <r>
    <s v="UT-100193"/>
    <d v="2024-11-20T00:00:00"/>
    <s v="CUST_10192"/>
    <x v="1"/>
    <s v="BOT-STN-M"/>
    <x v="0"/>
    <s v="Satin Pants"/>
    <n v="2199"/>
    <n v="1"/>
    <n v="2199"/>
    <d v="2026-11-15T00:00:00"/>
    <n v="15"/>
    <s v="Wallet"/>
    <x v="0"/>
    <s v="Kochi"/>
    <s v="Kerala"/>
    <s v="Bangalore"/>
    <d v="2024-12-03T00:00:00"/>
    <s v="Delivered"/>
    <s v="No"/>
    <x v="0"/>
    <m/>
    <s v="Not Applicable"/>
    <s v="OK"/>
    <b v="0"/>
    <s v="Discount_Not_Applied"/>
    <n v="1869.1499999999999"/>
    <s v="Mismatch"/>
    <n v="1"/>
    <s v="OK"/>
    <n v="13"/>
    <s v="OK"/>
    <n v="0"/>
    <s v="Nov-2024"/>
    <s v="2024-47"/>
    <s v="Prepaid"/>
  </r>
  <r>
    <s v="UT-100194"/>
    <d v="2024-11-20T00:00:00"/>
    <s v="CUST_10193"/>
    <x v="0"/>
    <s v="OUT-SHN-L"/>
    <x v="3"/>
    <s v="Shiny Jacket"/>
    <n v="4899"/>
    <n v="1"/>
    <n v="4899"/>
    <m/>
    <n v="0"/>
    <s v="Debit Card"/>
    <x v="1"/>
    <s v="Vizag"/>
    <s v="Andhra Pradesh"/>
    <s v="Bangalore"/>
    <d v="2024-12-06T00:00:00"/>
    <s v="Delivered"/>
    <s v="Yes"/>
    <x v="2"/>
    <d v="2025-01-04T00:00:00"/>
    <s v="Processed"/>
    <s v="OK"/>
    <b v="0"/>
    <s v="No_Discount"/>
    <n v="4899"/>
    <s v="OK"/>
    <n v="1"/>
    <s v="OK"/>
    <n v="16"/>
    <s v="OK"/>
    <n v="29"/>
    <s v="Nov-2024"/>
    <s v="2024-47"/>
    <s v="Prepaid"/>
  </r>
  <r>
    <s v="UT-100195"/>
    <d v="2024-11-20T00:00:00"/>
    <s v="CUST_10194"/>
    <x v="0"/>
    <s v="ACC-PRL-OS"/>
    <x v="4"/>
    <s v="Pearl Earrings"/>
    <n v="799"/>
    <n v="1"/>
    <n v="799"/>
    <m/>
    <n v="0"/>
    <s v="Credit Card"/>
    <x v="2"/>
    <s v="Thiruvananthapuram"/>
    <s v="Kerala"/>
    <s v="Bangalore"/>
    <d v="2024-12-04T00:00:00"/>
    <s v="Delivered"/>
    <s v="No"/>
    <x v="0"/>
    <m/>
    <s v="Not Applicable"/>
    <s v="OK"/>
    <b v="0"/>
    <s v="No_Discount"/>
    <n v="799"/>
    <s v="OK"/>
    <n v="1"/>
    <s v="OK"/>
    <n v="14"/>
    <s v="OK"/>
    <n v="0"/>
    <s v="Nov-2024"/>
    <s v="2024-47"/>
    <s v="Prepaid"/>
  </r>
  <r>
    <s v="UT-100196"/>
    <d v="2024-11-21T00:00:00"/>
    <s v="CUST_10195"/>
    <x v="0"/>
    <s v="TOP-MTL-S"/>
    <x v="1"/>
    <s v="Metallic Top"/>
    <n v="1999"/>
    <n v="1"/>
    <n v="1999"/>
    <m/>
    <n v="0"/>
    <s v="UPI"/>
    <x v="0"/>
    <s v="Mysore"/>
    <s v="Karnataka"/>
    <s v="Bangalore"/>
    <d v="2024-12-05T00:00:00"/>
    <s v="Delivered"/>
    <s v="Yes"/>
    <x v="1"/>
    <d v="2025-01-03T00:00:00"/>
    <s v="Processed"/>
    <s v="OK"/>
    <b v="0"/>
    <s v="No_Discount"/>
    <n v="1999"/>
    <s v="OK"/>
    <n v="1"/>
    <s v="OK"/>
    <n v="14"/>
    <s v="OK"/>
    <n v="29"/>
    <s v="Nov-2024"/>
    <s v="2024-47"/>
    <s v="Prepaid"/>
  </r>
  <r>
    <s v="UT-100197"/>
    <d v="2024-11-21T00:00:00"/>
    <s v="CUST_10196"/>
    <x v="0"/>
    <s v="DRS-GLM-M"/>
    <x v="2"/>
    <s v="Glamour Dress"/>
    <n v="3499"/>
    <n v="1"/>
    <n v="3499"/>
    <d v="2026-11-15T00:00:00"/>
    <n v="15"/>
    <s v="COD"/>
    <x v="1"/>
    <s v="Vadodara"/>
    <s v="Gujarat"/>
    <s v="Mumbai"/>
    <d v="2024-12-07T00:00:00"/>
    <s v="Delivered"/>
    <s v="Yes"/>
    <x v="4"/>
    <d v="2025-01-05T00:00:00"/>
    <s v="Processed"/>
    <s v="OK"/>
    <b v="0"/>
    <s v="Discount_Not_Applied"/>
    <n v="2974.15"/>
    <s v="Mismatch"/>
    <n v="1"/>
    <s v="OK"/>
    <n v="16"/>
    <s v="OK"/>
    <n v="29"/>
    <s v="Nov-2024"/>
    <s v="2024-47"/>
    <s v="COD"/>
  </r>
  <r>
    <s v="UT-100198"/>
    <d v="2024-11-21T00:00:00"/>
    <s v="CUST_10197"/>
    <x v="1"/>
    <s v="BOT-LME-L"/>
    <x v="0"/>
    <s v="Lame Pants"/>
    <n v="2599"/>
    <n v="1"/>
    <n v="2599"/>
    <m/>
    <n v="0"/>
    <s v="Credit Card"/>
    <x v="2"/>
    <s v="Rajkot"/>
    <s v="Gujarat"/>
    <s v="Mumbai"/>
    <d v="2024-12-05T00:00:00"/>
    <s v="Delivered"/>
    <s v="No"/>
    <x v="0"/>
    <m/>
    <s v="Not Applicable"/>
    <s v="OK"/>
    <b v="0"/>
    <s v="No_Discount"/>
    <n v="2599"/>
    <s v="OK"/>
    <n v="1"/>
    <s v="OK"/>
    <n v="14"/>
    <s v="OK"/>
    <n v="0"/>
    <s v="Nov-2024"/>
    <s v="2024-47"/>
    <s v="Prepaid"/>
  </r>
  <r>
    <s v="UT-100199"/>
    <d v="2024-11-22T00:00:00"/>
    <s v="CUST_10198"/>
    <x v="0"/>
    <s v="OUT-SPK-M"/>
    <x v="3"/>
    <s v="Sparkle Jacket"/>
    <n v="5499"/>
    <n v="1"/>
    <n v="5499"/>
    <m/>
    <n v="0"/>
    <s v="Wallet"/>
    <x v="0"/>
    <s v="Kanpur"/>
    <s v="Uttar Pradesh"/>
    <s v="Delhi"/>
    <d v="2024-12-08T00:00:00"/>
    <s v="Delivered"/>
    <s v="Yes"/>
    <x v="3"/>
    <d v="2025-01-06T00:00:00"/>
    <s v="Processed"/>
    <s v="OK"/>
    <b v="0"/>
    <s v="No_Discount"/>
    <n v="5499"/>
    <s v="OK"/>
    <n v="1"/>
    <s v="OK"/>
    <n v="16"/>
    <s v="OK"/>
    <n v="29"/>
    <s v="Nov-2024"/>
    <s v="2024-47"/>
    <s v="Prepaid"/>
  </r>
  <r>
    <s v="UT-100200"/>
    <d v="2024-11-22T00:00:00"/>
    <s v="CUST_10199"/>
    <x v="0"/>
    <s v="ACC-CRY-OS"/>
    <x v="4"/>
    <s v="Crystal Bracelet"/>
    <n v="999"/>
    <n v="1"/>
    <n v="999"/>
    <m/>
    <n v="0"/>
    <s v="Debit Card"/>
    <x v="1"/>
    <s v="Mumbai"/>
    <s v="Maharashtra"/>
    <s v="Mumbai"/>
    <d v="2024-12-06T00:00:00"/>
    <s v="Delivered"/>
    <s v="No"/>
    <x v="0"/>
    <m/>
    <s v="Not Applicable"/>
    <s v="OK"/>
    <b v="0"/>
    <s v="No_Discount"/>
    <n v="999"/>
    <s v="OK"/>
    <n v="1"/>
    <s v="OK"/>
    <n v="14"/>
    <s v="OK"/>
    <n v="0"/>
    <s v="Nov-2024"/>
    <s v="2024-47"/>
    <s v="Prepaid"/>
  </r>
  <r>
    <s v="UT-100201"/>
    <d v="2024-11-22T00:00:00"/>
    <s v="CUST_10200"/>
    <x v="0"/>
    <s v="TOP-SHR-L"/>
    <x v="1"/>
    <s v="Sheer Top"/>
    <n v="1699"/>
    <n v="1"/>
    <n v="1699"/>
    <d v="2026-11-15T00:00:00"/>
    <n v="15"/>
    <s v="UPI"/>
    <x v="2"/>
    <s v="Delhi"/>
    <s v="Delhi"/>
    <s v="Delhi"/>
    <d v="2024-12-07T00:00:00"/>
    <s v="Delivered"/>
    <s v="Yes"/>
    <x v="5"/>
    <d v="2025-01-05T00:00:00"/>
    <s v="Processed"/>
    <s v="OK"/>
    <b v="0"/>
    <s v="Discount_Not_Applied"/>
    <n v="1444.1499999999999"/>
    <s v="Mismatch"/>
    <n v="1"/>
    <s v="OK"/>
    <n v="15"/>
    <s v="OK"/>
    <n v="29"/>
    <s v="Nov-2024"/>
    <s v="2024-47"/>
    <s v="Prepaid"/>
  </r>
  <r>
    <s v="UT-100202"/>
    <d v="2024-11-23T00:00:00"/>
    <s v="CUST_10201"/>
    <x v="0"/>
    <s v="DRS-CHF-S"/>
    <x v="2"/>
    <s v="Chiffon Dress"/>
    <n v="2799"/>
    <n v="1"/>
    <n v="2799"/>
    <m/>
    <n v="0"/>
    <s v="Credit Card"/>
    <x v="0"/>
    <s v="Kolkata"/>
    <s v="West Bengal"/>
    <s v="Delhi"/>
    <d v="2024-12-09T00:00:00"/>
    <s v="Delivered"/>
    <s v="No"/>
    <x v="0"/>
    <m/>
    <s v="Not Applicable"/>
    <s v="OK"/>
    <b v="0"/>
    <s v="No_Discount"/>
    <n v="2799"/>
    <s v="OK"/>
    <n v="1"/>
    <s v="OK"/>
    <n v="16"/>
    <s v="OK"/>
    <n v="0"/>
    <s v="Nov-2024"/>
    <s v="2024-47"/>
    <s v="Prepaid"/>
  </r>
  <r>
    <s v="UT-100203"/>
    <d v="2024-11-23T00:00:00"/>
    <s v="CUST_10202"/>
    <x v="1"/>
    <s v="BOT-ORG-M"/>
    <x v="0"/>
    <s v="Organza Pants"/>
    <n v="2399"/>
    <n v="1"/>
    <n v="2399"/>
    <m/>
    <n v="0"/>
    <s v="COD"/>
    <x v="1"/>
    <s v="Chennai"/>
    <s v="Tamil Nadu"/>
    <s v="Bangalore"/>
    <d v="2024-12-07T00:00:00"/>
    <s v="Delivered"/>
    <s v="Yes"/>
    <x v="2"/>
    <d v="2025-01-04T00:00:00"/>
    <s v="Processed"/>
    <s v="OK"/>
    <b v="0"/>
    <s v="No_Discount"/>
    <n v="2399"/>
    <s v="OK"/>
    <n v="1"/>
    <s v="OK"/>
    <n v="14"/>
    <s v="OK"/>
    <n v="28"/>
    <s v="Nov-2024"/>
    <s v="2024-47"/>
    <s v="COD"/>
  </r>
  <r>
    <s v="UT-100204"/>
    <d v="2024-11-23T00:00:00"/>
    <s v="CUST_10203"/>
    <x v="0"/>
    <s v="OUT-MET-L"/>
    <x v="3"/>
    <s v="Metallic Coat"/>
    <n v="6799"/>
    <n v="1"/>
    <n v="6799"/>
    <m/>
    <n v="0"/>
    <s v="UPI"/>
    <x v="2"/>
    <s v="Hyderabad"/>
    <s v="Telangana"/>
    <s v="Bangalore"/>
    <d v="2024-12-10T00:00:00"/>
    <s v="Delivered"/>
    <s v="Yes"/>
    <x v="1"/>
    <d v="2025-01-08T00:00:00"/>
    <s v="Processed"/>
    <s v="OK"/>
    <b v="0"/>
    <s v="No_Discount"/>
    <n v="6799"/>
    <s v="OK"/>
    <n v="1"/>
    <s v="OK"/>
    <n v="17"/>
    <s v="OK"/>
    <n v="29"/>
    <s v="Nov-2024"/>
    <s v="2024-47"/>
    <s v="Prepaid"/>
  </r>
  <r>
    <s v="UT-100205"/>
    <d v="2024-11-24T00:00:00"/>
    <s v="CUST_10204"/>
    <x v="0"/>
    <s v="ACC-DMD-OS"/>
    <x v="4"/>
    <s v="Diamond Studs"/>
    <n v="1499"/>
    <n v="1"/>
    <n v="1499"/>
    <d v="2026-11-15T00:00:00"/>
    <n v="15"/>
    <s v="Wallet"/>
    <x v="0"/>
    <s v="Pune"/>
    <s v="Maharashtra"/>
    <s v="Mumbai"/>
    <d v="2024-12-08T00:00:00"/>
    <s v="Delivered"/>
    <s v="No"/>
    <x v="0"/>
    <m/>
    <s v="Not Applicable"/>
    <s v="OK"/>
    <b v="0"/>
    <s v="Discount_Not_Applied"/>
    <n v="1274.1499999999999"/>
    <s v="Mismatch"/>
    <n v="1"/>
    <s v="OK"/>
    <n v="14"/>
    <s v="OK"/>
    <n v="0"/>
    <s v="Nov-2024"/>
    <s v="2024-48"/>
    <s v="Prepaid"/>
  </r>
  <r>
    <s v="UT-100206"/>
    <d v="2024-11-24T00:00:00"/>
    <s v="CUST_10205"/>
    <x v="0"/>
    <s v="TOP-BDS-M"/>
    <x v="1"/>
    <s v="Beaded Top"/>
    <n v="2299"/>
    <n v="1"/>
    <n v="2299"/>
    <m/>
    <n v="0"/>
    <s v="Debit Card"/>
    <x v="1"/>
    <s v="Ahmedabad"/>
    <s v="Gujarat"/>
    <s v="Mumbai"/>
    <d v="2024-12-09T00:00:00"/>
    <s v="Delivered"/>
    <s v="Yes"/>
    <x v="4"/>
    <d v="2025-01-07T00:00:00"/>
    <s v="Processed"/>
    <s v="OK"/>
    <b v="0"/>
    <s v="No_Discount"/>
    <n v="2299"/>
    <s v="OK"/>
    <n v="1"/>
    <s v="OK"/>
    <n v="15"/>
    <s v="OK"/>
    <n v="29"/>
    <s v="Nov-2024"/>
    <s v="2024-48"/>
    <s v="Prepaid"/>
  </r>
  <r>
    <s v="UT-100207"/>
    <d v="2024-11-24T00:00:00"/>
    <s v="CUST_10206"/>
    <x v="0"/>
    <s v="DRS-SPL-L"/>
    <x v="2"/>
    <s v="Sparkle Gown"/>
    <n v="4999"/>
    <n v="1"/>
    <n v="4999"/>
    <m/>
    <n v="0"/>
    <s v="Credit Card"/>
    <x v="2"/>
    <s v="Jaipur"/>
    <s v="Rajasthan"/>
    <s v="Delhi"/>
    <d v="2024-12-11T00:00:00"/>
    <s v="Delivered"/>
    <s v="No"/>
    <x v="0"/>
    <m/>
    <s v="Not Applicable"/>
    <s v="OK"/>
    <b v="0"/>
    <s v="No_Discount"/>
    <n v="4999"/>
    <s v="OK"/>
    <n v="1"/>
    <s v="OK"/>
    <n v="17"/>
    <s v="OK"/>
    <n v="0"/>
    <s v="Nov-2024"/>
    <s v="2024-48"/>
    <s v="Prepaid"/>
  </r>
  <r>
    <s v="UT-100208"/>
    <d v="2024-11-25T00:00:00"/>
    <s v="CUST_10207"/>
    <x v="1"/>
    <s v="BOT-EMB-S"/>
    <x v="0"/>
    <s v="Embroidered Pants"/>
    <n v="2099"/>
    <n v="1"/>
    <n v="2099"/>
    <m/>
    <n v="0"/>
    <s v="UPI"/>
    <x v="0"/>
    <s v="Lucknow"/>
    <s v="Uttar Pradesh"/>
    <s v="Delhi"/>
    <d v="2024-12-09T00:00:00"/>
    <s v="Delivered"/>
    <s v="Yes"/>
    <x v="3"/>
    <d v="2025-01-06T00:00:00"/>
    <s v="Processed"/>
    <s v="OK"/>
    <b v="0"/>
    <s v="No_Discount"/>
    <n v="2099"/>
    <s v="OK"/>
    <n v="1"/>
    <s v="OK"/>
    <n v="14"/>
    <s v="OK"/>
    <n v="28"/>
    <s v="Nov-2024"/>
    <s v="2024-48"/>
    <s v="Prepaid"/>
  </r>
  <r>
    <s v="UT-100209"/>
    <d v="2024-11-25T00:00:00"/>
    <s v="CUST_10208"/>
    <x v="0"/>
    <s v="OUT-NYE-M"/>
    <x v="3"/>
    <s v="NYE Jacket"/>
    <n v="5799"/>
    <n v="1"/>
    <n v="5799"/>
    <d v="2026-11-15T00:00:00"/>
    <n v="15"/>
    <s v="COD"/>
    <x v="1"/>
    <s v="Bangalore"/>
    <s v="Karnataka"/>
    <s v="Bangalore"/>
    <d v="2024-12-12T00:00:00"/>
    <s v="Delivered"/>
    <s v="Yes"/>
    <x v="1"/>
    <d v="2025-01-10T00:00:00"/>
    <s v="Processed"/>
    <s v="OK"/>
    <b v="0"/>
    <s v="Discount_Not_Applied"/>
    <n v="4929.1499999999996"/>
    <s v="Mismatch"/>
    <n v="1"/>
    <s v="OK"/>
    <n v="17"/>
    <s v="OK"/>
    <n v="29"/>
    <s v="Nov-2024"/>
    <s v="2024-48"/>
    <s v="COD"/>
  </r>
  <r>
    <s v="UT-100210"/>
    <d v="2024-11-25T00:00:00"/>
    <s v="CUST_10209"/>
    <x v="0"/>
    <s v="ACC-GLD-OS"/>
    <x v="4"/>
    <s v="Gold Cuff"/>
    <n v="1199"/>
    <n v="1"/>
    <n v="1199"/>
    <m/>
    <n v="0"/>
    <s v="Credit Card"/>
    <x v="2"/>
    <s v="Mumbai"/>
    <s v="Maharashtra"/>
    <s v="Mumbai"/>
    <d v="2024-12-10T00:00:00"/>
    <s v="Delivered"/>
    <s v="No"/>
    <x v="0"/>
    <m/>
    <s v="Not Applicable"/>
    <s v="OK"/>
    <b v="0"/>
    <s v="No_Discount"/>
    <n v="1199"/>
    <s v="OK"/>
    <n v="1"/>
    <s v="OK"/>
    <n v="15"/>
    <s v="OK"/>
    <n v="0"/>
    <s v="Nov-2024"/>
    <s v="2024-48"/>
    <s v="Prepaid"/>
  </r>
  <r>
    <s v="UT-100211"/>
    <d v="2024-11-26T00:00:00"/>
    <s v="CUST_10210"/>
    <x v="0"/>
    <s v="TOP-FTR-S"/>
    <x v="1"/>
    <s v="Feather Top"/>
    <n v="1899"/>
    <n v="1"/>
    <n v="1899"/>
    <m/>
    <n v="0"/>
    <s v="Wallet"/>
    <x v="0"/>
    <s v="Delhi"/>
    <s v="Delhi"/>
    <s v="Delhi"/>
    <d v="2024-12-11T00:00:00"/>
    <s v="Delivered"/>
    <s v="Yes"/>
    <x v="5"/>
    <d v="2025-01-08T00:00:00"/>
    <s v="Processed"/>
    <s v="OK"/>
    <b v="0"/>
    <s v="No_Discount"/>
    <n v="1899"/>
    <s v="OK"/>
    <n v="1"/>
    <s v="OK"/>
    <n v="15"/>
    <s v="OK"/>
    <n v="28"/>
    <s v="Nov-2024"/>
    <s v="2024-48"/>
    <s v="Prepaid"/>
  </r>
  <r>
    <s v="UT-100212"/>
    <d v="2024-11-26T00:00:00"/>
    <s v="CUST_10211"/>
    <x v="0"/>
    <s v="DRS-CCK-M"/>
    <x v="2"/>
    <s v="Cocktail Dress"/>
    <n v="3699"/>
    <n v="1"/>
    <n v="3699"/>
    <m/>
    <n v="0"/>
    <s v="Debit Card"/>
    <x v="1"/>
    <s v="Chandigarh"/>
    <s v="Punjab"/>
    <s v="Delhi"/>
    <d v="2024-12-13T00:00:00"/>
    <s v="Delivered"/>
    <s v="No"/>
    <x v="0"/>
    <m/>
    <s v="Not Applicable"/>
    <s v="OK"/>
    <b v="0"/>
    <s v="No_Discount"/>
    <n v="3699"/>
    <s v="OK"/>
    <n v="1"/>
    <s v="OK"/>
    <n v="17"/>
    <s v="OK"/>
    <n v="0"/>
    <s v="Nov-2024"/>
    <s v="2024-48"/>
    <s v="Prepaid"/>
  </r>
  <r>
    <s v="UT-100213"/>
    <d v="2024-11-26T00:00:00"/>
    <s v="CUST_10212"/>
    <x v="1"/>
    <s v="BOT-SQN-L"/>
    <x v="0"/>
    <s v="Sequin Skirt"/>
    <n v="2699"/>
    <n v="1"/>
    <n v="2699"/>
    <d v="2026-11-15T00:00:00"/>
    <n v="15"/>
    <s v="UPI"/>
    <x v="2"/>
    <s v="Noida"/>
    <s v="Uttar Pradesh"/>
    <s v="Delhi"/>
    <d v="2024-12-11T00:00:00"/>
    <s v="Delivered"/>
    <s v="Yes"/>
    <x v="2"/>
    <d v="2025-01-09T00:00:00"/>
    <s v="Processed"/>
    <s v="OK"/>
    <b v="0"/>
    <s v="Discount_Not_Applied"/>
    <n v="2294.15"/>
    <s v="Mismatch"/>
    <n v="1"/>
    <s v="OK"/>
    <n v="15"/>
    <s v="OK"/>
    <n v="29"/>
    <s v="Nov-2024"/>
    <s v="2024-48"/>
    <s v="Prepaid"/>
  </r>
  <r>
    <s v="UT-100214"/>
    <d v="2024-11-27T00:00:00"/>
    <s v="CUST_10213"/>
    <x v="0"/>
    <s v="OUT-PRT-M"/>
    <x v="3"/>
    <s v="Party Jacket"/>
    <n v="4999"/>
    <n v="1"/>
    <n v="4999"/>
    <m/>
    <n v="0"/>
    <s v="Credit Card"/>
    <x v="0"/>
    <s v="Gurgaon"/>
    <s v="Haryana"/>
    <s v="Delhi"/>
    <d v="2024-12-14T00:00:00"/>
    <s v="Delivered"/>
    <s v="Yes"/>
    <x v="1"/>
    <d v="2025-01-12T00:00:00"/>
    <s v="Processed"/>
    <s v="OK"/>
    <b v="0"/>
    <s v="No_Discount"/>
    <n v="4999"/>
    <s v="OK"/>
    <n v="1"/>
    <s v="OK"/>
    <n v="17"/>
    <s v="OK"/>
    <n v="29"/>
    <s v="Nov-2024"/>
    <s v="2024-48"/>
    <s v="Prepaid"/>
  </r>
  <r>
    <s v="UT-100215"/>
    <d v="2024-11-27T00:00:00"/>
    <s v="CUST_10214"/>
    <x v="0"/>
    <s v="ACC-SLV-OS"/>
    <x v="4"/>
    <s v="Silver Bangle"/>
    <n v="899"/>
    <n v="2"/>
    <n v="1798"/>
    <m/>
    <n v="0"/>
    <s v="COD"/>
    <x v="1"/>
    <s v="Indore"/>
    <s v="Madhya Pradesh"/>
    <s v="Mumbai"/>
    <d v="2024-12-12T00:00:00"/>
    <s v="Delivered"/>
    <s v="No"/>
    <x v="0"/>
    <m/>
    <s v="Not Applicable"/>
    <s v="OK"/>
    <b v="0"/>
    <s v="No_Discount"/>
    <n v="1798"/>
    <s v="OK"/>
    <n v="1"/>
    <s v="OK"/>
    <n v="15"/>
    <s v="OK"/>
    <n v="0"/>
    <s v="Nov-2024"/>
    <s v="2024-48"/>
    <s v="COD"/>
  </r>
  <r>
    <s v="UT-100216"/>
    <d v="2024-11-27T00:00:00"/>
    <s v="CUST_10215"/>
    <x v="0"/>
    <s v="TOP-GLT-L"/>
    <x v="1"/>
    <s v="Glitter Tank"/>
    <n v="1599"/>
    <n v="1"/>
    <n v="1599"/>
    <m/>
    <n v="0"/>
    <s v="UPI"/>
    <x v="2"/>
    <s v="Surat"/>
    <s v="Gujarat"/>
    <s v="Mumbai"/>
    <d v="2024-12-13T00:00:00"/>
    <s v="Delivered"/>
    <s v="Yes"/>
    <x v="4"/>
    <d v="2025-01-10T00:00:00"/>
    <s v="Processed"/>
    <s v="OK"/>
    <b v="0"/>
    <s v="No_Discount"/>
    <n v="1599"/>
    <s v="OK"/>
    <n v="1"/>
    <s v="OK"/>
    <n v="16"/>
    <s v="OK"/>
    <n v="28"/>
    <s v="Nov-2024"/>
    <s v="2024-48"/>
    <s v="Prepaid"/>
  </r>
  <r>
    <s v="UT-100217"/>
    <d v="2024-11-28T00:00:00"/>
    <s v="CUST_10216"/>
    <x v="0"/>
    <s v="DRS-STR-S"/>
    <x v="2"/>
    <s v="Star Print Dress"/>
    <n v="2599"/>
    <n v="1"/>
    <n v="2599"/>
    <d v="2026-11-15T00:00:00"/>
    <n v="15"/>
    <s v="Wallet"/>
    <x v="0"/>
    <s v="Patna"/>
    <s v="Bihar"/>
    <s v="Delhi"/>
    <d v="2024-12-15T00:00:00"/>
    <s v="Delivered"/>
    <s v="No"/>
    <x v="0"/>
    <m/>
    <s v="Not Applicable"/>
    <s v="OK"/>
    <b v="0"/>
    <s v="Discount_Not_Applied"/>
    <n v="2209.15"/>
    <s v="Mismatch"/>
    <n v="1"/>
    <s v="OK"/>
    <n v="17"/>
    <s v="OK"/>
    <n v="0"/>
    <s v="Nov-2024"/>
    <s v="2024-48"/>
    <s v="Prepaid"/>
  </r>
  <r>
    <s v="UT-100218"/>
    <d v="2024-11-28T00:00:00"/>
    <s v="CUST_10217"/>
    <x v="1"/>
    <s v="BOT-MTL-M"/>
    <x v="0"/>
    <s v="Metallic Pants"/>
    <n v="2399"/>
    <n v="1"/>
    <n v="2399"/>
    <m/>
    <n v="0"/>
    <s v="Debit Card"/>
    <x v="1"/>
    <s v="Bhopal"/>
    <s v="Madhya Pradesh"/>
    <s v="Mumbai"/>
    <d v="2024-12-13T00:00:00"/>
    <s v="Delivered"/>
    <s v="Yes"/>
    <x v="3"/>
    <d v="2025-01-11T00:00:00"/>
    <s v="Processed"/>
    <s v="OK"/>
    <b v="0"/>
    <s v="No_Discount"/>
    <n v="2399"/>
    <s v="OK"/>
    <n v="1"/>
    <s v="OK"/>
    <n v="15"/>
    <s v="OK"/>
    <n v="29"/>
    <s v="Nov-2024"/>
    <s v="2024-48"/>
    <s v="Prepaid"/>
  </r>
  <r>
    <s v="UT-100219"/>
    <d v="2024-11-28T00:00:00"/>
    <s v="CUST_10218"/>
    <x v="0"/>
    <s v="OUT-FRM-L"/>
    <x v="3"/>
    <s v="Formal Coat"/>
    <n v="6499"/>
    <n v="1"/>
    <n v="6499"/>
    <m/>
    <n v="0"/>
    <s v="Credit Card"/>
    <x v="2"/>
    <s v="Nagpur"/>
    <s v="Maharashtra"/>
    <s v="Mumbai"/>
    <d v="2024-12-16T00:00:00"/>
    <s v="Delivered"/>
    <s v="Yes"/>
    <x v="1"/>
    <d v="2025-01-14T00:00:00"/>
    <s v="Processed"/>
    <s v="OK"/>
    <b v="0"/>
    <s v="No_Discount"/>
    <n v="6499"/>
    <s v="OK"/>
    <n v="1"/>
    <s v="OK"/>
    <n v="18"/>
    <s v="OK"/>
    <n v="29"/>
    <s v="Nov-2024"/>
    <s v="2024-48"/>
    <s v="Prepaid"/>
  </r>
  <r>
    <s v="UT-100220"/>
    <d v="2024-11-29T00:00:00"/>
    <s v="CUST_10219"/>
    <x v="0"/>
    <s v="ACC-RBN-OS"/>
    <x v="4"/>
    <s v="Ribbon Choker"/>
    <n v="499"/>
    <n v="2"/>
    <n v="998"/>
    <m/>
    <n v="0"/>
    <s v="UPI"/>
    <x v="0"/>
    <s v="Coimbatore"/>
    <s v="Tamil Nadu"/>
    <s v="Bangalore"/>
    <d v="2024-12-14T00:00:00"/>
    <s v="Delivered"/>
    <s v="No"/>
    <x v="0"/>
    <m/>
    <s v="Not Applicable"/>
    <s v="OK"/>
    <b v="0"/>
    <s v="No_Discount"/>
    <n v="998"/>
    <s v="OK"/>
    <n v="1"/>
    <s v="OK"/>
    <n v="15"/>
    <s v="OK"/>
    <n v="0"/>
    <s v="Nov-2024"/>
    <s v="2024-48"/>
    <s v="Prepaid"/>
  </r>
  <r>
    <s v="UT-100221"/>
    <d v="2024-11-29T00:00:00"/>
    <s v="CUST_10220"/>
    <x v="0"/>
    <s v="TOP-VNY-M"/>
    <x v="1"/>
    <s v="Vinyl Top"/>
    <n v="1999"/>
    <n v="1"/>
    <n v="1999"/>
    <m/>
    <n v="0"/>
    <s v="COD"/>
    <x v="1"/>
    <s v="Kochi"/>
    <s v="Kerala"/>
    <s v="Bangalore"/>
    <m/>
    <s v="RTO"/>
    <s v="No"/>
    <x v="0"/>
    <m/>
    <s v="Not Applicable"/>
    <s v="OK"/>
    <b v="0"/>
    <s v="No_Discount"/>
    <n v="1999"/>
    <s v="OK"/>
    <n v="1"/>
    <s v="OK"/>
    <n v="-45625"/>
    <s v="Invalid_delivery_time"/>
    <n v="0"/>
    <s v="Nov-2024"/>
    <s v="2024-48"/>
    <s v="COD"/>
  </r>
  <r>
    <s v="UT-100222"/>
    <d v="2024-11-29T00:00:00"/>
    <s v="CUST_10221"/>
    <x v="0"/>
    <s v="DRS-NYE-L"/>
    <x v="2"/>
    <s v="New Year Gown"/>
    <n v="5499"/>
    <n v="1"/>
    <n v="5499"/>
    <d v="2026-11-15T00:00:00"/>
    <n v="15"/>
    <s v="Credit Card"/>
    <x v="2"/>
    <s v="Vizag"/>
    <s v="Andhra Pradesh"/>
    <s v="Bangalore"/>
    <d v="2024-12-17T00:00:00"/>
    <s v="Delivered"/>
    <s v="Yes"/>
    <x v="2"/>
    <d v="2025-01-15T00:00:00"/>
    <s v="Processed"/>
    <s v="OK"/>
    <b v="0"/>
    <s v="Discount_Not_Applied"/>
    <n v="4674.1499999999996"/>
    <s v="Mismatch"/>
    <n v="1"/>
    <s v="OK"/>
    <n v="18"/>
    <s v="OK"/>
    <n v="29"/>
    <s v="Nov-2024"/>
    <s v="2024-48"/>
    <s v="Prepaid"/>
  </r>
  <r>
    <s v="UT-100223"/>
    <d v="2024-11-30T00:00:00"/>
    <s v="CUST_10222"/>
    <x v="1"/>
    <s v="BOT-LTX-S"/>
    <x v="0"/>
    <s v="Latex Pants"/>
    <n v="2799"/>
    <n v="1"/>
    <n v="2799"/>
    <m/>
    <n v="0"/>
    <s v="Wallet"/>
    <x v="0"/>
    <s v="Thiruvananthapuram"/>
    <s v="Kerala"/>
    <s v="Bangalore"/>
    <d v="2024-12-15T00:00:00"/>
    <s v="Delivered"/>
    <s v="No"/>
    <x v="0"/>
    <m/>
    <s v="Not Applicable"/>
    <s v="OK"/>
    <b v="0"/>
    <s v="No_Discount"/>
    <n v="2799"/>
    <s v="OK"/>
    <n v="1"/>
    <s v="OK"/>
    <n v="15"/>
    <s v="OK"/>
    <n v="0"/>
    <s v="Nov-2024"/>
    <s v="2024-48"/>
    <s v="Prepaid"/>
  </r>
  <r>
    <s v="UT-100224"/>
    <d v="2024-11-30T00:00:00"/>
    <s v="CUST_10223"/>
    <x v="0"/>
    <s v="OUT-GLM-M"/>
    <x v="3"/>
    <s v="Glam Jacket"/>
    <n v="5299"/>
    <n v="1"/>
    <n v="5299"/>
    <m/>
    <n v="0"/>
    <s v="Debit Card"/>
    <x v="1"/>
    <s v="Mysore"/>
    <s v="Karnataka"/>
    <s v="Bangalore"/>
    <d v="2024-12-18T00:00:00"/>
    <s v="Delivered"/>
    <s v="Yes"/>
    <x v="5"/>
    <d v="2025-01-16T00:00:00"/>
    <s v="Processed"/>
    <s v="OK"/>
    <b v="0"/>
    <s v="No_Discount"/>
    <n v="5299"/>
    <s v="OK"/>
    <n v="1"/>
    <s v="OK"/>
    <n v="18"/>
    <s v="OK"/>
    <n v="29"/>
    <s v="Nov-2024"/>
    <s v="2024-48"/>
    <s v="Prepaid"/>
  </r>
  <r>
    <s v="UT-100225"/>
    <d v="2024-11-30T00:00:00"/>
    <s v="CUST_10224"/>
    <x v="0"/>
    <s v="ACC-GEM-OS"/>
    <x v="4"/>
    <s v="Gemstone Ring"/>
    <n v="1099"/>
    <n v="1"/>
    <n v="1099"/>
    <m/>
    <n v="0"/>
    <s v="UPI"/>
    <x v="2"/>
    <s v="Vadodara"/>
    <s v="Gujarat"/>
    <s v="Mumbai"/>
    <d v="2024-12-16T00:00:00"/>
    <s v="Delivered"/>
    <s v="Yes"/>
    <x v="1"/>
    <d v="2025-01-14T00:00:00"/>
    <s v="Processed"/>
    <s v="OK"/>
    <b v="0"/>
    <s v="No_Discount"/>
    <n v="1099"/>
    <s v="OK"/>
    <n v="1"/>
    <s v="OK"/>
    <n v="16"/>
    <s v="OK"/>
    <n v="29"/>
    <s v="Nov-2024"/>
    <s v="2024-48"/>
    <s v="Prepaid"/>
  </r>
  <r>
    <s v="UT-100226"/>
    <d v="2024-12-01T00:00:00"/>
    <s v="CUST_10225"/>
    <x v="0"/>
    <s v="TOP-HOD-L"/>
    <x v="1"/>
    <s v="Zip Hoodie"/>
    <n v="2499"/>
    <n v="1"/>
    <n v="2499"/>
    <d v="2026-12-20T00:00:00"/>
    <n v="20"/>
    <s v="Credit Card"/>
    <x v="0"/>
    <s v="Mumbai"/>
    <s v="Maharashtra"/>
    <s v="Mumbai"/>
    <d v="2024-12-06T00:00:00"/>
    <s v="Delivered"/>
    <s v="No"/>
    <x v="0"/>
    <m/>
    <s v="Not Applicable"/>
    <s v="OK"/>
    <b v="0"/>
    <s v="Discount_Not_Applied"/>
    <n v="1999.2"/>
    <s v="Mismatch"/>
    <n v="1"/>
    <s v="OK"/>
    <n v="5"/>
    <s v="OK"/>
    <n v="0"/>
    <s v="Dec-2024"/>
    <s v="2024-49"/>
    <s v="Prepaid"/>
  </r>
  <r>
    <s v="UT-100227"/>
    <d v="2024-12-01T00:00:00"/>
    <s v="CUST_10226"/>
    <x v="0"/>
    <s v="OUT-COT-M"/>
    <x v="3"/>
    <s v="Puffer Coat"/>
    <n v="6499"/>
    <n v="1"/>
    <n v="6499"/>
    <d v="2026-12-20T00:00:00"/>
    <n v="20"/>
    <s v="COD"/>
    <x v="1"/>
    <s v="Delhi"/>
    <s v="Delhi"/>
    <s v="Delhi"/>
    <d v="2024-12-08T00:00:00"/>
    <s v="Delivered"/>
    <s v="Yes"/>
    <x v="3"/>
    <d v="2024-12-28T00:00:00"/>
    <s v="Pending"/>
    <s v="OK"/>
    <b v="0"/>
    <s v="Discount_Not_Applied"/>
    <n v="5199.2000000000007"/>
    <s v="Mismatch"/>
    <n v="1"/>
    <s v="OK"/>
    <n v="7"/>
    <s v="OK"/>
    <n v="20"/>
    <s v="Dec-2024"/>
    <s v="2024-49"/>
    <s v="COD"/>
  </r>
  <r>
    <s v="UT-100228"/>
    <d v="2024-12-01T00:00:00"/>
    <s v="CUST_10227"/>
    <x v="1"/>
    <s v="ACC-MFL-OS"/>
    <x v="4"/>
    <s v="Cashmere Scarf"/>
    <n v="1499"/>
    <n v="1"/>
    <n v="1499"/>
    <m/>
    <n v="0"/>
    <s v="UPI"/>
    <x v="2"/>
    <s v="Chandigarh"/>
    <s v="Punjab"/>
    <s v="Delhi"/>
    <d v="2024-12-07T00:00:00"/>
    <s v="Delivered"/>
    <s v="No"/>
    <x v="0"/>
    <m/>
    <s v="Not Applicable"/>
    <s v="OK"/>
    <b v="0"/>
    <s v="No_Discount"/>
    <n v="1499"/>
    <s v="OK"/>
    <n v="1"/>
    <s v="OK"/>
    <n v="6"/>
    <s v="OK"/>
    <n v="0"/>
    <s v="Dec-2024"/>
    <s v="2024-49"/>
    <s v="Prepaid"/>
  </r>
  <r>
    <s v="UT-100229"/>
    <d v="2024-12-01T00:00:00"/>
    <s v="CUST_10228"/>
    <x v="0"/>
    <s v="DRS-PLT-M"/>
    <x v="2"/>
    <s v="Pleated Dress"/>
    <n v="2899"/>
    <n v="1"/>
    <n v="2899"/>
    <d v="2026-12-20T00:00:00"/>
    <n v="20"/>
    <s v="Debit Card"/>
    <x v="0"/>
    <s v="Amritsar"/>
    <s v="Punjab"/>
    <s v="Delhi"/>
    <d v="2024-12-09T00:00:00"/>
    <s v="Delivered"/>
    <s v="Yes"/>
    <x v="1"/>
    <d v="2024-12-30T00:00:00"/>
    <s v="Processed"/>
    <s v="OK"/>
    <b v="0"/>
    <s v="Discount_Not_Applied"/>
    <n v="2319.2000000000003"/>
    <s v="Mismatch"/>
    <n v="1"/>
    <s v="OK"/>
    <n v="8"/>
    <s v="OK"/>
    <n v="21"/>
    <s v="Dec-2024"/>
    <s v="2024-49"/>
    <s v="Prepaid"/>
  </r>
  <r>
    <s v="UT-100230"/>
    <d v="2024-12-02T00:00:00"/>
    <s v="CUST_10229"/>
    <x v="0"/>
    <s v="TOP-THR-L"/>
    <x v="1"/>
    <s v="Thermal Top"/>
    <n v="1599"/>
    <n v="2"/>
    <n v="3198"/>
    <m/>
    <n v="0"/>
    <s v="Credit Card"/>
    <x v="1"/>
    <s v="Shimla"/>
    <s v="Himachal Pradesh"/>
    <s v="Delhi"/>
    <d v="2024-12-09T00:00:00"/>
    <s v="Delivered"/>
    <s v="No"/>
    <x v="0"/>
    <m/>
    <s v="Not Applicable"/>
    <s v="OK"/>
    <b v="0"/>
    <s v="No_Discount"/>
    <n v="3198"/>
    <s v="OK"/>
    <n v="1"/>
    <s v="OK"/>
    <n v="7"/>
    <s v="OK"/>
    <n v="0"/>
    <s v="Dec-2024"/>
    <s v="2024-49"/>
    <s v="Prepaid"/>
  </r>
  <r>
    <s v="UT-100231"/>
    <d v="2024-12-02T00:00:00"/>
    <s v="CUST_10230"/>
    <x v="0"/>
    <s v="BOT-FLC-M"/>
    <x v="0"/>
    <s v="Fleece Joggers"/>
    <n v="1799"/>
    <n v="1"/>
    <n v="1799"/>
    <d v="2026-12-20T00:00:00"/>
    <n v="20"/>
    <s v="Wallet"/>
    <x v="2"/>
    <s v="Dehradun"/>
    <s v="Uttarakhand"/>
    <s v="Delhi"/>
    <d v="2024-12-10T00:00:00"/>
    <s v="Delivered"/>
    <s v="No"/>
    <x v="0"/>
    <m/>
    <s v="Not Applicable"/>
    <s v="OK"/>
    <b v="0"/>
    <s v="Discount_Not_Applied"/>
    <n v="1439.2"/>
    <s v="Mismatch"/>
    <n v="1"/>
    <s v="OK"/>
    <n v="8"/>
    <s v="OK"/>
    <n v="0"/>
    <s v="Dec-2024"/>
    <s v="2024-49"/>
    <s v="Prepaid"/>
  </r>
  <r>
    <s v="UT-100232"/>
    <d v="2024-12-02T00:00:00"/>
    <s v="CUST_10231"/>
    <x v="0"/>
    <s v="OUT-WND-L"/>
    <x v="3"/>
    <s v="Windbreaker"/>
    <n v="3299"/>
    <n v="1"/>
    <n v="3299"/>
    <m/>
    <n v="0"/>
    <s v="UPI"/>
    <x v="0"/>
    <s v="Srinagar"/>
    <s v="Jammu &amp; Kashmir"/>
    <s v="Delhi"/>
    <d v="2024-12-11T00:00:00"/>
    <s v="Delivered"/>
    <s v="Yes"/>
    <x v="4"/>
    <d v="2025-01-02T00:00:00"/>
    <s v="Pending"/>
    <s v="OK"/>
    <b v="0"/>
    <s v="No_Discount"/>
    <n v="3299"/>
    <s v="OK"/>
    <n v="1"/>
    <s v="OK"/>
    <n v="9"/>
    <s v="OK"/>
    <n v="22"/>
    <s v="Dec-2024"/>
    <s v="2024-49"/>
    <s v="Prepaid"/>
  </r>
  <r>
    <s v="UT-100233"/>
    <d v="2024-12-02T00:00:00"/>
    <s v="CUST_10232"/>
    <x v="1"/>
    <s v="ACC-BNE-OS"/>
    <x v="4"/>
    <s v="Beanie Cap"/>
    <n v="599"/>
    <n v="2"/>
    <n v="1198"/>
    <d v="2026-12-20T00:00:00"/>
    <n v="20"/>
    <s v="COD"/>
    <x v="1"/>
    <s v="Manali"/>
    <s v="Himachal Pradesh"/>
    <s v="Delhi"/>
    <d v="2024-12-10T00:00:00"/>
    <s v="Delivered"/>
    <s v="No"/>
    <x v="0"/>
    <m/>
    <s v="Not Applicable"/>
    <s v="OK"/>
    <b v="0"/>
    <s v="Discount_Not_Applied"/>
    <n v="958.40000000000009"/>
    <s v="Mismatch"/>
    <n v="1"/>
    <s v="OK"/>
    <n v="8"/>
    <s v="OK"/>
    <n v="0"/>
    <s v="Dec-2024"/>
    <s v="2024-49"/>
    <s v="COD"/>
  </r>
  <r>
    <s v="UT-100234"/>
    <d v="2024-12-03T00:00:00"/>
    <s v="CUST_10233"/>
    <x v="0"/>
    <s v="TOP-SWT-S"/>
    <x v="1"/>
    <s v="Cropped Sweater"/>
    <n v="2199"/>
    <n v="1"/>
    <n v="2199"/>
    <m/>
    <n v="0"/>
    <s v="Debit Card"/>
    <x v="2"/>
    <s v="Darjeeling"/>
    <s v="West Bengal"/>
    <s v="Delhi"/>
    <d v="2024-12-12T00:00:00"/>
    <s v="Delivered"/>
    <s v="Yes"/>
    <x v="1"/>
    <d v="2025-01-03T00:00:00"/>
    <s v="Processed"/>
    <s v="OK"/>
    <b v="0"/>
    <s v="No_Discount"/>
    <n v="2199"/>
    <s v="OK"/>
    <n v="1"/>
    <s v="OK"/>
    <n v="9"/>
    <s v="OK"/>
    <n v="22"/>
    <s v="Dec-2024"/>
    <s v="2024-49"/>
    <s v="Prepaid"/>
  </r>
  <r>
    <s v="UT-100235"/>
    <d v="2024-12-03T00:00:00"/>
    <s v="CUST_10234"/>
    <x v="0"/>
    <s v="DRS-WRM-M"/>
    <x v="2"/>
    <s v="Wrap Dress"/>
    <n v="2499"/>
    <n v="1"/>
    <n v="2499"/>
    <d v="2026-12-20T00:00:00"/>
    <n v="20"/>
    <s v="Credit Card"/>
    <x v="0"/>
    <s v="Gangtok"/>
    <s v="Sikkim"/>
    <s v="Delhi"/>
    <d v="2024-12-12T00:00:00"/>
    <s v="Delivered"/>
    <s v="No"/>
    <x v="0"/>
    <m/>
    <s v="Not Applicable"/>
    <s v="OK"/>
    <b v="0"/>
    <s v="Discount_Not_Applied"/>
    <n v="1999.2"/>
    <s v="Mismatch"/>
    <n v="1"/>
    <s v="OK"/>
    <n v="9"/>
    <s v="OK"/>
    <n v="0"/>
    <s v="Dec-2024"/>
    <s v="2024-49"/>
    <s v="Prepaid"/>
  </r>
  <r>
    <s v="UT-100236"/>
    <d v="2024-12-03T00:00:00"/>
    <s v="CUST_10235"/>
    <x v="0"/>
    <s v="BOT-WOL-L"/>
    <x v="0"/>
    <s v="Wool Trousers"/>
    <n v="2999"/>
    <n v="1"/>
    <n v="2999"/>
    <m/>
    <n v="0"/>
    <s v="UPI"/>
    <x v="1"/>
    <s v="Shillong"/>
    <s v="Meghalaya"/>
    <s v="Delhi"/>
    <d v="2024-12-14T00:00:00"/>
    <s v="Delivered"/>
    <s v="Yes"/>
    <x v="2"/>
    <d v="2025-01-05T00:00:00"/>
    <s v="Processed"/>
    <s v="OK"/>
    <b v="0"/>
    <s v="No_Discount"/>
    <n v="2999"/>
    <s v="OK"/>
    <n v="1"/>
    <s v="OK"/>
    <n v="11"/>
    <s v="OK"/>
    <n v="22"/>
    <s v="Dec-2024"/>
    <s v="2024-49"/>
    <s v="Prepaid"/>
  </r>
  <r>
    <s v="UT-100237"/>
    <d v="2024-12-03T00:00:00"/>
    <s v="CUST_10236"/>
    <x v="0"/>
    <s v="OUT-DWN-M"/>
    <x v="3"/>
    <s v="Down Jacket"/>
    <n v="7999"/>
    <n v="1"/>
    <n v="7999"/>
    <d v="2026-12-20T00:00:00"/>
    <n v="20"/>
    <s v="Wallet"/>
    <x v="2"/>
    <s v="Leh"/>
    <s v="Ladakh"/>
    <s v="Delhi"/>
    <d v="2024-12-14T00:00:00"/>
    <s v="Delivered"/>
    <s v="No"/>
    <x v="0"/>
    <m/>
    <s v="Not Applicable"/>
    <s v="OK"/>
    <b v="0"/>
    <s v="Discount_Not_Applied"/>
    <n v="6399.2000000000007"/>
    <s v="Mismatch"/>
    <n v="1"/>
    <s v="OK"/>
    <n v="11"/>
    <s v="OK"/>
    <n v="0"/>
    <s v="Dec-2024"/>
    <s v="2024-49"/>
    <s v="Prepaid"/>
  </r>
  <r>
    <s v="UT-100238"/>
    <d v="2024-12-04T00:00:00"/>
    <s v="CUST_10237"/>
    <x v="1"/>
    <s v="TOP-VLV-S"/>
    <x v="1"/>
    <s v="Velvet Top"/>
    <n v="1999"/>
    <n v="1"/>
    <n v="1999"/>
    <m/>
    <n v="0"/>
    <s v="Credit Card"/>
    <x v="0"/>
    <s v="Ooty"/>
    <s v="Tamil Nadu"/>
    <s v="Bangalore"/>
    <d v="2024-12-13T00:00:00"/>
    <s v="Delivered"/>
    <s v="No"/>
    <x v="0"/>
    <m/>
    <s v="Not Applicable"/>
    <s v="OK"/>
    <b v="0"/>
    <s v="No_Discount"/>
    <n v="1999"/>
    <s v="OK"/>
    <n v="1"/>
    <s v="OK"/>
    <n v="9"/>
    <s v="OK"/>
    <n v="0"/>
    <s v="Dec-2024"/>
    <s v="2024-49"/>
    <s v="Prepaid"/>
  </r>
  <r>
    <s v="UT-100239"/>
    <d v="2024-12-04T00:00:00"/>
    <s v="CUST_10238"/>
    <x v="0"/>
    <s v="ACC-ERM-OS"/>
    <x v="4"/>
    <s v="Ear Muffs"/>
    <n v="499"/>
    <n v="2"/>
    <n v="998"/>
    <d v="2026-12-20T00:00:00"/>
    <n v="20"/>
    <s v="COD"/>
    <x v="1"/>
    <s v="Munnar"/>
    <s v="Kerala"/>
    <s v="Bangalore"/>
    <d v="2024-12-13T00:00:00"/>
    <s v="Delivered"/>
    <s v="No"/>
    <x v="0"/>
    <m/>
    <s v="Not Applicable"/>
    <s v="OK"/>
    <b v="0"/>
    <s v="Discount_Not_Applied"/>
    <n v="798.40000000000009"/>
    <s v="Mismatch"/>
    <n v="1"/>
    <s v="OK"/>
    <n v="9"/>
    <s v="OK"/>
    <n v="0"/>
    <s v="Dec-2024"/>
    <s v="2024-49"/>
    <s v="COD"/>
  </r>
  <r>
    <s v="UT-100240"/>
    <d v="2024-12-04T00:00:00"/>
    <s v="CUST_10239"/>
    <x v="0"/>
    <s v="DRS-NYE-S"/>
    <x v="2"/>
    <s v="Sequin Party Dress"/>
    <n v="4999"/>
    <n v="1"/>
    <n v="4999"/>
    <m/>
    <n v="0"/>
    <s v="Debit Card"/>
    <x v="2"/>
    <s v="Goa"/>
    <s v="Goa"/>
    <s v="Mumbai"/>
    <d v="2024-12-14T00:00:00"/>
    <s v="Delivered"/>
    <s v="Yes"/>
    <x v="1"/>
    <d v="2025-01-06T00:00:00"/>
    <s v="Processed"/>
    <s v="OK"/>
    <b v="0"/>
    <s v="No_Discount"/>
    <n v="4999"/>
    <s v="OK"/>
    <n v="1"/>
    <s v="OK"/>
    <n v="10"/>
    <s v="OK"/>
    <n v="23"/>
    <s v="Dec-2024"/>
    <s v="2024-49"/>
    <s v="Prepaid"/>
  </r>
  <r>
    <s v="UT-100241"/>
    <d v="2024-12-04T00:00:00"/>
    <s v="CUST_10240"/>
    <x v="0"/>
    <s v="TOP-SPK-M"/>
    <x v="1"/>
    <s v="Sparkle Top"/>
    <n v="2299"/>
    <n v="1"/>
    <n v="2299"/>
    <d v="2026-12-20T00:00:00"/>
    <n v="20"/>
    <s v="UPI"/>
    <x v="0"/>
    <s v="Mumbai"/>
    <s v="Maharashtra"/>
    <s v="Mumbai"/>
    <d v="2024-12-13T00:00:00"/>
    <s v="Delivered"/>
    <s v="No"/>
    <x v="0"/>
    <m/>
    <s v="Not Applicable"/>
    <s v="OK"/>
    <b v="0"/>
    <s v="Discount_Not_Applied"/>
    <n v="1839.2"/>
    <s v="Mismatch"/>
    <n v="1"/>
    <s v="OK"/>
    <n v="9"/>
    <s v="OK"/>
    <n v="0"/>
    <s v="Dec-2024"/>
    <s v="2024-49"/>
    <s v="Prepaid"/>
  </r>
  <r>
    <s v="UT-100242"/>
    <d v="2024-12-05T00:00:00"/>
    <s v="CUST_10241"/>
    <x v="0"/>
    <s v="BOT-VLV-S"/>
    <x v="0"/>
    <s v="Velvet Pants"/>
    <n v="2599"/>
    <n v="1"/>
    <n v="2599"/>
    <m/>
    <n v="0"/>
    <s v="Credit Card"/>
    <x v="1"/>
    <s v="Bangalore"/>
    <s v="Karnataka"/>
    <s v="Bangalore"/>
    <d v="2024-12-15T00:00:00"/>
    <s v="Delivered"/>
    <s v="Yes"/>
    <x v="3"/>
    <d v="2025-01-08T00:00:00"/>
    <s v="Processed"/>
    <s v="OK"/>
    <b v="0"/>
    <s v="No_Discount"/>
    <n v="2599"/>
    <s v="OK"/>
    <n v="1"/>
    <s v="OK"/>
    <n v="10"/>
    <s v="OK"/>
    <n v="24"/>
    <s v="Dec-2024"/>
    <s v="2024-49"/>
    <s v="Prepaid"/>
  </r>
  <r>
    <s v="UT-100243"/>
    <d v="2024-12-05T00:00:00"/>
    <s v="CUST_10242"/>
    <x v="1"/>
    <s v="OUT-FUR-L"/>
    <x v="3"/>
    <s v="Faux Fur Coat"/>
    <n v="8999"/>
    <n v="1"/>
    <n v="8999"/>
    <d v="2026-12-20T00:00:00"/>
    <n v="20"/>
    <s v="Wallet"/>
    <x v="2"/>
    <s v="Delhi"/>
    <s v="Delhi"/>
    <s v="Delhi"/>
    <d v="2024-12-17T00:00:00"/>
    <s v="Delivered"/>
    <s v="Yes"/>
    <x v="1"/>
    <d v="2025-01-10T00:00:00"/>
    <s v="Pending"/>
    <s v="OK"/>
    <b v="0"/>
    <s v="Discount_Not_Applied"/>
    <n v="7199.2000000000007"/>
    <s v="Mismatch"/>
    <n v="1"/>
    <s v="OK"/>
    <n v="12"/>
    <s v="OK"/>
    <n v="24"/>
    <s v="Dec-2024"/>
    <s v="2024-49"/>
    <s v="Prepaid"/>
  </r>
  <r>
    <s v="UT-100244"/>
    <d v="2024-12-05T00:00:00"/>
    <s v="CUST_10243"/>
    <x v="0"/>
    <s v="ACC-CLT-OS"/>
    <x v="4"/>
    <s v="Evening Clutch"/>
    <n v="1799"/>
    <n v="1"/>
    <n v="1799"/>
    <m/>
    <n v="0"/>
    <s v="UPI"/>
    <x v="0"/>
    <s v="Hyderabad"/>
    <s v="Telangana"/>
    <s v="Bangalore"/>
    <d v="2024-12-16T00:00:00"/>
    <s v="Delivered"/>
    <s v="No"/>
    <x v="0"/>
    <m/>
    <s v="Not Applicable"/>
    <s v="OK"/>
    <b v="0"/>
    <s v="No_Discount"/>
    <n v="1799"/>
    <s v="OK"/>
    <n v="1"/>
    <s v="OK"/>
    <n v="11"/>
    <s v="OK"/>
    <n v="0"/>
    <s v="Dec-2024"/>
    <s v="2024-49"/>
    <s v="Prepaid"/>
  </r>
  <r>
    <s v="UT-100245"/>
    <d v="2024-12-05T00:00:00"/>
    <s v="CUST_10244"/>
    <x v="0"/>
    <s v="TOP-MET-S"/>
    <x v="1"/>
    <s v="Metallic Blouse"/>
    <n v="2199"/>
    <n v="1"/>
    <n v="2199"/>
    <m/>
    <n v="0"/>
    <s v="Debit Card"/>
    <x v="1"/>
    <s v="Chennai"/>
    <s v="Tamil Nadu"/>
    <s v="Bangalore"/>
    <d v="2024-12-16T00:00:00"/>
    <s v="Delivered"/>
    <s v="No"/>
    <x v="0"/>
    <m/>
    <s v="Not Applicable"/>
    <s v="OK"/>
    <b v="0"/>
    <s v="No_Discount"/>
    <n v="2199"/>
    <s v="OK"/>
    <n v="1"/>
    <s v="OK"/>
    <n v="11"/>
    <s v="OK"/>
    <n v="0"/>
    <s v="Dec-2024"/>
    <s v="2024-49"/>
    <s v="Prepaid"/>
  </r>
  <r>
    <s v="UT-100246"/>
    <d v="2024-12-06T00:00:00"/>
    <s v="CUST_10245"/>
    <x v="0"/>
    <s v="DRS-GLT-M"/>
    <x v="2"/>
    <s v="Glitter Dress"/>
    <n v="3799"/>
    <n v="1"/>
    <n v="3799"/>
    <d v="2026-12-20T00:00:00"/>
    <n v="20"/>
    <s v="COD"/>
    <x v="2"/>
    <s v="Pune"/>
    <s v="Maharashtra"/>
    <s v="Mumbai"/>
    <d v="2024-12-18T00:00:00"/>
    <s v="Delivered"/>
    <s v="Yes"/>
    <x v="2"/>
    <d v="2025-01-12T00:00:00"/>
    <s v="Processed"/>
    <s v="OK"/>
    <b v="0"/>
    <s v="Discount_Not_Applied"/>
    <n v="3039.2000000000003"/>
    <s v="Mismatch"/>
    <n v="1"/>
    <s v="OK"/>
    <n v="12"/>
    <s v="OK"/>
    <n v="25"/>
    <s v="Dec-2024"/>
    <s v="2024-49"/>
    <s v="COD"/>
  </r>
  <r>
    <s v="UT-100247"/>
    <d v="2024-12-06T00:00:00"/>
    <s v="CUST_10246"/>
    <x v="0"/>
    <s v="BOT-SLK-S"/>
    <x v="0"/>
    <s v="Silk Trousers"/>
    <n v="2899"/>
    <n v="1"/>
    <n v="2899"/>
    <m/>
    <n v="0"/>
    <s v="Credit Card"/>
    <x v="0"/>
    <s v="Kolkata"/>
    <s v="West Bengal"/>
    <s v="Delhi"/>
    <d v="2024-12-18T00:00:00"/>
    <s v="Delivered"/>
    <s v="No"/>
    <x v="0"/>
    <m/>
    <s v="Not Applicable"/>
    <s v="OK"/>
    <b v="0"/>
    <s v="No_Discount"/>
    <n v="2899"/>
    <s v="OK"/>
    <n v="1"/>
    <s v="OK"/>
    <n v="12"/>
    <s v="OK"/>
    <n v="0"/>
    <s v="Dec-2024"/>
    <s v="2024-49"/>
    <s v="Prepaid"/>
  </r>
  <r>
    <s v="UT-100248"/>
    <d v="2024-12-06T00:00:00"/>
    <s v="CUST_10247"/>
    <x v="1"/>
    <s v="OUT-CPE-M"/>
    <x v="3"/>
    <s v="Velvet Cape"/>
    <n v="4599"/>
    <n v="1"/>
    <n v="4599"/>
    <d v="2026-12-20T00:00:00"/>
    <n v="20"/>
    <s v="UPI"/>
    <x v="1"/>
    <s v="Jaipur"/>
    <s v="Rajasthan"/>
    <s v="Delhi"/>
    <d v="2024-12-19T00:00:00"/>
    <s v="Delivered"/>
    <s v="Yes"/>
    <x v="1"/>
    <d v="2025-01-14T00:00:00"/>
    <s v="Processed"/>
    <s v="OK"/>
    <b v="0"/>
    <s v="Discount_Not_Applied"/>
    <n v="3679.2000000000003"/>
    <s v="Mismatch"/>
    <n v="1"/>
    <s v="OK"/>
    <n v="13"/>
    <s v="OK"/>
    <n v="26"/>
    <s v="Dec-2024"/>
    <s v="2024-49"/>
    <s v="Prepaid"/>
  </r>
  <r>
    <s v="UT-100249"/>
    <d v="2024-12-06T00:00:00"/>
    <s v="CUST_10248"/>
    <x v="0"/>
    <s v="ACC-HDB-OS"/>
    <x v="4"/>
    <s v="Embellished Handbag"/>
    <n v="2499"/>
    <n v="1"/>
    <n v="2499"/>
    <m/>
    <n v="0"/>
    <s v="Wallet"/>
    <x v="2"/>
    <s v="Lucknow"/>
    <s v="Uttar Pradesh"/>
    <s v="Delhi"/>
    <d v="2024-12-19T00:00:00"/>
    <s v="Delivered"/>
    <s v="No"/>
    <x v="0"/>
    <m/>
    <s v="Not Applicable"/>
    <s v="OK"/>
    <b v="0"/>
    <s v="No_Discount"/>
    <n v="2499"/>
    <s v="OK"/>
    <n v="1"/>
    <s v="OK"/>
    <n v="13"/>
    <s v="OK"/>
    <n v="0"/>
    <s v="Dec-2024"/>
    <s v="2024-49"/>
    <s v="Prepaid"/>
  </r>
  <r>
    <s v="UT-100250"/>
    <d v="2024-12-07T00:00:00"/>
    <s v="CUST_10249"/>
    <x v="0"/>
    <s v="TOP-NYE-XS"/>
    <x v="1"/>
    <s v="Party Bodysuit"/>
    <n v="1899"/>
    <n v="1"/>
    <n v="1899"/>
    <m/>
    <n v="0"/>
    <s v="Debit Card"/>
    <x v="0"/>
    <s v="Goa"/>
    <s v="Goa"/>
    <s v="Mumbai"/>
    <m/>
    <s v="RTO"/>
    <s v="No"/>
    <x v="0"/>
    <m/>
    <s v="Not Applicable"/>
    <s v="OK"/>
    <b v="0"/>
    <s v="No_Discount"/>
    <n v="1899"/>
    <s v="OK"/>
    <n v="1"/>
    <s v="OK"/>
    <n v="-45633"/>
    <s v="Invalid_delivery_time"/>
    <n v="0"/>
    <s v="Dec-2024"/>
    <s v="2024-49"/>
    <s v="Prepaid"/>
  </r>
  <r>
    <s v="UT-100251"/>
    <d v="2024-12-07T00:00:00"/>
    <s v="CUST_10250"/>
    <x v="0"/>
    <s v="DRS-CCT-S"/>
    <x v="2"/>
    <s v="Cocktail Dress"/>
    <n v="3299"/>
    <n v="1"/>
    <n v="3299"/>
    <d v="2026-12-20T00:00:00"/>
    <n v="20"/>
    <s v="Credit Card"/>
    <x v="1"/>
    <s v="Mumbai"/>
    <s v="Maharashtra"/>
    <s v="Mumbai"/>
    <d v="2024-12-20T00:00:00"/>
    <s v="Delivered"/>
    <s v="No"/>
    <x v="0"/>
    <m/>
    <s v="Not Applicable"/>
    <s v="OK"/>
    <b v="0"/>
    <s v="Discount_Not_Applied"/>
    <n v="2639.2000000000003"/>
    <s v="Mismatch"/>
    <n v="1"/>
    <s v="OK"/>
    <n v="13"/>
    <s v="OK"/>
    <n v="0"/>
    <s v="Dec-2024"/>
    <s v="2024-49"/>
    <s v="Prepaid"/>
  </r>
  <r>
    <s v="UT-100252"/>
    <d v="2024-12-07T00:00:00"/>
    <s v="CUST_10251"/>
    <x v="0"/>
    <s v="BOT-SQN-M"/>
    <x v="0"/>
    <s v="Sequin Skirt"/>
    <n v="2199"/>
    <n v="1"/>
    <n v="2199"/>
    <m/>
    <n v="0"/>
    <s v="COD"/>
    <x v="2"/>
    <s v="Delhi"/>
    <s v="Delhi"/>
    <s v="Delhi"/>
    <d v="2024-12-21T00:00:00"/>
    <s v="Delivered"/>
    <s v="Yes"/>
    <x v="5"/>
    <d v="2025-01-15T00:00:00"/>
    <s v="Pending"/>
    <s v="OK"/>
    <b v="0"/>
    <s v="No_Discount"/>
    <n v="2199"/>
    <s v="OK"/>
    <n v="1"/>
    <s v="OK"/>
    <n v="14"/>
    <s v="OK"/>
    <n v="25"/>
    <s v="Dec-2024"/>
    <s v="2024-49"/>
    <s v="COD"/>
  </r>
  <r>
    <s v="UT-100253"/>
    <d v="2024-12-07T00:00:00"/>
    <s v="CUST_10252"/>
    <x v="1"/>
    <s v="OUT-BLZ-S"/>
    <x v="3"/>
    <s v="Tuxedo Blazer"/>
    <n v="5499"/>
    <n v="1"/>
    <n v="5499"/>
    <d v="2026-12-20T00:00:00"/>
    <n v="20"/>
    <s v="UPI"/>
    <x v="0"/>
    <s v="Bangalore"/>
    <s v="Karnataka"/>
    <s v="Bangalore"/>
    <d v="2024-12-21T00:00:00"/>
    <s v="Delivered"/>
    <s v="No"/>
    <x v="0"/>
    <m/>
    <s v="Not Applicable"/>
    <s v="OK"/>
    <b v="0"/>
    <s v="Discount_Not_Applied"/>
    <n v="4399.2"/>
    <s v="Mismatch"/>
    <n v="1"/>
    <s v="OK"/>
    <n v="14"/>
    <s v="OK"/>
    <n v="0"/>
    <s v="Dec-2024"/>
    <s v="2024-49"/>
    <s v="Prepaid"/>
  </r>
  <r>
    <s v="UT-100254"/>
    <d v="2024-12-08T00:00:00"/>
    <s v="CUST_10253"/>
    <x v="0"/>
    <s v="ACC-TRA-OS"/>
    <x v="4"/>
    <s v="Tiara Headband"/>
    <n v="999"/>
    <n v="1"/>
    <n v="999"/>
    <m/>
    <n v="0"/>
    <s v="Wallet"/>
    <x v="1"/>
    <s v="Ahmedabad"/>
    <s v="Gujarat"/>
    <s v="Mumbai"/>
    <d v="2024-12-22T00:00:00"/>
    <s v="Delivered"/>
    <s v="No"/>
    <x v="0"/>
    <m/>
    <s v="Not Applicable"/>
    <s v="OK"/>
    <b v="0"/>
    <s v="No_Discount"/>
    <n v="999"/>
    <s v="OK"/>
    <n v="1"/>
    <s v="OK"/>
    <n v="14"/>
    <s v="OK"/>
    <n v="0"/>
    <s v="Dec-2024"/>
    <s v="2024-50"/>
    <s v="Prepaid"/>
  </r>
  <r>
    <s v="UT-100255"/>
    <d v="2024-12-08T00:00:00"/>
    <s v="CUST_10254"/>
    <x v="0"/>
    <s v="TOP-OFF-M"/>
    <x v="1"/>
    <s v="Off-Shoulder Top"/>
    <n v="1699"/>
    <n v="2"/>
    <n v="3398"/>
    <m/>
    <n v="0"/>
    <s v="Debit Card"/>
    <x v="2"/>
    <s v="Surat"/>
    <s v="Gujarat"/>
    <s v="Mumbai"/>
    <d v="2024-12-22T00:00:00"/>
    <s v="Delivered"/>
    <s v="Yes"/>
    <x v="1"/>
    <d v="2025-01-16T00:00:00"/>
    <s v="Processed"/>
    <s v="OK"/>
    <b v="0"/>
    <s v="No_Discount"/>
    <n v="3398"/>
    <s v="OK"/>
    <n v="1"/>
    <s v="OK"/>
    <n v="14"/>
    <s v="OK"/>
    <n v="25"/>
    <s v="Dec-2024"/>
    <s v="2024-50"/>
    <s v="Prepaid"/>
  </r>
  <r>
    <s v="UT-100256"/>
    <d v="2024-12-08T00:00:00"/>
    <s v="CUST_10255"/>
    <x v="0"/>
    <s v="DRS-BLB-S"/>
    <x v="2"/>
    <s v="Balloon Sleeve Dress"/>
    <n v="2799"/>
    <n v="1"/>
    <n v="2799"/>
    <d v="2026-12-20T00:00:00"/>
    <n v="20"/>
    <s v="Credit Card"/>
    <x v="0"/>
    <s v="Vadodara"/>
    <s v="Gujarat"/>
    <s v="Mumbai"/>
    <d v="2024-12-23T00:00:00"/>
    <s v="Delivered"/>
    <s v="Yes"/>
    <x v="4"/>
    <d v="2025-01-18T00:00:00"/>
    <s v="Processed"/>
    <s v="OK"/>
    <b v="0"/>
    <s v="Discount_Not_Applied"/>
    <n v="2239.2000000000003"/>
    <s v="Mismatch"/>
    <n v="1"/>
    <s v="OK"/>
    <n v="15"/>
    <s v="OK"/>
    <n v="26"/>
    <s v="Dec-2024"/>
    <s v="2024-50"/>
    <s v="Prepaid"/>
  </r>
  <r>
    <s v="UT-100257"/>
    <d v="2024-12-08T00:00:00"/>
    <s v="CUST_10256"/>
    <x v="0"/>
    <s v="BOT-WDE-L"/>
    <x v="0"/>
    <s v="Wide Leg Pants"/>
    <n v="2299"/>
    <n v="1"/>
    <n v="2299"/>
    <m/>
    <n v="0"/>
    <s v="UPI"/>
    <x v="1"/>
    <s v="Rajkot"/>
    <s v="Gujarat"/>
    <s v="Mumbai"/>
    <d v="2024-12-23T00:00:00"/>
    <s v="Delivered"/>
    <s v="No"/>
    <x v="0"/>
    <m/>
    <s v="Not Applicable"/>
    <s v="OK"/>
    <b v="0"/>
    <s v="No_Discount"/>
    <n v="2299"/>
    <s v="OK"/>
    <n v="1"/>
    <s v="OK"/>
    <n v="15"/>
    <s v="OK"/>
    <n v="0"/>
    <s v="Dec-2024"/>
    <s v="2024-50"/>
    <s v="Prepaid"/>
  </r>
  <r>
    <s v="UT-100258"/>
    <d v="2024-12-09T00:00:00"/>
    <s v="CUST_10257"/>
    <x v="1"/>
    <s v="OUT-SQN-M"/>
    <x v="3"/>
    <s v="Sequin Jacket"/>
    <n v="5999"/>
    <n v="1"/>
    <n v="5999"/>
    <m/>
    <n v="0"/>
    <s v="COD"/>
    <x v="2"/>
    <s v="Kanpur"/>
    <s v="Uttar Pradesh"/>
    <s v="Delhi"/>
    <d v="2024-12-24T00:00:00"/>
    <s v="Delivered"/>
    <s v="Yes"/>
    <x v="3"/>
    <d v="2025-01-20T00:00:00"/>
    <s v="Processed"/>
    <s v="OK"/>
    <b v="0"/>
    <s v="No_Discount"/>
    <n v="5999"/>
    <s v="OK"/>
    <n v="1"/>
    <s v="OK"/>
    <n v="15"/>
    <s v="OK"/>
    <n v="27"/>
    <s v="Dec-2024"/>
    <s v="2024-50"/>
    <s v="COD"/>
  </r>
  <r>
    <s v="UT-100259"/>
    <d v="2024-12-09T00:00:00"/>
    <s v="CUST_10258"/>
    <x v="0"/>
    <s v="ACC-PRT-OS"/>
    <x v="4"/>
    <s v="Party Earrings"/>
    <n v="899"/>
    <n v="2"/>
    <n v="1798"/>
    <d v="2026-12-20T00:00:00"/>
    <n v="20"/>
    <s v="Wallet"/>
    <x v="0"/>
    <s v="Mumbai"/>
    <s v="Maharashtra"/>
    <s v="Mumbai"/>
    <d v="2024-12-23T00:00:00"/>
    <s v="Delivered"/>
    <s v="No"/>
    <x v="0"/>
    <m/>
    <s v="Not Applicable"/>
    <s v="OK"/>
    <b v="0"/>
    <s v="Discount_Not_Applied"/>
    <n v="1438.4"/>
    <s v="Mismatch"/>
    <n v="1"/>
    <s v="OK"/>
    <n v="14"/>
    <s v="OK"/>
    <n v="0"/>
    <s v="Dec-2024"/>
    <s v="2024-50"/>
    <s v="Prepaid"/>
  </r>
  <r>
    <s v="UT-100260"/>
    <d v="2024-12-09T00:00:00"/>
    <s v="CUST_10259"/>
    <x v="0"/>
    <s v="TOP-FTH-S"/>
    <x v="1"/>
    <s v="Feather Trim Top"/>
    <n v="2099"/>
    <n v="1"/>
    <n v="2099"/>
    <m/>
    <n v="0"/>
    <s v="Debit Card"/>
    <x v="1"/>
    <s v="Delhi"/>
    <s v="Delhi"/>
    <s v="Delhi"/>
    <d v="2024-12-24T00:00:00"/>
    <s v="Delivered"/>
    <s v="Yes"/>
    <x v="2"/>
    <d v="2025-01-19T00:00:00"/>
    <s v="Processed"/>
    <s v="OK"/>
    <b v="0"/>
    <s v="No_Discount"/>
    <n v="2099"/>
    <s v="OK"/>
    <n v="1"/>
    <s v="OK"/>
    <n v="15"/>
    <s v="OK"/>
    <n v="26"/>
    <s v="Dec-2024"/>
    <s v="2024-50"/>
    <s v="Prepaid"/>
  </r>
  <r>
    <s v="UT-100261"/>
    <d v="2024-12-10T00:00:00"/>
    <s v="CUST_10260"/>
    <x v="0"/>
    <s v="DRS-PRY-M"/>
    <x v="2"/>
    <s v="Party Maxi"/>
    <n v="3999"/>
    <n v="1"/>
    <n v="3999"/>
    <m/>
    <n v="0"/>
    <s v="Credit Card"/>
    <x v="2"/>
    <s v="Chandigarh"/>
    <s v="Punjab"/>
    <s v="Delhi"/>
    <d v="2024-12-25T00:00:00"/>
    <s v="Delivered"/>
    <s v="Yes"/>
    <x v="1"/>
    <d v="2025-01-22T00:00:00"/>
    <s v="Processed"/>
    <s v="OK"/>
    <b v="0"/>
    <s v="No_Discount"/>
    <n v="3999"/>
    <s v="OK"/>
    <n v="1"/>
    <s v="OK"/>
    <n v="15"/>
    <s v="OK"/>
    <n v="28"/>
    <s v="Dec-2024"/>
    <s v="2024-50"/>
    <s v="Prepaid"/>
  </r>
  <r>
    <s v="UT-100262"/>
    <d v="2024-12-10T00:00:00"/>
    <s v="CUST_10261"/>
    <x v="0"/>
    <s v="BOT-GLM-S"/>
    <x v="0"/>
    <s v="Glam Pants"/>
    <n v="2499"/>
    <n v="1"/>
    <n v="2499"/>
    <d v="2026-12-20T00:00:00"/>
    <n v="20"/>
    <s v="UPI"/>
    <x v="0"/>
    <s v="Noida"/>
    <s v="Uttar Pradesh"/>
    <s v="Delhi"/>
    <d v="2024-12-25T00:00:00"/>
    <s v="Delivered"/>
    <s v="No"/>
    <x v="0"/>
    <m/>
    <s v="Not Applicable"/>
    <s v="OK"/>
    <b v="0"/>
    <s v="Discount_Not_Applied"/>
    <n v="1999.2"/>
    <s v="Mismatch"/>
    <n v="1"/>
    <s v="OK"/>
    <n v="15"/>
    <s v="OK"/>
    <n v="0"/>
    <s v="Dec-2024"/>
    <s v="2024-50"/>
    <s v="Prepaid"/>
  </r>
  <r>
    <s v="UT-100263"/>
    <d v="2024-12-10T00:00:00"/>
    <s v="CUST_10262"/>
    <x v="1"/>
    <s v="OUT-LME-L"/>
    <x v="3"/>
    <s v="Lame Blazer"/>
    <n v="4899"/>
    <n v="1"/>
    <n v="4899"/>
    <m/>
    <n v="0"/>
    <s v="COD"/>
    <x v="1"/>
    <s v="Gurgaon"/>
    <s v="Haryana"/>
    <s v="Delhi"/>
    <d v="2024-12-26T00:00:00"/>
    <s v="Delivered"/>
    <s v="Yes"/>
    <x v="4"/>
    <d v="2025-01-23T00:00:00"/>
    <s v="Processed"/>
    <s v="OK"/>
    <b v="0"/>
    <s v="No_Discount"/>
    <n v="4899"/>
    <s v="OK"/>
    <n v="1"/>
    <s v="OK"/>
    <n v="16"/>
    <s v="OK"/>
    <n v="28"/>
    <s v="Dec-2024"/>
    <s v="2024-50"/>
    <s v="COD"/>
  </r>
  <r>
    <s v="UT-100264"/>
    <d v="2024-12-10T00:00:00"/>
    <s v="CUST_10263"/>
    <x v="0"/>
    <s v="ACC-NYE-OS"/>
    <x v="4"/>
    <s v="NYE Headpiece"/>
    <n v="1199"/>
    <n v="1"/>
    <n v="1199"/>
    <m/>
    <n v="0"/>
    <s v="Wallet"/>
    <x v="2"/>
    <s v="Indore"/>
    <s v="Madhya Pradesh"/>
    <s v="Mumbai"/>
    <d v="2024-12-25T00:00:00"/>
    <s v="Delivered"/>
    <s v="No"/>
    <x v="0"/>
    <m/>
    <s v="Not Applicable"/>
    <s v="OK"/>
    <b v="0"/>
    <s v="No_Discount"/>
    <n v="1199"/>
    <s v="OK"/>
    <n v="1"/>
    <s v="OK"/>
    <n v="15"/>
    <s v="OK"/>
    <n v="0"/>
    <s v="Dec-2024"/>
    <s v="2024-50"/>
    <s v="Prepaid"/>
  </r>
  <r>
    <s v="UT-100265"/>
    <d v="2024-12-10T00:00:00"/>
    <s v="CUST_10264"/>
    <x v="0"/>
    <s v="TOP-SHM-M"/>
    <x v="1"/>
    <s v="Shimmer Top"/>
    <n v="1899"/>
    <n v="1"/>
    <n v="1899"/>
    <d v="2026-12-20T00:00:00"/>
    <n v="20"/>
    <s v="Debit Card"/>
    <x v="0"/>
    <s v="Surat"/>
    <s v="Gujarat"/>
    <s v="Mumbai"/>
    <d v="2024-12-26T00:00:00"/>
    <s v="Delivered"/>
    <s v="Yes"/>
    <x v="5"/>
    <d v="2025-01-21T00:00:00"/>
    <s v="Processed"/>
    <s v="OK"/>
    <b v="0"/>
    <s v="Discount_Not_Applied"/>
    <n v="1519.2"/>
    <s v="Mismatch"/>
    <n v="1"/>
    <s v="OK"/>
    <n v="16"/>
    <s v="OK"/>
    <n v="26"/>
    <s v="Dec-2024"/>
    <s v="2024-50"/>
    <s v="Prepaid"/>
  </r>
  <r>
    <s v="UT-100266"/>
    <d v="2024-12-11T00:00:00"/>
    <s v="CUST_10265"/>
    <x v="0"/>
    <s v="DRS-CNT-L"/>
    <x v="2"/>
    <s v="Countdown Dress"/>
    <n v="3599"/>
    <n v="1"/>
    <n v="3599"/>
    <m/>
    <n v="0"/>
    <s v="Credit Card"/>
    <x v="1"/>
    <s v="Patna"/>
    <s v="Bihar"/>
    <s v="Delhi"/>
    <d v="2024-12-27T00:00:00"/>
    <s v="Delivered"/>
    <s v="No"/>
    <x v="0"/>
    <m/>
    <s v="Not Applicable"/>
    <s v="OK"/>
    <b v="0"/>
    <s v="No_Discount"/>
    <n v="3599"/>
    <s v="OK"/>
    <n v="1"/>
    <s v="OK"/>
    <n v="16"/>
    <s v="OK"/>
    <n v="0"/>
    <s v="Dec-2024"/>
    <s v="2024-50"/>
    <s v="Prepaid"/>
  </r>
  <r>
    <s v="UT-100267"/>
    <d v="2024-12-11T00:00:00"/>
    <s v="CUST_10266"/>
    <x v="0"/>
    <s v="BOT-CHM-S"/>
    <x v="0"/>
    <s v="Champagne Pants"/>
    <n v="2699"/>
    <n v="1"/>
    <n v="2699"/>
    <m/>
    <n v="0"/>
    <s v="UPI"/>
    <x v="2"/>
    <s v="Bhopal"/>
    <s v="Madhya Pradesh"/>
    <s v="Mumbai"/>
    <d v="2024-12-27T00:00:00"/>
    <s v="Delivered"/>
    <s v="Yes"/>
    <x v="1"/>
    <d v="2025-01-24T00:00:00"/>
    <s v="Processed"/>
    <s v="OK"/>
    <b v="0"/>
    <s v="No_Discount"/>
    <n v="2699"/>
    <s v="OK"/>
    <n v="1"/>
    <s v="OK"/>
    <n v="16"/>
    <s v="OK"/>
    <n v="28"/>
    <s v="Dec-2024"/>
    <s v="2024-50"/>
    <s v="Prepaid"/>
  </r>
  <r>
    <s v="UT-100268"/>
    <d v="2024-12-11T00:00:00"/>
    <s v="CUST_10267"/>
    <x v="1"/>
    <s v="OUT-RSE-M"/>
    <x v="3"/>
    <s v="Rose Gold Jacket"/>
    <n v="5599"/>
    <n v="1"/>
    <n v="5599"/>
    <d v="2026-12-20T00:00:00"/>
    <n v="20"/>
    <s v="COD"/>
    <x v="0"/>
    <s v="Nagpur"/>
    <s v="Maharashtra"/>
    <s v="Mumbai"/>
    <d v="2024-12-28T00:00:00"/>
    <s v="Delivered"/>
    <s v="Yes"/>
    <x v="3"/>
    <d v="2025-01-25T00:00:00"/>
    <s v="Processed"/>
    <s v="OK"/>
    <b v="0"/>
    <s v="Discount_Not_Applied"/>
    <n v="4479.2"/>
    <s v="Mismatch"/>
    <n v="1"/>
    <s v="OK"/>
    <n v="17"/>
    <s v="OK"/>
    <n v="28"/>
    <s v="Dec-2024"/>
    <s v="2024-50"/>
    <s v="COD"/>
  </r>
  <r>
    <s v="UT-100269"/>
    <d v="2024-12-11T00:00:00"/>
    <s v="CUST_10268"/>
    <x v="0"/>
    <s v="ACC-MSK-OS"/>
    <x v="4"/>
    <s v="Mask Chain"/>
    <n v="399"/>
    <n v="3"/>
    <n v="1197"/>
    <m/>
    <n v="0"/>
    <s v="Wallet"/>
    <x v="1"/>
    <s v="Coimbatore"/>
    <s v="Tamil Nadu"/>
    <s v="Bangalore"/>
    <d v="2024-12-27T00:00:00"/>
    <s v="Delivered"/>
    <s v="No"/>
    <x v="0"/>
    <m/>
    <s v="Not Applicable"/>
    <s v="OK"/>
    <b v="0"/>
    <s v="No_Discount"/>
    <n v="1197"/>
    <s v="OK"/>
    <n v="1"/>
    <s v="OK"/>
    <n v="16"/>
    <s v="OK"/>
    <n v="0"/>
    <s v="Dec-2024"/>
    <s v="2024-50"/>
    <s v="Prepaid"/>
  </r>
  <r>
    <s v="UT-100270"/>
    <d v="2024-12-12T00:00:00"/>
    <s v="CUST_10269"/>
    <x v="0"/>
    <s v="TOP-CEL-L"/>
    <x v="1"/>
    <s v="Celebration Top"/>
    <n v="2199"/>
    <n v="1"/>
    <n v="2199"/>
    <m/>
    <n v="0"/>
    <s v="Debit Card"/>
    <x v="2"/>
    <s v="Kochi"/>
    <s v="Kerala"/>
    <s v="Bangalore"/>
    <d v="2024-12-28T00:00:00"/>
    <s v="Delivered"/>
    <s v="Yes"/>
    <x v="2"/>
    <d v="2025-01-23T00:00:00"/>
    <s v="Processed"/>
    <s v="OK"/>
    <b v="0"/>
    <s v="No_Discount"/>
    <n v="2199"/>
    <s v="OK"/>
    <n v="1"/>
    <s v="OK"/>
    <n v="16"/>
    <s v="OK"/>
    <n v="26"/>
    <s v="Dec-2024"/>
    <s v="2024-50"/>
    <s v="Prepaid"/>
  </r>
  <r>
    <s v="UT-100271"/>
    <d v="2024-12-12T00:00:00"/>
    <s v="CUST_10270"/>
    <x v="0"/>
    <s v="DRS-MID-S"/>
    <x v="2"/>
    <s v="Midnight Dress"/>
    <n v="4299"/>
    <n v="1"/>
    <n v="4299"/>
    <d v="2026-12-20T00:00:00"/>
    <n v="20"/>
    <s v="Credit Card"/>
    <x v="0"/>
    <s v="Vizag"/>
    <s v="Andhra Pradesh"/>
    <s v="Bangalore"/>
    <d v="2024-12-29T00:00:00"/>
    <s v="Delivered"/>
    <s v="No"/>
    <x v="0"/>
    <m/>
    <s v="Not Applicable"/>
    <s v="OK"/>
    <b v="0"/>
    <s v="Discount_Not_Applied"/>
    <n v="3439.2000000000003"/>
    <s v="Mismatch"/>
    <n v="1"/>
    <s v="OK"/>
    <n v="17"/>
    <s v="OK"/>
    <n v="0"/>
    <s v="Dec-2024"/>
    <s v="2024-50"/>
    <s v="Prepaid"/>
  </r>
  <r>
    <s v="UT-100272"/>
    <d v="2024-12-12T00:00:00"/>
    <s v="CUST_10271"/>
    <x v="0"/>
    <s v="BOT-NYS-M"/>
    <x v="0"/>
    <s v="NYE Skirt"/>
    <n v="2399"/>
    <n v="1"/>
    <n v="2399"/>
    <m/>
    <n v="0"/>
    <s v="UPI"/>
    <x v="1"/>
    <s v="Thiruvananthapuram"/>
    <s v="Kerala"/>
    <s v="Bangalore"/>
    <d v="2024-12-29T00:00:00"/>
    <s v="Delivered"/>
    <s v="Yes"/>
    <x v="4"/>
    <d v="2025-01-26T00:00:00"/>
    <s v="Processed"/>
    <s v="OK"/>
    <b v="0"/>
    <s v="No_Discount"/>
    <n v="2399"/>
    <s v="OK"/>
    <n v="1"/>
    <s v="OK"/>
    <n v="17"/>
    <s v="OK"/>
    <n v="28"/>
    <s v="Dec-2024"/>
    <s v="2024-50"/>
    <s v="Prepaid"/>
  </r>
  <r>
    <s v="UT-100273"/>
    <d v="2024-12-12T00:00:00"/>
    <s v="CUST_10272"/>
    <x v="1"/>
    <s v="OUT-FRS-L"/>
    <x v="3"/>
    <s v="Frost Jacket"/>
    <n v="6299"/>
    <n v="1"/>
    <n v="6299"/>
    <m/>
    <n v="0"/>
    <s v="COD"/>
    <x v="2"/>
    <s v="Mysore"/>
    <s v="Karnataka"/>
    <s v="Bangalore"/>
    <m/>
    <s v="RTO"/>
    <s v="No"/>
    <x v="0"/>
    <m/>
    <s v="Not Applicable"/>
    <s v="OK"/>
    <b v="0"/>
    <s v="No_Discount"/>
    <n v="6299"/>
    <s v="OK"/>
    <n v="1"/>
    <s v="OK"/>
    <n v="-45638"/>
    <s v="Invalid_delivery_time"/>
    <n v="0"/>
    <s v="Dec-2024"/>
    <s v="2024-50"/>
    <s v="COD"/>
  </r>
  <r>
    <s v="UT-100274"/>
    <d v="2024-12-13T00:00:00"/>
    <s v="CUST_10273"/>
    <x v="0"/>
    <s v="ACC-SPR-OS"/>
    <x v="4"/>
    <s v="Sparkle Hair Clip"/>
    <n v="599"/>
    <n v="2"/>
    <n v="1198"/>
    <d v="2026-12-20T00:00:00"/>
    <n v="20"/>
    <s v="Wallet"/>
    <x v="0"/>
    <s v="Vadodara"/>
    <s v="Gujarat"/>
    <s v="Mumbai"/>
    <d v="2024-12-29T00:00:00"/>
    <s v="Delivered"/>
    <s v="No"/>
    <x v="0"/>
    <m/>
    <s v="Not Applicable"/>
    <s v="OK"/>
    <b v="0"/>
    <s v="Discount_Not_Applied"/>
    <n v="958.40000000000009"/>
    <s v="Mismatch"/>
    <n v="1"/>
    <s v="OK"/>
    <n v="16"/>
    <s v="OK"/>
    <n v="0"/>
    <s v="Dec-2024"/>
    <s v="2024-50"/>
    <s v="Prepaid"/>
  </r>
  <r>
    <s v="UT-100275"/>
    <d v="2024-12-13T00:00:00"/>
    <s v="CUST_10274"/>
    <x v="0"/>
    <s v="TOP-GLS-M"/>
    <x v="1"/>
    <s v="Glass Bead Top"/>
    <n v="2399"/>
    <n v="1"/>
    <n v="2399"/>
    <m/>
    <n v="0"/>
    <s v="Debit Card"/>
    <x v="1"/>
    <s v="Rajkot"/>
    <s v="Gujarat"/>
    <s v="Mumbai"/>
    <d v="2024-12-30T00:00:00"/>
    <s v="Delivered"/>
    <s v="Yes"/>
    <x v="1"/>
    <d v="2025-01-27T00:00:00"/>
    <s v="Processed"/>
    <s v="OK"/>
    <b v="0"/>
    <s v="No_Discount"/>
    <n v="2399"/>
    <s v="OK"/>
    <n v="1"/>
    <s v="OK"/>
    <n v="17"/>
    <s v="OK"/>
    <n v="28"/>
    <s v="Dec-2024"/>
    <s v="2024-50"/>
    <s v="Prepaid"/>
  </r>
  <r>
    <s v="UT-100276"/>
    <d v="2024-12-13T00:00:00"/>
    <s v="CUST_10275"/>
    <x v="0"/>
    <s v="DRS-FNL-L"/>
    <x v="2"/>
    <s v="Finale Gown"/>
    <n v="5999"/>
    <n v="1"/>
    <n v="5999"/>
    <m/>
    <n v="0"/>
    <s v="Credit Card"/>
    <x v="2"/>
    <s v="Kanpur"/>
    <s v="Uttar Pradesh"/>
    <s v="Delhi"/>
    <d v="2024-12-31T00:00:00"/>
    <s v="Delivered"/>
    <s v="Yes"/>
    <x v="5"/>
    <d v="2025-01-28T00:00:00"/>
    <s v="Processed"/>
    <s v="OK"/>
    <b v="0"/>
    <s v="No_Discount"/>
    <n v="5999"/>
    <s v="OK"/>
    <n v="1"/>
    <s v="OK"/>
    <n v="18"/>
    <s v="OK"/>
    <n v="28"/>
    <s v="Dec-2024"/>
    <s v="2024-50"/>
    <s v="Prepaid"/>
  </r>
  <r>
    <s v="UT-100277"/>
    <d v="2024-12-13T00:00:00"/>
    <s v="CUST_10276"/>
    <x v="0"/>
    <s v="BOT-PRY-S"/>
    <x v="0"/>
    <s v="Party Leggings"/>
    <n v="1899"/>
    <n v="1"/>
    <n v="1899"/>
    <d v="2026-12-20T00:00:00"/>
    <n v="20"/>
    <s v="UPI"/>
    <x v="0"/>
    <s v="Mumbai"/>
    <s v="Maharashtra"/>
    <s v="Mumbai"/>
    <d v="2024-12-30T00:00:00"/>
    <s v="Delivered"/>
    <s v="No"/>
    <x v="0"/>
    <m/>
    <s v="Not Applicable"/>
    <s v="OK"/>
    <b v="0"/>
    <s v="Discount_Not_Applied"/>
    <n v="1519.2"/>
    <s v="Mismatch"/>
    <n v="1"/>
    <s v="OK"/>
    <n v="17"/>
    <s v="OK"/>
    <n v="0"/>
    <s v="Dec-2024"/>
    <s v="2024-50"/>
    <s v="Prepaid"/>
  </r>
  <r>
    <s v="UT-100278"/>
    <d v="2024-12-14T00:00:00"/>
    <s v="CUST_10277"/>
    <x v="1"/>
    <s v="OUT-CHR-M"/>
    <x v="3"/>
    <s v="Christmas Jacket"/>
    <n v="4999"/>
    <n v="1"/>
    <n v="4999"/>
    <m/>
    <n v="0"/>
    <s v="COD"/>
    <x v="1"/>
    <s v="Delhi"/>
    <s v="Delhi"/>
    <s v="Delhi"/>
    <d v="2024-12-31T00:00:00"/>
    <s v="Delivered"/>
    <s v="Yes"/>
    <x v="3"/>
    <d v="2025-01-29T00:00:00"/>
    <s v="Processed"/>
    <s v="OK"/>
    <b v="0"/>
    <s v="No_Discount"/>
    <n v="4999"/>
    <s v="OK"/>
    <n v="1"/>
    <s v="OK"/>
    <n v="17"/>
    <s v="OK"/>
    <n v="29"/>
    <s v="Dec-2024"/>
    <s v="2024-50"/>
    <s v="COD"/>
  </r>
  <r>
    <s v="UT-100279"/>
    <d v="2024-12-14T00:00:00"/>
    <s v="CUST_10278"/>
    <x v="0"/>
    <s v="ACC-BLS-OS"/>
    <x v="4"/>
    <s v="Blush Bag"/>
    <n v="1699"/>
    <n v="1"/>
    <n v="1699"/>
    <m/>
    <n v="0"/>
    <s v="Wallet"/>
    <x v="2"/>
    <s v="Kolkata"/>
    <s v="West Bengal"/>
    <s v="Delhi"/>
    <d v="2024-12-30T00:00:00"/>
    <s v="Delivered"/>
    <s v="Yes"/>
    <x v="2"/>
    <d v="2025-01-26T00:00:00"/>
    <s v="Processed"/>
    <s v="OK"/>
    <b v="0"/>
    <s v="No_Discount"/>
    <n v="1699"/>
    <s v="OK"/>
    <n v="1"/>
    <s v="OK"/>
    <n v="16"/>
    <s v="OK"/>
    <n v="27"/>
    <s v="Dec-2024"/>
    <s v="2024-50"/>
    <s v="Prepaid"/>
  </r>
  <r>
    <s v="UT-100280"/>
    <d v="2024-12-14T00:00:00"/>
    <s v="CUST_10279"/>
    <x v="0"/>
    <s v="TOP-YRS-L"/>
    <x v="1"/>
    <s v="Year End Top"/>
    <n v="2099"/>
    <n v="1"/>
    <n v="2099"/>
    <d v="2026-12-20T00:00:00"/>
    <n v="20"/>
    <s v="Debit Card"/>
    <x v="0"/>
    <s v="Chennai"/>
    <s v="Tamil Nadu"/>
    <s v="Bangalore"/>
    <d v="2024-12-31T00:00:00"/>
    <s v="Delivered"/>
    <s v="No"/>
    <x v="0"/>
    <m/>
    <s v="Not Applicable"/>
    <s v="OK"/>
    <b v="0"/>
    <s v="Discount_Not_Applied"/>
    <n v="1679.2"/>
    <s v="Mismatch"/>
    <n v="1"/>
    <s v="OK"/>
    <n v="17"/>
    <s v="OK"/>
    <n v="0"/>
    <s v="Dec-2024"/>
    <s v="2024-50"/>
    <s v="Prepaid"/>
  </r>
  <r>
    <s v="UT-100281"/>
    <d v="2024-12-14T00:00:00"/>
    <s v="CUST_10280"/>
    <x v="0"/>
    <s v="DRS-EVE-S"/>
    <x v="2"/>
    <s v="Evening Elegance"/>
    <n v="4599"/>
    <n v="1"/>
    <n v="4599"/>
    <m/>
    <n v="0"/>
    <s v="Credit Card"/>
    <x v="1"/>
    <s v="Hyderabad"/>
    <s v="Telangana"/>
    <s v="Bangalore"/>
    <d v="2025-01-02T00:00:00"/>
    <s v="Delivered"/>
    <s v="Yes"/>
    <x v="1"/>
    <d v="2025-01-30T00:00:00"/>
    <s v="Processed"/>
    <s v="OK"/>
    <b v="0"/>
    <s v="No_Discount"/>
    <n v="4599"/>
    <s v="OK"/>
    <n v="1"/>
    <s v="OK"/>
    <n v="19"/>
    <s v="OK"/>
    <n v="28"/>
    <s v="Dec-2024"/>
    <s v="2024-50"/>
    <s v="Prepaid"/>
  </r>
  <r>
    <s v="UT-100282"/>
    <d v="2024-12-15T00:00:00"/>
    <s v="CUST_10281"/>
    <x v="0"/>
    <s v="BOT-FNS-M"/>
    <x v="0"/>
    <s v="Finish Line Pants"/>
    <n v="2299"/>
    <n v="1"/>
    <n v="2299"/>
    <m/>
    <n v="0"/>
    <s v="UPI"/>
    <x v="2"/>
    <s v="Pune"/>
    <s v="Maharashtra"/>
    <s v="Mumbai"/>
    <d v="2025-01-02T00:00:00"/>
    <s v="Delivered"/>
    <s v="No"/>
    <x v="0"/>
    <m/>
    <s v="Not Applicable"/>
    <s v="OK"/>
    <b v="0"/>
    <s v="No_Discount"/>
    <n v="2299"/>
    <s v="OK"/>
    <n v="1"/>
    <s v="OK"/>
    <n v="18"/>
    <s v="OK"/>
    <n v="0"/>
    <s v="Dec-2024"/>
    <s v="2024-51"/>
    <s v="Prepaid"/>
  </r>
  <r>
    <s v="UT-100283"/>
    <d v="2024-12-15T00:00:00"/>
    <s v="CUST_10282"/>
    <x v="1"/>
    <s v="OUT-NYB-L"/>
    <x v="3"/>
    <s v="NYE Blazer"/>
    <n v="5799"/>
    <n v="1"/>
    <n v="5799"/>
    <d v="2026-12-20T00:00:00"/>
    <n v="20"/>
    <s v="COD"/>
    <x v="0"/>
    <s v="Ahmedabad"/>
    <s v="Gujarat"/>
    <s v="Mumbai"/>
    <d v="2025-01-03T00:00:00"/>
    <s v="Delivered"/>
    <s v="Yes"/>
    <x v="4"/>
    <d v="2025-01-31T00:00:00"/>
    <s v="Processed"/>
    <s v="OK"/>
    <b v="0"/>
    <s v="Discount_Not_Applied"/>
    <n v="4639.2"/>
    <s v="Mismatch"/>
    <n v="1"/>
    <s v="OK"/>
    <n v="19"/>
    <s v="OK"/>
    <n v="28"/>
    <s v="Dec-2024"/>
    <s v="2024-51"/>
    <s v="COD"/>
  </r>
  <r>
    <s v="UT-100284"/>
    <d v="2024-12-15T00:00:00"/>
    <s v="CUST_10283"/>
    <x v="0"/>
    <s v="ACC-CNT-OS"/>
    <x v="4"/>
    <s v="Countdown Earrings"/>
    <n v="799"/>
    <n v="2"/>
    <n v="1598"/>
    <m/>
    <n v="0"/>
    <s v="Wallet"/>
    <x v="1"/>
    <s v="Jaipur"/>
    <s v="Rajasthan"/>
    <s v="Delhi"/>
    <d v="2025-01-02T00:00:00"/>
    <s v="Delivered"/>
    <s v="No"/>
    <x v="0"/>
    <m/>
    <s v="Not Applicable"/>
    <s v="OK"/>
    <b v="0"/>
    <s v="No_Discount"/>
    <n v="1598"/>
    <s v="OK"/>
    <n v="1"/>
    <s v="OK"/>
    <n v="18"/>
    <s v="OK"/>
    <n v="0"/>
    <s v="Dec-2024"/>
    <s v="2024-51"/>
    <s v="Prepaid"/>
  </r>
  <r>
    <s v="UT-100285"/>
    <d v="2024-12-15T00:00:00"/>
    <s v="CUST_10284"/>
    <x v="0"/>
    <s v="TOP-LST-S"/>
    <x v="1"/>
    <s v="Last Dance Top"/>
    <n v="1999"/>
    <n v="1"/>
    <n v="1999"/>
    <m/>
    <n v="0"/>
    <s v="Debit Card"/>
    <x v="2"/>
    <s v="Lucknow"/>
    <s v="Uttar Pradesh"/>
    <s v="Delhi"/>
    <d v="2025-01-03T00:00:00"/>
    <s v="Delivered"/>
    <s v="Yes"/>
    <x v="5"/>
    <d v="2025-01-30T00:00:00"/>
    <s v="Processed"/>
    <s v="OK"/>
    <b v="0"/>
    <s v="No_Discount"/>
    <n v="1999"/>
    <s v="OK"/>
    <n v="1"/>
    <s v="OK"/>
    <n v="19"/>
    <s v="OK"/>
    <n v="27"/>
    <s v="Dec-2024"/>
    <s v="2024-51"/>
    <s v="Prepaid"/>
  </r>
  <r>
    <s v="UT-100286"/>
    <d v="2024-12-16T00:00:00"/>
    <s v="CUST_10285"/>
    <x v="0"/>
    <s v="DRS-BLS-M"/>
    <x v="2"/>
    <s v="Bliss Dress"/>
    <n v="3899"/>
    <n v="1"/>
    <n v="3899"/>
    <d v="2026-12-20T00:00:00"/>
    <n v="20"/>
    <s v="Credit Card"/>
    <x v="0"/>
    <s v="Bangalore"/>
    <s v="Karnataka"/>
    <s v="Bangalore"/>
    <d v="2025-01-04T00:00:00"/>
    <s v="Delivered"/>
    <s v="Yes"/>
    <x v="1"/>
    <d v="2025-02-01T00:00:00"/>
    <s v="Processed"/>
    <s v="OK"/>
    <b v="0"/>
    <s v="Discount_Not_Applied"/>
    <n v="3119.2000000000003"/>
    <s v="Mismatch"/>
    <n v="1"/>
    <s v="OK"/>
    <n v="19"/>
    <s v="OK"/>
    <n v="28"/>
    <s v="Dec-2024"/>
    <s v="2024-51"/>
    <s v="Prepaid"/>
  </r>
  <r>
    <s v="UT-100287"/>
    <d v="2024-12-16T00:00:00"/>
    <s v="CUST_10286"/>
    <x v="0"/>
    <s v="BOT-END-L"/>
    <x v="0"/>
    <s v="Year End Pants"/>
    <n v="2599"/>
    <n v="1"/>
    <n v="2599"/>
    <m/>
    <n v="0"/>
    <s v="UPI"/>
    <x v="1"/>
    <s v="Mumbai"/>
    <s v="Maharashtra"/>
    <s v="Mumbai"/>
    <d v="2025-01-04T00:00:00"/>
    <s v="Delivered"/>
    <s v="No"/>
    <x v="0"/>
    <m/>
    <s v="Not Applicable"/>
    <s v="OK"/>
    <b v="0"/>
    <s v="No_Discount"/>
    <n v="2599"/>
    <s v="OK"/>
    <n v="1"/>
    <s v="OK"/>
    <n v="19"/>
    <s v="OK"/>
    <n v="0"/>
    <s v="Dec-2024"/>
    <s v="2024-51"/>
    <s v="Prepaid"/>
  </r>
  <r>
    <s v="UT-100288"/>
    <d v="2024-12-16T00:00:00"/>
    <s v="CUST_10287"/>
    <x v="0"/>
    <s v="OUT-CLB-M"/>
    <x v="3"/>
    <s v="Celebration Blazer"/>
    <n v="5299"/>
    <n v="1"/>
    <n v="5299"/>
    <m/>
    <n v="0"/>
    <s v="COD"/>
    <x v="2"/>
    <s v="Delhi"/>
    <s v="Delhi"/>
    <s v="Delhi"/>
    <d v="2025-01-05T00:00:00"/>
    <s v="Delivered"/>
    <s v="Yes"/>
    <x v="3"/>
    <d v="2025-02-02T00:00:00"/>
    <s v="Processed"/>
    <s v="OK"/>
    <b v="0"/>
    <s v="No_Discount"/>
    <n v="5299"/>
    <s v="OK"/>
    <n v="1"/>
    <s v="OK"/>
    <n v="20"/>
    <s v="OK"/>
    <n v="28"/>
    <s v="Dec-2024"/>
    <s v="2024-51"/>
    <s v="COD"/>
  </r>
  <r>
    <s v="UT-100289"/>
    <d v="2024-12-16T00:00:00"/>
    <s v="CUST_10288"/>
    <x v="1"/>
    <s v="ACC-FNL-OS"/>
    <x v="4"/>
    <s v="Finale Necklace"/>
    <n v="1399"/>
    <n v="1"/>
    <n v="1399"/>
    <d v="2026-12-20T00:00:00"/>
    <n v="20"/>
    <s v="Wallet"/>
    <x v="0"/>
    <s v="Chandigarh"/>
    <s v="Punjab"/>
    <s v="Delhi"/>
    <d v="2025-01-04T00:00:00"/>
    <s v="Delivered"/>
    <s v="No"/>
    <x v="0"/>
    <m/>
    <s v="Not Applicable"/>
    <s v="OK"/>
    <b v="0"/>
    <s v="Discount_Not_Applied"/>
    <n v="1119.2"/>
    <s v="Mismatch"/>
    <n v="1"/>
    <s v="OK"/>
    <n v="19"/>
    <s v="OK"/>
    <n v="0"/>
    <s v="Dec-2024"/>
    <s v="2024-51"/>
    <s v="Prepaid"/>
  </r>
  <r>
    <s v="UT-100290"/>
    <d v="2024-12-17T00:00:00"/>
    <s v="CUST_10289"/>
    <x v="0"/>
    <s v="TOP-PRY-M"/>
    <x v="1"/>
    <s v="Party Essential Top"/>
    <n v="1799"/>
    <n v="1"/>
    <n v="1799"/>
    <m/>
    <n v="0"/>
    <s v="Debit Card"/>
    <x v="1"/>
    <s v="Noida"/>
    <s v="Uttar Pradesh"/>
    <s v="Delhi"/>
    <d v="2025-01-05T00:00:00"/>
    <s v="Delivered"/>
    <s v="Yes"/>
    <x v="2"/>
    <d v="2025-02-01T00:00:00"/>
    <s v="Processed"/>
    <s v="OK"/>
    <b v="0"/>
    <s v="No_Discount"/>
    <n v="1799"/>
    <s v="OK"/>
    <n v="1"/>
    <s v="OK"/>
    <n v="19"/>
    <s v="OK"/>
    <n v="27"/>
    <s v="Dec-2024"/>
    <s v="2024-51"/>
    <s v="Prepaid"/>
  </r>
  <r>
    <s v="UT-100291"/>
    <d v="2024-12-17T00:00:00"/>
    <s v="CUST_10290"/>
    <x v="0"/>
    <s v="DRS-SHN-L"/>
    <x v="2"/>
    <s v="Shine On Dress"/>
    <n v="4199"/>
    <n v="1"/>
    <n v="4199"/>
    <m/>
    <n v="0"/>
    <s v="Credit Card"/>
    <x v="2"/>
    <s v="Gurgaon"/>
    <s v="Haryana"/>
    <s v="Delhi"/>
    <d v="2025-01-06T00:00:00"/>
    <s v="Delivered"/>
    <s v="Yes"/>
    <x v="1"/>
    <d v="2025-02-03T00:00:00"/>
    <s v="Processed"/>
    <s v="OK"/>
    <b v="0"/>
    <s v="No_Discount"/>
    <n v="4199"/>
    <s v="OK"/>
    <n v="1"/>
    <s v="OK"/>
    <n v="20"/>
    <s v="OK"/>
    <n v="28"/>
    <s v="Dec-2024"/>
    <s v="2024-51"/>
    <s v="Prepaid"/>
  </r>
  <r>
    <s v="UT-100292"/>
    <d v="2024-12-17T00:00:00"/>
    <s v="CUST_10291"/>
    <x v="0"/>
    <s v="BOT-GLD-S"/>
    <x v="0"/>
    <s v="Gold Rush Pants"/>
    <n v="2799"/>
    <n v="1"/>
    <n v="2799"/>
    <d v="2026-12-20T00:00:00"/>
    <n v="20"/>
    <s v="UPI"/>
    <x v="0"/>
    <s v="Indore"/>
    <s v="Madhya Pradesh"/>
    <s v="Mumbai"/>
    <d v="2025-01-06T00:00:00"/>
    <s v="Delivered"/>
    <s v="No"/>
    <x v="0"/>
    <m/>
    <s v="Not Applicable"/>
    <s v="OK"/>
    <b v="0"/>
    <s v="Discount_Not_Applied"/>
    <n v="2239.2000000000003"/>
    <s v="Mismatch"/>
    <n v="1"/>
    <s v="OK"/>
    <n v="20"/>
    <s v="OK"/>
    <n v="0"/>
    <s v="Dec-2024"/>
    <s v="2024-51"/>
    <s v="Prepaid"/>
  </r>
  <r>
    <s v="UT-100293"/>
    <d v="2024-12-17T00:00:00"/>
    <s v="CUST_10292"/>
    <x v="0"/>
    <s v="OUT-DZL-M"/>
    <x v="3"/>
    <s v="Dazzle Jacket"/>
    <n v="5499"/>
    <n v="1"/>
    <n v="5499"/>
    <m/>
    <n v="0"/>
    <s v="COD"/>
    <x v="1"/>
    <s v="Surat"/>
    <s v="Gujarat"/>
    <s v="Mumbai"/>
    <d v="2025-01-07T00:00:00"/>
    <s v="Delivered"/>
    <s v="Yes"/>
    <x v="4"/>
    <d v="2025-02-04T00:00:00"/>
    <s v="Processed"/>
    <s v="OK"/>
    <b v="0"/>
    <s v="No_Discount"/>
    <n v="5499"/>
    <s v="OK"/>
    <n v="1"/>
    <s v="OK"/>
    <n v="21"/>
    <s v="OK"/>
    <n v="28"/>
    <s v="Dec-2024"/>
    <s v="2024-51"/>
    <s v="COD"/>
  </r>
  <r>
    <s v="UT-100294"/>
    <d v="2024-12-18T00:00:00"/>
    <s v="CUST_10293"/>
    <x v="1"/>
    <s v="ACC-GLW-OS"/>
    <x v="4"/>
    <s v="Glow Bracelet"/>
    <n v="699"/>
    <n v="2"/>
    <n v="1398"/>
    <m/>
    <n v="0"/>
    <s v="Wallet"/>
    <x v="2"/>
    <s v="Patna"/>
    <s v="Bihar"/>
    <s v="Delhi"/>
    <d v="2025-01-06T00:00:00"/>
    <s v="Delivered"/>
    <s v="No"/>
    <x v="0"/>
    <m/>
    <s v="Not Applicable"/>
    <s v="OK"/>
    <b v="0"/>
    <s v="No_Discount"/>
    <n v="1398"/>
    <s v="OK"/>
    <n v="1"/>
    <s v="OK"/>
    <n v="19"/>
    <s v="OK"/>
    <n v="0"/>
    <s v="Dec-2024"/>
    <s v="2024-51"/>
    <s v="Prepaid"/>
  </r>
  <r>
    <s v="UT-100295"/>
    <d v="2024-12-18T00:00:00"/>
    <s v="CUST_10294"/>
    <x v="0"/>
    <s v="TOP-SLB-L"/>
    <x v="1"/>
    <s v="Celebrate Top"/>
    <n v="2299"/>
    <n v="1"/>
    <n v="2299"/>
    <d v="2026-12-20T00:00:00"/>
    <n v="20"/>
    <s v="Debit Card"/>
    <x v="0"/>
    <s v="Bhopal"/>
    <s v="Madhya Pradesh"/>
    <s v="Mumbai"/>
    <d v="2025-01-07T00:00:00"/>
    <s v="Delivered"/>
    <s v="Yes"/>
    <x v="5"/>
    <d v="2025-02-03T00:00:00"/>
    <s v="Processed"/>
    <s v="OK"/>
    <b v="0"/>
    <s v="Discount_Not_Applied"/>
    <n v="1839.2"/>
    <s v="Mismatch"/>
    <n v="1"/>
    <s v="OK"/>
    <n v="20"/>
    <s v="OK"/>
    <n v="27"/>
    <s v="Dec-2024"/>
    <s v="2024-51"/>
    <s v="Prepaid"/>
  </r>
  <r>
    <s v="UT-100296"/>
    <d v="2024-12-18T00:00:00"/>
    <s v="CUST_10295"/>
    <x v="0"/>
    <s v="DRS-RDY-S"/>
    <x v="2"/>
    <s v="Ready to Party Dress"/>
    <n v="3599"/>
    <n v="1"/>
    <n v="3599"/>
    <m/>
    <n v="0"/>
    <s v="Credit Card"/>
    <x v="1"/>
    <s v="Nagpur"/>
    <s v="Maharashtra"/>
    <s v="Mumbai"/>
    <d v="2025-01-08T00:00:00"/>
    <s v="Delivered"/>
    <s v="No"/>
    <x v="0"/>
    <m/>
    <s v="Not Applicable"/>
    <s v="OK"/>
    <b v="0"/>
    <s v="No_Discount"/>
    <n v="3599"/>
    <s v="OK"/>
    <n v="1"/>
    <s v="OK"/>
    <n v="21"/>
    <s v="OK"/>
    <n v="0"/>
    <s v="Dec-2024"/>
    <s v="2024-51"/>
    <s v="Prepaid"/>
  </r>
  <r>
    <s v="UT-100297"/>
    <d v="2024-12-18T00:00:00"/>
    <s v="CUST_10296"/>
    <x v="0"/>
    <s v="BOT-BRT-M"/>
    <x v="0"/>
    <s v="Bright Night Pants"/>
    <n v="2499"/>
    <n v="1"/>
    <n v="2499"/>
    <m/>
    <n v="0"/>
    <s v="UPI"/>
    <x v="2"/>
    <s v="Coimbatore"/>
    <s v="Tamil Nadu"/>
    <s v="Bangalore"/>
    <d v="2025-01-08T00:00:00"/>
    <s v="Delivered"/>
    <s v="Yes"/>
    <x v="1"/>
    <d v="2025-02-05T00:00:00"/>
    <s v="Processed"/>
    <s v="OK"/>
    <b v="0"/>
    <s v="No_Discount"/>
    <n v="2499"/>
    <s v="OK"/>
    <n v="1"/>
    <s v="OK"/>
    <n v="21"/>
    <s v="OK"/>
    <n v="28"/>
    <s v="Dec-2024"/>
    <s v="2024-51"/>
    <s v="Prepaid"/>
  </r>
  <r>
    <s v="UT-100298"/>
    <d v="2024-12-19T00:00:00"/>
    <s v="CUST_10297"/>
    <x v="0"/>
    <s v="OUT-END-L"/>
    <x v="3"/>
    <s v="End of Year Coat"/>
    <n v="6799"/>
    <n v="1"/>
    <n v="6799"/>
    <d v="2026-12-20T00:00:00"/>
    <n v="20"/>
    <s v="COD"/>
    <x v="0"/>
    <s v="Kochi"/>
    <s v="Kerala"/>
    <s v="Bangalore"/>
    <d v="2025-01-09T00:00:00"/>
    <s v="Delivered"/>
    <s v="Yes"/>
    <x v="3"/>
    <d v="2025-02-06T00:00:00"/>
    <s v="Processed"/>
    <s v="OK"/>
    <b v="0"/>
    <s v="Discount_Not_Applied"/>
    <n v="5439.2000000000007"/>
    <s v="Mismatch"/>
    <n v="1"/>
    <s v="OK"/>
    <n v="21"/>
    <s v="OK"/>
    <n v="28"/>
    <s v="Dec-2024"/>
    <s v="2024-51"/>
    <s v="COD"/>
  </r>
  <r>
    <s v="UT-100299"/>
    <d v="2024-12-19T00:00:00"/>
    <s v="CUST_10298"/>
    <x v="1"/>
    <s v="ACC-MRY-OS"/>
    <x v="4"/>
    <s v="Merry Earrings"/>
    <n v="599"/>
    <n v="3"/>
    <n v="1797"/>
    <m/>
    <n v="0"/>
    <s v="Wallet"/>
    <x v="1"/>
    <s v="Vizag"/>
    <s v="Andhra Pradesh"/>
    <s v="Bangalore"/>
    <d v="2025-01-08T00:00:00"/>
    <s v="Delivered"/>
    <s v="No"/>
    <x v="0"/>
    <m/>
    <s v="Not Applicable"/>
    <s v="OK"/>
    <b v="0"/>
    <s v="No_Discount"/>
    <n v="1797"/>
    <s v="OK"/>
    <n v="1"/>
    <s v="OK"/>
    <n v="20"/>
    <s v="OK"/>
    <n v="0"/>
    <s v="Dec-2024"/>
    <s v="2024-51"/>
    <s v="Prepaid"/>
  </r>
  <r>
    <s v="UT-100300"/>
    <d v="2024-12-19T00:00:00"/>
    <s v="CUST_10299"/>
    <x v="0"/>
    <s v="TOP-JOY-M"/>
    <x v="1"/>
    <s v="Joyful Top"/>
    <n v="1899"/>
    <n v="1"/>
    <n v="1899"/>
    <m/>
    <n v="0"/>
    <s v="Debit Card"/>
    <x v="2"/>
    <s v="Thiruvananthapuram"/>
    <s v="Kerala"/>
    <s v="Bangalore"/>
    <d v="2025-01-09T00:00:00"/>
    <s v="Delivered"/>
    <s v="Yes"/>
    <x v="2"/>
    <d v="2025-02-05T00:00:00"/>
    <s v="Processed"/>
    <s v="OK"/>
    <b v="0"/>
    <s v="No_Discount"/>
    <n v="1899"/>
    <s v="OK"/>
    <n v="1"/>
    <s v="OK"/>
    <n v="21"/>
    <s v="OK"/>
    <n v="27"/>
    <s v="Dec-2024"/>
    <s v="2024-51"/>
    <s v="Prepaid"/>
  </r>
  <r>
    <s v="UT-100301"/>
    <d v="2024-12-19T00:00:00"/>
    <s v="CUST_10300"/>
    <x v="0"/>
    <s v="DRS-WND-L"/>
    <x v="2"/>
    <s v="Winter Wonder Dress"/>
    <n v="4499"/>
    <n v="1"/>
    <n v="4499"/>
    <d v="2026-12-20T00:00:00"/>
    <n v="20"/>
    <s v="Credit Card"/>
    <x v="0"/>
    <s v="Mysore"/>
    <s v="Karnataka"/>
    <s v="Bangalore"/>
    <d v="2025-01-10T00:00:00"/>
    <s v="Delivered"/>
    <s v="Yes"/>
    <x v="1"/>
    <d v="2025-02-07T00:00:00"/>
    <s v="Processed"/>
    <s v="OK"/>
    <b v="0"/>
    <s v="Discount_Not_Applied"/>
    <n v="3599.2000000000003"/>
    <s v="Mismatch"/>
    <n v="1"/>
    <s v="OK"/>
    <n v="22"/>
    <s v="OK"/>
    <n v="28"/>
    <s v="Dec-2024"/>
    <s v="2024-51"/>
    <s v="Prepaid"/>
  </r>
  <r>
    <s v="UT-100302"/>
    <d v="2024-12-20T00:00:00"/>
    <s v="CUST_10301"/>
    <x v="0"/>
    <s v="BOT-FST-S"/>
    <x v="0"/>
    <s v="Festive Pants"/>
    <n v="2199"/>
    <n v="1"/>
    <n v="2199"/>
    <m/>
    <n v="0"/>
    <s v="UPI"/>
    <x v="1"/>
    <s v="Vadodara"/>
    <s v="Gujarat"/>
    <s v="Mumbai"/>
    <d v="2025-01-10T00:00:00"/>
    <s v="Delivered"/>
    <s v="No"/>
    <x v="0"/>
    <m/>
    <s v="Not Applicable"/>
    <s v="OK"/>
    <b v="0"/>
    <s v="No_Discount"/>
    <n v="2199"/>
    <s v="OK"/>
    <n v="1"/>
    <s v="OK"/>
    <n v="21"/>
    <s v="OK"/>
    <n v="0"/>
    <s v="Dec-2024"/>
    <s v="2024-51"/>
    <s v="Prepaid"/>
  </r>
  <r>
    <s v="UT-100303"/>
    <d v="2024-12-20T00:00:00"/>
    <s v="CUST_10302"/>
    <x v="0"/>
    <s v="OUT-HOL-M"/>
    <x v="3"/>
    <s v="Holiday Jacket"/>
    <n v="5199"/>
    <n v="1"/>
    <n v="5199"/>
    <m/>
    <n v="0"/>
    <s v="COD"/>
    <x v="2"/>
    <s v="Rajkot"/>
    <s v="Gujarat"/>
    <s v="Mumbai"/>
    <d v="2025-01-11T00:00:00"/>
    <s v="Delivered"/>
    <s v="Yes"/>
    <x v="4"/>
    <d v="2025-02-08T00:00:00"/>
    <s v="Processed"/>
    <s v="OK"/>
    <b v="0"/>
    <s v="No_Discount"/>
    <n v="5199"/>
    <s v="OK"/>
    <n v="1"/>
    <s v="OK"/>
    <n v="22"/>
    <s v="OK"/>
    <n v="28"/>
    <s v="Dec-2024"/>
    <s v="2024-51"/>
    <s v="COD"/>
  </r>
  <r>
    <s v="UT-100304"/>
    <d v="2024-12-20T00:00:00"/>
    <s v="CUST_10303"/>
    <x v="1"/>
    <s v="ACC-CHR-OS"/>
    <x v="4"/>
    <s v="Christmas Brooch"/>
    <n v="499"/>
    <n v="2"/>
    <n v="998"/>
    <d v="2026-12-20T00:00:00"/>
    <n v="20"/>
    <s v="Wallet"/>
    <x v="0"/>
    <s v="Kanpur"/>
    <s v="Uttar Pradesh"/>
    <s v="Delhi"/>
    <d v="2025-01-10T00:00:00"/>
    <s v="Delivered"/>
    <s v="No"/>
    <x v="0"/>
    <m/>
    <s v="Not Applicable"/>
    <s v="OK"/>
    <b v="0"/>
    <s v="Discount_Not_Applied"/>
    <n v="798.40000000000009"/>
    <s v="Mismatch"/>
    <n v="1"/>
    <s v="OK"/>
    <n v="21"/>
    <s v="OK"/>
    <n v="0"/>
    <s v="Dec-2024"/>
    <s v="2024-51"/>
    <s v="Prepaid"/>
  </r>
  <r>
    <s v="UT-100305"/>
    <d v="2024-12-20T00:00:00"/>
    <s v="CUST_10304"/>
    <x v="0"/>
    <s v="TOP-SNW-L"/>
    <x v="1"/>
    <s v="Snow White Top"/>
    <n v="2099"/>
    <n v="1"/>
    <n v="2099"/>
    <m/>
    <n v="0"/>
    <s v="Debit Card"/>
    <x v="1"/>
    <s v="Mumbai"/>
    <s v="Maharashtra"/>
    <s v="Mumbai"/>
    <d v="2025-01-11T00:00:00"/>
    <s v="Delivered"/>
    <s v="Yes"/>
    <x v="5"/>
    <d v="2025-02-07T00:00:00"/>
    <s v="Processed"/>
    <s v="OK"/>
    <b v="0"/>
    <s v="No_Discount"/>
    <n v="2099"/>
    <s v="OK"/>
    <n v="1"/>
    <s v="OK"/>
    <n v="22"/>
    <s v="OK"/>
    <n v="27"/>
    <s v="Dec-2024"/>
    <s v="2024-51"/>
    <s v="Prepaid"/>
  </r>
  <r>
    <s v="UT-100306"/>
    <d v="2024-12-21T00:00:00"/>
    <s v="CUST_10305"/>
    <x v="0"/>
    <s v="DRS-ICE-S"/>
    <x v="2"/>
    <s v="Ice Queen Dress"/>
    <n v="3999"/>
    <n v="1"/>
    <n v="3999"/>
    <m/>
    <n v="0"/>
    <s v="Credit Card"/>
    <x v="2"/>
    <s v="Delhi"/>
    <s v="Delhi"/>
    <s v="Delhi"/>
    <d v="2025-01-12T00:00:00"/>
    <s v="Delivered"/>
    <s v="Yes"/>
    <x v="1"/>
    <d v="2025-02-09T00:00:00"/>
    <s v="Processed"/>
    <s v="OK"/>
    <b v="0"/>
    <s v="No_Discount"/>
    <n v="3999"/>
    <s v="OK"/>
    <n v="1"/>
    <s v="OK"/>
    <n v="22"/>
    <s v="OK"/>
    <n v="28"/>
    <s v="Dec-2024"/>
    <s v="2024-51"/>
    <s v="Prepaid"/>
  </r>
  <r>
    <s v="UT-100307"/>
    <d v="2024-12-21T00:00:00"/>
    <s v="CUST_10306"/>
    <x v="0"/>
    <s v="BOT-FRZ-M"/>
    <x v="0"/>
    <s v="Frozen Pants"/>
    <n v="2399"/>
    <n v="1"/>
    <n v="2399"/>
    <d v="2026-12-20T00:00:00"/>
    <n v="20"/>
    <s v="UPI"/>
    <x v="0"/>
    <s v="Kolkata"/>
    <s v="West Bengal"/>
    <s v="Delhi"/>
    <d v="2025-01-12T00:00:00"/>
    <s v="Delivered"/>
    <s v="No"/>
    <x v="0"/>
    <m/>
    <s v="Not Applicable"/>
    <s v="OK"/>
    <b v="0"/>
    <s v="Discount_Not_Applied"/>
    <n v="1919.2"/>
    <s v="Mismatch"/>
    <n v="1"/>
    <s v="OK"/>
    <n v="22"/>
    <s v="OK"/>
    <n v="0"/>
    <s v="Dec-2024"/>
    <s v="2024-51"/>
    <s v="Prepaid"/>
  </r>
  <r>
    <s v="UT-100308"/>
    <d v="2024-12-21T00:00:00"/>
    <s v="CUST_10307"/>
    <x v="0"/>
    <s v="OUT-WNT-L"/>
    <x v="3"/>
    <s v="Winter Wonderland Coat"/>
    <n v="7299"/>
    <n v="1"/>
    <n v="7299"/>
    <m/>
    <n v="0"/>
    <s v="COD"/>
    <x v="1"/>
    <s v="Chennai"/>
    <s v="Tamil Nadu"/>
    <s v="Bangalore"/>
    <d v="2025-01-13T00:00:00"/>
    <s v="Delivered"/>
    <s v="Yes"/>
    <x v="3"/>
    <d v="2025-02-10T00:00:00"/>
    <s v="Processed"/>
    <s v="OK"/>
    <b v="0"/>
    <s v="No_Discount"/>
    <n v="7299"/>
    <s v="OK"/>
    <n v="1"/>
    <s v="OK"/>
    <n v="23"/>
    <s v="OK"/>
    <n v="28"/>
    <s v="Dec-2024"/>
    <s v="2024-51"/>
    <s v="COD"/>
  </r>
  <r>
    <s v="UT-100309"/>
    <d v="2024-12-21T00:00:00"/>
    <s v="CUST_10308"/>
    <x v="1"/>
    <s v="ACC-SNF-OS"/>
    <x v="4"/>
    <s v="Snowflake Pendant"/>
    <n v="899"/>
    <n v="1"/>
    <n v="899"/>
    <m/>
    <n v="0"/>
    <s v="Wallet"/>
    <x v="2"/>
    <s v="Hyderabad"/>
    <s v="Telangana"/>
    <s v="Bangalore"/>
    <d v="2025-01-12T00:00:00"/>
    <s v="Delivered"/>
    <s v="Yes"/>
    <x v="2"/>
    <d v="2025-02-08T00:00:00"/>
    <s v="Processed"/>
    <s v="OK"/>
    <b v="0"/>
    <s v="No_Discount"/>
    <n v="899"/>
    <s v="OK"/>
    <n v="1"/>
    <s v="OK"/>
    <n v="22"/>
    <s v="OK"/>
    <n v="27"/>
    <s v="Dec-2024"/>
    <s v="2024-51"/>
    <s v="Prepaid"/>
  </r>
  <r>
    <s v="UT-100310"/>
    <d v="2024-12-22T00:00:00"/>
    <s v="CUST_10309"/>
    <x v="0"/>
    <s v="TOP-XMS-M"/>
    <x v="1"/>
    <s v="Christmas Spirit Top"/>
    <n v="1999"/>
    <n v="1"/>
    <n v="1999"/>
    <d v="2026-12-20T00:00:00"/>
    <n v="20"/>
    <s v="Debit Card"/>
    <x v="0"/>
    <s v="Pune"/>
    <s v="Maharashtra"/>
    <s v="Mumbai"/>
    <d v="2025-01-13T00:00:00"/>
    <s v="Delivered"/>
    <s v="No"/>
    <x v="0"/>
    <m/>
    <s v="Not Applicable"/>
    <s v="OK"/>
    <b v="0"/>
    <s v="Discount_Not_Applied"/>
    <n v="1599.2"/>
    <s v="Mismatch"/>
    <n v="1"/>
    <s v="OK"/>
    <n v="22"/>
    <s v="OK"/>
    <n v="0"/>
    <s v="Dec-2024"/>
    <s v="2024-52"/>
    <s v="Prepaid"/>
  </r>
  <r>
    <s v="UT-100311"/>
    <d v="2024-12-22T00:00:00"/>
    <s v="CUST_10310"/>
    <x v="0"/>
    <s v="DRS-NYR-L"/>
    <x v="2"/>
    <s v="New Year Ready Dress"/>
    <n v="4699"/>
    <n v="1"/>
    <n v="4699"/>
    <m/>
    <n v="0"/>
    <s v="Credit Card"/>
    <x v="1"/>
    <s v="Ahmedabad"/>
    <s v="Gujarat"/>
    <s v="Mumbai"/>
    <d v="2025-01-14T00:00:00"/>
    <s v="Delivered"/>
    <s v="Yes"/>
    <x v="1"/>
    <d v="2025-02-11T00:00:00"/>
    <s v="Processed"/>
    <s v="OK"/>
    <b v="0"/>
    <s v="No_Discount"/>
    <n v="4699"/>
    <s v="OK"/>
    <n v="1"/>
    <s v="OK"/>
    <n v="23"/>
    <s v="OK"/>
    <n v="28"/>
    <s v="Dec-2024"/>
    <s v="2024-52"/>
    <s v="Prepaid"/>
  </r>
  <r>
    <s v="UT-100312"/>
    <d v="2024-12-22T00:00:00"/>
    <s v="CUST_10311"/>
    <x v="0"/>
    <s v="BOT-HLD-S"/>
    <x v="0"/>
    <s v="Holiday Special Pants"/>
    <n v="2299"/>
    <n v="1"/>
    <n v="2299"/>
    <m/>
    <n v="0"/>
    <s v="UPI"/>
    <x v="2"/>
    <s v="Jaipur"/>
    <s v="Rajasthan"/>
    <s v="Delhi"/>
    <d v="2025-01-14T00:00:00"/>
    <s v="Delivered"/>
    <s v="No"/>
    <x v="0"/>
    <m/>
    <s v="Not Applicable"/>
    <s v="OK"/>
    <b v="0"/>
    <s v="No_Discount"/>
    <n v="2299"/>
    <s v="OK"/>
    <n v="1"/>
    <s v="OK"/>
    <n v="23"/>
    <s v="OK"/>
    <n v="0"/>
    <s v="Dec-2024"/>
    <s v="2024-52"/>
    <s v="Prepaid"/>
  </r>
  <r>
    <s v="UT-100313"/>
    <d v="2024-12-22T00:00:00"/>
    <s v="CUST_10312"/>
    <x v="0"/>
    <s v="OUT-CEL-M"/>
    <x v="3"/>
    <s v="Celebrate Blazer"/>
    <n v="5399"/>
    <n v="1"/>
    <n v="5399"/>
    <d v="2026-12-20T00:00:00"/>
    <n v="20"/>
    <s v="COD"/>
    <x v="0"/>
    <s v="Lucknow"/>
    <s v="Uttar Pradesh"/>
    <s v="Delhi"/>
    <d v="2025-01-15T00:00:00"/>
    <s v="Delivered"/>
    <s v="Yes"/>
    <x v="4"/>
    <d v="2025-02-12T00:00:00"/>
    <s v="Processed"/>
    <s v="OK"/>
    <b v="0"/>
    <s v="Discount_Not_Applied"/>
    <n v="4319.2"/>
    <s v="Mismatch"/>
    <n v="1"/>
    <s v="OK"/>
    <n v="24"/>
    <s v="OK"/>
    <n v="28"/>
    <s v="Dec-2024"/>
    <s v="2024-52"/>
    <s v="COD"/>
  </r>
  <r>
    <s v="UT-100314"/>
    <d v="2024-12-23T00:00:00"/>
    <s v="CUST_10313"/>
    <x v="1"/>
    <s v="ACC-WRM-OS"/>
    <x v="4"/>
    <s v="Warm Wishes Scarf"/>
    <n v="1199"/>
    <n v="1"/>
    <n v="1199"/>
    <m/>
    <n v="0"/>
    <s v="Wallet"/>
    <x v="1"/>
    <s v="Bangalore"/>
    <s v="Karnataka"/>
    <s v="Bangalore"/>
    <d v="2025-01-14T00:00:00"/>
    <s v="Delivered"/>
    <s v="No"/>
    <x v="0"/>
    <m/>
    <s v="Not Applicable"/>
    <s v="OK"/>
    <b v="0"/>
    <s v="No_Discount"/>
    <n v="1199"/>
    <s v="OK"/>
    <n v="1"/>
    <s v="OK"/>
    <n v="22"/>
    <s v="OK"/>
    <n v="0"/>
    <s v="Dec-2024"/>
    <s v="2024-52"/>
    <s v="Prepaid"/>
  </r>
  <r>
    <s v="UT-100315"/>
    <d v="2024-12-23T00:00:00"/>
    <s v="CUST_10314"/>
    <x v="0"/>
    <s v="TOP-FLK-L"/>
    <x v="1"/>
    <s v="Snowflake Top"/>
    <n v="2199"/>
    <n v="1"/>
    <n v="2199"/>
    <m/>
    <n v="0"/>
    <s v="Debit Card"/>
    <x v="2"/>
    <s v="Mumbai"/>
    <s v="Maharashtra"/>
    <s v="Mumbai"/>
    <d v="2025-01-15T00:00:00"/>
    <s v="Delivered"/>
    <s v="Yes"/>
    <x v="5"/>
    <d v="2025-02-11T00:00:00"/>
    <s v="Processed"/>
    <s v="OK"/>
    <b v="0"/>
    <s v="No_Discount"/>
    <n v="2199"/>
    <s v="OK"/>
    <n v="1"/>
    <s v="OK"/>
    <n v="23"/>
    <s v="OK"/>
    <n v="27"/>
    <s v="Dec-2024"/>
    <s v="2024-52"/>
    <s v="Prepaid"/>
  </r>
  <r>
    <s v="UT-100316"/>
    <d v="2024-12-23T00:00:00"/>
    <s v="CUST_10315"/>
    <x v="0"/>
    <s v="DRS-SPR-S"/>
    <x v="2"/>
    <s v="Sparkle Season Dress"/>
    <n v="3799"/>
    <n v="1"/>
    <n v="3799"/>
    <d v="2026-12-20T00:00:00"/>
    <n v="20"/>
    <s v="Credit Card"/>
    <x v="0"/>
    <s v="Delhi"/>
    <s v="Delhi"/>
    <s v="Delhi"/>
    <d v="2025-01-16T00:00:00"/>
    <s v="Delivered"/>
    <s v="Yes"/>
    <x v="1"/>
    <d v="2025-02-13T00:00:00"/>
    <s v="Processed"/>
    <s v="OK"/>
    <b v="0"/>
    <s v="Discount_Not_Applied"/>
    <n v="3039.2000000000003"/>
    <s v="Mismatch"/>
    <n v="1"/>
    <s v="OK"/>
    <n v="24"/>
    <s v="OK"/>
    <n v="28"/>
    <s v="Dec-2024"/>
    <s v="2024-52"/>
    <s v="Prepaid"/>
  </r>
  <r>
    <s v="UT-100317"/>
    <d v="2024-12-23T00:00:00"/>
    <s v="CUST_10316"/>
    <x v="0"/>
    <s v="BOT-CHR-M"/>
    <x v="0"/>
    <s v="Cheer Pants"/>
    <n v="2499"/>
    <n v="1"/>
    <n v="2499"/>
    <m/>
    <n v="0"/>
    <s v="UPI"/>
    <x v="1"/>
    <s v="Chandigarh"/>
    <s v="Punjab"/>
    <s v="Delhi"/>
    <d v="2025-01-16T00:00:00"/>
    <s v="Delivered"/>
    <s v="No"/>
    <x v="0"/>
    <m/>
    <s v="Not Applicable"/>
    <s v="OK"/>
    <b v="0"/>
    <s v="No_Discount"/>
    <n v="2499"/>
    <s v="OK"/>
    <n v="1"/>
    <s v="OK"/>
    <n v="24"/>
    <s v="OK"/>
    <n v="0"/>
    <s v="Dec-2024"/>
    <s v="2024-52"/>
    <s v="Prepaid"/>
  </r>
  <r>
    <s v="UT-100318"/>
    <d v="2024-12-24T00:00:00"/>
    <s v="CUST_10317"/>
    <x v="0"/>
    <s v="OUT-XMS-L"/>
    <x v="3"/>
    <s v="Christmas Coat"/>
    <n v="6499"/>
    <n v="1"/>
    <n v="6499"/>
    <m/>
    <n v="0"/>
    <s v="COD"/>
    <x v="2"/>
    <s v="Noida"/>
    <s v="Uttar Pradesh"/>
    <s v="Delhi"/>
    <d v="2025-01-17T00:00:00"/>
    <s v="Delivered"/>
    <s v="Yes"/>
    <x v="3"/>
    <d v="2025-02-14T00:00:00"/>
    <s v="Processed"/>
    <s v="OK"/>
    <b v="0"/>
    <s v="No_Discount"/>
    <n v="6499"/>
    <s v="OK"/>
    <n v="1"/>
    <s v="OK"/>
    <n v="24"/>
    <s v="OK"/>
    <n v="28"/>
    <s v="Dec-2024"/>
    <s v="2024-52"/>
    <s v="COD"/>
  </r>
  <r>
    <s v="UT-100319"/>
    <d v="2024-12-24T00:00:00"/>
    <s v="CUST_10318"/>
    <x v="1"/>
    <s v="ACC-BEL-OS"/>
    <x v="4"/>
    <s v="Bell Earrings"/>
    <n v="499"/>
    <n v="3"/>
    <n v="1497"/>
    <d v="2026-12-20T00:00:00"/>
    <n v="20"/>
    <s v="Wallet"/>
    <x v="0"/>
    <s v="Gurgaon"/>
    <s v="Haryana"/>
    <s v="Delhi"/>
    <d v="2025-01-16T00:00:00"/>
    <s v="Delivered"/>
    <s v="No"/>
    <x v="0"/>
    <m/>
    <s v="Not Applicable"/>
    <s v="OK"/>
    <b v="0"/>
    <s v="Discount_Not_Applied"/>
    <n v="1197.6000000000001"/>
    <s v="Mismatch"/>
    <n v="1"/>
    <s v="OK"/>
    <n v="23"/>
    <s v="OK"/>
    <n v="0"/>
    <s v="Dec-2024"/>
    <s v="2024-52"/>
    <s v="Prepaid"/>
  </r>
  <r>
    <s v="UT-100320"/>
    <d v="2024-12-24T00:00:00"/>
    <s v="CUST_10319"/>
    <x v="0"/>
    <s v="TOP-RDR-M"/>
    <x v="1"/>
    <s v="Reindeer Top"/>
    <n v="1799"/>
    <n v="1"/>
    <n v="1799"/>
    <m/>
    <n v="0"/>
    <s v="Debit Card"/>
    <x v="1"/>
    <s v="Indore"/>
    <s v="Madhya Pradesh"/>
    <s v="Mumbai"/>
    <d v="2025-01-17T00:00:00"/>
    <s v="Delivered"/>
    <s v="Yes"/>
    <x v="2"/>
    <d v="2025-02-13T00:00:00"/>
    <s v="Processed"/>
    <s v="OK"/>
    <b v="0"/>
    <s v="No_Discount"/>
    <n v="1799"/>
    <s v="OK"/>
    <n v="1"/>
    <s v="OK"/>
    <n v="24"/>
    <s v="OK"/>
    <n v="27"/>
    <s v="Dec-2024"/>
    <s v="2024-52"/>
    <s v="Prepaid"/>
  </r>
  <r>
    <s v="UT-100321"/>
    <d v="2024-12-24T00:00:00"/>
    <s v="CUST_10320"/>
    <x v="0"/>
    <s v="DRS-STR-L"/>
    <x v="2"/>
    <s v="Star Bright Dress"/>
    <n v="4299"/>
    <n v="1"/>
    <n v="4299"/>
    <m/>
    <n v="0"/>
    <s v="Credit Card"/>
    <x v="2"/>
    <s v="Surat"/>
    <s v="Gujarat"/>
    <s v="Mumbai"/>
    <d v="2025-01-18T00:00:00"/>
    <s v="Delivered"/>
    <s v="Yes"/>
    <x v="1"/>
    <d v="2025-02-15T00:00:00"/>
    <s v="Processed"/>
    <s v="OK"/>
    <b v="0"/>
    <s v="No_Discount"/>
    <n v="4299"/>
    <s v="OK"/>
    <n v="1"/>
    <s v="OK"/>
    <n v="25"/>
    <s v="OK"/>
    <n v="28"/>
    <s v="Dec-2024"/>
    <s v="2024-52"/>
    <s v="Prepaid"/>
  </r>
  <r>
    <s v="UT-100322"/>
    <d v="2024-12-25T00:00:00"/>
    <s v="CUST_10321"/>
    <x v="0"/>
    <s v="BOT-MRY-S"/>
    <x v="0"/>
    <s v="Merry Leggings"/>
    <n v="1899"/>
    <n v="1"/>
    <n v="1899"/>
    <d v="2026-12-20T00:00:00"/>
    <n v="20"/>
    <s v="UPI"/>
    <x v="0"/>
    <s v="Patna"/>
    <s v="Bihar"/>
    <s v="Delhi"/>
    <d v="2025-01-18T00:00:00"/>
    <s v="Delivered"/>
    <s v="No"/>
    <x v="0"/>
    <m/>
    <s v="Not Applicable"/>
    <s v="OK"/>
    <b v="0"/>
    <s v="Discount_Not_Applied"/>
    <n v="1519.2"/>
    <s v="Mismatch"/>
    <n v="1"/>
    <s v="OK"/>
    <n v="24"/>
    <s v="OK"/>
    <n v="0"/>
    <s v="Dec-2024"/>
    <s v="2024-52"/>
    <s v="Prepaid"/>
  </r>
  <r>
    <s v="UT-100323"/>
    <d v="2024-12-25T00:00:00"/>
    <s v="CUST_10322"/>
    <x v="0"/>
    <s v="OUT-JOL-M"/>
    <x v="3"/>
    <s v="Jolly Jacket"/>
    <n v="4999"/>
    <n v="1"/>
    <n v="4999"/>
    <m/>
    <n v="0"/>
    <s v="COD"/>
    <x v="1"/>
    <s v="Bhopal"/>
    <s v="Madhya Pradesh"/>
    <s v="Mumbai"/>
    <d v="2025-01-19T00:00:00"/>
    <s v="Delivered"/>
    <s v="Yes"/>
    <x v="4"/>
    <d v="2025-02-16T00:00:00"/>
    <s v="Processed"/>
    <s v="OK"/>
    <b v="0"/>
    <s v="No_Discount"/>
    <n v="4999"/>
    <s v="OK"/>
    <n v="1"/>
    <s v="OK"/>
    <n v="25"/>
    <s v="OK"/>
    <n v="28"/>
    <s v="Dec-2024"/>
    <s v="2024-52"/>
    <s v="COD"/>
  </r>
  <r>
    <s v="UT-100324"/>
    <d v="2024-12-25T00:00:00"/>
    <s v="CUST_10323"/>
    <x v="1"/>
    <s v="ACC-GFT-OS"/>
    <x v="4"/>
    <s v="Gift Box Clutch"/>
    <n v="1399"/>
    <n v="1"/>
    <n v="1399"/>
    <m/>
    <n v="0"/>
    <s v="Wallet"/>
    <x v="2"/>
    <s v="Nagpur"/>
    <s v="Maharashtra"/>
    <s v="Mumbai"/>
    <d v="2025-01-18T00:00:00"/>
    <s v="Delivered"/>
    <s v="No"/>
    <x v="0"/>
    <m/>
    <s v="Not Applicable"/>
    <s v="OK"/>
    <b v="0"/>
    <s v="No_Discount"/>
    <n v="1399"/>
    <s v="OK"/>
    <n v="1"/>
    <s v="OK"/>
    <n v="24"/>
    <s v="OK"/>
    <n v="0"/>
    <s v="Dec-2024"/>
    <s v="2024-52"/>
    <s v="Prepaid"/>
  </r>
  <r>
    <s v="UT-100325"/>
    <d v="2024-12-25T00:00:00"/>
    <s v="CUST_10324"/>
    <x v="0"/>
    <s v="TOP-HLY-L"/>
    <x v="1"/>
    <s v="Holly Top"/>
    <n v="2099"/>
    <n v="1"/>
    <n v="2099"/>
    <d v="2026-12-20T00:00:00"/>
    <n v="20"/>
    <s v="Debit Card"/>
    <x v="0"/>
    <s v="Coimbatore"/>
    <s v="Tamil Nadu"/>
    <s v="Bangalore"/>
    <d v="2025-01-19T00:00:00"/>
    <s v="Delivered"/>
    <s v="Yes"/>
    <x v="5"/>
    <d v="2025-02-15T00:00:00"/>
    <s v="Processed"/>
    <s v="OK"/>
    <b v="0"/>
    <s v="Discount_Not_Applied"/>
    <n v="1679.2"/>
    <s v="Mismatch"/>
    <n v="1"/>
    <s v="OK"/>
    <n v="25"/>
    <s v="OK"/>
    <n v="27"/>
    <s v="Dec-2024"/>
    <s v="2024-52"/>
    <s v="Prepaid"/>
  </r>
  <r>
    <s v="UT-100326"/>
    <d v="2024-12-26T00:00:00"/>
    <s v="CUST_10325"/>
    <x v="0"/>
    <s v="DRS-BOX-S"/>
    <x v="2"/>
    <s v="Boxing Day Dress"/>
    <n v="2999"/>
    <n v="1"/>
    <n v="2999"/>
    <m/>
    <n v="0"/>
    <s v="Credit Card"/>
    <x v="1"/>
    <s v="Kochi"/>
    <s v="Kerala"/>
    <s v="Bangalore"/>
    <d v="2025-01-20T00:00:00"/>
    <s v="Delivered"/>
    <s v="Yes"/>
    <x v="1"/>
    <d v="2025-02-17T00:00:00"/>
    <s v="Processed"/>
    <s v="OK"/>
    <b v="0"/>
    <s v="No_Discount"/>
    <n v="2999"/>
    <s v="OK"/>
    <n v="1"/>
    <s v="OK"/>
    <n v="25"/>
    <s v="OK"/>
    <n v="28"/>
    <s v="Dec-2024"/>
    <s v="2024-52"/>
    <s v="Prepaid"/>
  </r>
  <r>
    <s v="UT-100327"/>
    <d v="2024-12-26T00:00:00"/>
    <s v="CUST_10326"/>
    <x v="0"/>
    <s v="BOT-SLE-M"/>
    <x v="0"/>
    <s v="Sale Season Pants"/>
    <n v="2199"/>
    <n v="1"/>
    <n v="2199"/>
    <m/>
    <n v="0"/>
    <s v="UPI"/>
    <x v="2"/>
    <s v="Vizag"/>
    <s v="Andhra Pradesh"/>
    <s v="Bangalore"/>
    <d v="2025-01-20T00:00:00"/>
    <s v="Delivered"/>
    <s v="No"/>
    <x v="0"/>
    <m/>
    <s v="Not Applicable"/>
    <s v="OK"/>
    <b v="0"/>
    <s v="No_Discount"/>
    <n v="2199"/>
    <s v="OK"/>
    <n v="1"/>
    <s v="OK"/>
    <n v="25"/>
    <s v="OK"/>
    <n v="0"/>
    <s v="Dec-2024"/>
    <s v="2024-52"/>
    <s v="Prepaid"/>
  </r>
  <r>
    <s v="UT-100328"/>
    <d v="2024-12-26T00:00:00"/>
    <s v="CUST_10327"/>
    <x v="0"/>
    <s v="OUT-SAL-L"/>
    <x v="3"/>
    <s v="Sale Special Coat"/>
    <n v="5999"/>
    <n v="1"/>
    <n v="5999"/>
    <d v="2026-12-20T00:00:00"/>
    <n v="20"/>
    <s v="COD"/>
    <x v="0"/>
    <s v="Thiruvananthapuram"/>
    <s v="Kerala"/>
    <s v="Bangalore"/>
    <d v="2025-01-21T00:00:00"/>
    <s v="Delivered"/>
    <s v="Yes"/>
    <x v="3"/>
    <d v="2025-02-18T00:00:00"/>
    <s v="Processed"/>
    <s v="OK"/>
    <b v="0"/>
    <s v="Discount_Not_Applied"/>
    <n v="4799.2"/>
    <s v="Mismatch"/>
    <n v="1"/>
    <s v="OK"/>
    <n v="26"/>
    <s v="OK"/>
    <n v="28"/>
    <s v="Dec-2024"/>
    <s v="2024-52"/>
    <s v="COD"/>
  </r>
  <r>
    <s v="UT-100329"/>
    <d v="2024-12-26T00:00:00"/>
    <s v="CUST_10328"/>
    <x v="1"/>
    <s v="ACC-DIS-OS"/>
    <x v="4"/>
    <s v="Discount Find Bag"/>
    <n v="1299"/>
    <n v="1"/>
    <n v="1299"/>
    <m/>
    <n v="0"/>
    <s v="Wallet"/>
    <x v="1"/>
    <s v="Mysore"/>
    <s v="Karnataka"/>
    <s v="Bangalore"/>
    <d v="2025-01-20T00:00:00"/>
    <s v="Delivered"/>
    <s v="Yes"/>
    <x v="2"/>
    <d v="2025-02-16T00:00:00"/>
    <s v="Processed"/>
    <s v="OK"/>
    <b v="0"/>
    <s v="No_Discount"/>
    <n v="1299"/>
    <s v="OK"/>
    <n v="1"/>
    <s v="OK"/>
    <n v="25"/>
    <s v="OK"/>
    <n v="27"/>
    <s v="Dec-2024"/>
    <s v="2024-52"/>
    <s v="Prepaid"/>
  </r>
  <r>
    <s v="UT-100330"/>
    <d v="2024-12-27T00:00:00"/>
    <s v="CUST_10329"/>
    <x v="0"/>
    <s v="TOP-CLR-M"/>
    <x v="1"/>
    <s v="Clearance Top"/>
    <n v="999"/>
    <n v="2"/>
    <n v="1998"/>
    <m/>
    <n v="0"/>
    <s v="Debit Card"/>
    <x v="2"/>
    <s v="Vadodara"/>
    <s v="Gujarat"/>
    <s v="Mumbai"/>
    <d v="2025-01-21T00:00:00"/>
    <s v="Delivered"/>
    <s v="No"/>
    <x v="0"/>
    <m/>
    <s v="Not Applicable"/>
    <s v="OK"/>
    <b v="0"/>
    <s v="No_Discount"/>
    <n v="1998"/>
    <s v="OK"/>
    <n v="1"/>
    <s v="OK"/>
    <n v="25"/>
    <s v="OK"/>
    <n v="0"/>
    <s v="Dec-2024"/>
    <s v="2024-52"/>
    <s v="Prepaid"/>
  </r>
  <r>
    <s v="UT-100331"/>
    <d v="2024-12-27T00:00:00"/>
    <s v="CUST_10330"/>
    <x v="0"/>
    <s v="DRS-END-L"/>
    <x v="2"/>
    <s v="Year End Dress"/>
    <n v="3499"/>
    <n v="1"/>
    <n v="3499"/>
    <d v="2026-12-20T00:00:00"/>
    <n v="20"/>
    <s v="Credit Card"/>
    <x v="0"/>
    <s v="Rajkot"/>
    <s v="Gujarat"/>
    <s v="Mumbai"/>
    <d v="2025-01-22T00:00:00"/>
    <s v="Delivered"/>
    <s v="Yes"/>
    <x v="1"/>
    <d v="2025-02-19T00:00:00"/>
    <s v="Processed"/>
    <s v="OK"/>
    <b v="0"/>
    <s v="Discount_Not_Applied"/>
    <n v="2799.2000000000003"/>
    <s v="Mismatch"/>
    <n v="1"/>
    <s v="OK"/>
    <n v="26"/>
    <s v="OK"/>
    <n v="28"/>
    <s v="Dec-2024"/>
    <s v="2024-52"/>
    <s v="Prepaid"/>
  </r>
  <r>
    <s v="UT-100332"/>
    <d v="2024-12-27T00:00:00"/>
    <s v="CUST_10331"/>
    <x v="0"/>
    <s v="BOT-FNL-S"/>
    <x v="0"/>
    <s v="Final Sale Pants"/>
    <n v="1799"/>
    <n v="1"/>
    <n v="1799"/>
    <m/>
    <n v="0"/>
    <s v="UPI"/>
    <x v="1"/>
    <s v="Kanpur"/>
    <s v="Uttar Pradesh"/>
    <s v="Delhi"/>
    <d v="2025-01-22T00:00:00"/>
    <s v="Delivered"/>
    <s v="No"/>
    <x v="0"/>
    <m/>
    <s v="Not Applicable"/>
    <s v="OK"/>
    <b v="0"/>
    <s v="No_Discount"/>
    <n v="1799"/>
    <s v="OK"/>
    <n v="1"/>
    <s v="OK"/>
    <n v="26"/>
    <s v="OK"/>
    <n v="0"/>
    <s v="Dec-2024"/>
    <s v="2024-52"/>
    <s v="Prepaid"/>
  </r>
  <r>
    <s v="UT-100333"/>
    <d v="2024-12-27T00:00:00"/>
    <s v="CUST_10332"/>
    <x v="0"/>
    <s v="OUT-LST-M"/>
    <x v="3"/>
    <s v="Last Chance Jacket"/>
    <n v="4599"/>
    <n v="1"/>
    <n v="4599"/>
    <m/>
    <n v="0"/>
    <s v="COD"/>
    <x v="2"/>
    <s v="Mumbai"/>
    <s v="Maharashtra"/>
    <s v="Mumbai"/>
    <d v="2025-01-23T00:00:00"/>
    <s v="Delivered"/>
    <s v="Yes"/>
    <x v="4"/>
    <d v="2025-02-20T00:00:00"/>
    <s v="Processed"/>
    <s v="OK"/>
    <b v="0"/>
    <s v="No_Discount"/>
    <n v="4599"/>
    <s v="OK"/>
    <n v="1"/>
    <s v="OK"/>
    <n v="27"/>
    <s v="OK"/>
    <n v="28"/>
    <s v="Dec-2024"/>
    <s v="2024-52"/>
    <s v="COD"/>
  </r>
  <r>
    <s v="UT-100334"/>
    <d v="2024-12-28T00:00:00"/>
    <s v="CUST_10333"/>
    <x v="1"/>
    <s v="ACC-NWY-OS"/>
    <x v="4"/>
    <s v="New Year Tiara"/>
    <n v="799"/>
    <n v="1"/>
    <n v="799"/>
    <d v="2026-12-20T00:00:00"/>
    <n v="20"/>
    <s v="Wallet"/>
    <x v="0"/>
    <s v="Delhi"/>
    <s v="Delhi"/>
    <s v="Delhi"/>
    <d v="2025-01-22T00:00:00"/>
    <s v="Delivered"/>
    <s v="No"/>
    <x v="0"/>
    <m/>
    <s v="Not Applicable"/>
    <s v="OK"/>
    <b v="0"/>
    <s v="Discount_Not_Applied"/>
    <n v="639.20000000000005"/>
    <s v="Mismatch"/>
    <n v="1"/>
    <s v="OK"/>
    <n v="25"/>
    <s v="OK"/>
    <n v="0"/>
    <s v="Dec-2024"/>
    <s v="2024-52"/>
    <s v="Prepaid"/>
  </r>
  <r>
    <s v="UT-100335"/>
    <d v="2024-12-28T00:00:00"/>
    <s v="CUST_10334"/>
    <x v="0"/>
    <s v="TOP-BYE-L"/>
    <x v="1"/>
    <s v="Goodbye 2024 Top"/>
    <n v="1899"/>
    <n v="1"/>
    <n v="1899"/>
    <m/>
    <n v="0"/>
    <s v="Debit Card"/>
    <x v="1"/>
    <s v="Kolkata"/>
    <s v="West Bengal"/>
    <s v="Delhi"/>
    <d v="2025-01-23T00:00:00"/>
    <s v="Delivered"/>
    <s v="Yes"/>
    <x v="5"/>
    <d v="2025-02-19T00:00:00"/>
    <s v="Processed"/>
    <s v="OK"/>
    <b v="0"/>
    <s v="No_Discount"/>
    <n v="1899"/>
    <s v="OK"/>
    <n v="1"/>
    <s v="OK"/>
    <n v="26"/>
    <s v="OK"/>
    <n v="27"/>
    <s v="Dec-2024"/>
    <s v="2024-52"/>
    <s v="Prepaid"/>
  </r>
  <r>
    <s v="UT-100336"/>
    <d v="2024-12-28T00:00:00"/>
    <s v="CUST_10335"/>
    <x v="0"/>
    <s v="DRS-WLC-S"/>
    <x v="2"/>
    <s v="Welcome 2025 Dress"/>
    <n v="4099"/>
    <n v="1"/>
    <n v="4099"/>
    <m/>
    <n v="0"/>
    <s v="Credit Card"/>
    <x v="2"/>
    <s v="Chennai"/>
    <s v="Tamil Nadu"/>
    <s v="Bangalore"/>
    <d v="2025-01-24T00:00:00"/>
    <s v="Delivered"/>
    <s v="Yes"/>
    <x v="1"/>
    <d v="2025-02-21T00:00:00"/>
    <s v="Processed"/>
    <s v="OK"/>
    <b v="0"/>
    <s v="No_Discount"/>
    <n v="4099"/>
    <s v="OK"/>
    <n v="1"/>
    <s v="OK"/>
    <n v="27"/>
    <s v="OK"/>
    <n v="28"/>
    <s v="Dec-2024"/>
    <s v="2024-52"/>
    <s v="Prepaid"/>
  </r>
  <r>
    <s v="UT-100337"/>
    <d v="2024-12-28T00:00:00"/>
    <s v="CUST_10336"/>
    <x v="0"/>
    <s v="BOT-RES-M"/>
    <x v="0"/>
    <s v="Resolution Pants"/>
    <n v="2299"/>
    <n v="1"/>
    <n v="2299"/>
    <d v="2026-12-20T00:00:00"/>
    <n v="20"/>
    <s v="UPI"/>
    <x v="0"/>
    <s v="Hyderabad"/>
    <s v="Telangana"/>
    <s v="Bangalore"/>
    <d v="2025-01-24T00:00:00"/>
    <s v="Delivered"/>
    <s v="No"/>
    <x v="0"/>
    <m/>
    <s v="Not Applicable"/>
    <s v="OK"/>
    <b v="0"/>
    <s v="Discount_Not_Applied"/>
    <n v="1839.2"/>
    <s v="Mismatch"/>
    <n v="1"/>
    <s v="OK"/>
    <n v="27"/>
    <s v="OK"/>
    <n v="0"/>
    <s v="Dec-2024"/>
    <s v="2024-52"/>
    <s v="Prepaid"/>
  </r>
  <r>
    <s v="UT-100338"/>
    <d v="2024-12-29T00:00:00"/>
    <s v="CUST_10337"/>
    <x v="0"/>
    <s v="OUT-HOP-L"/>
    <x v="3"/>
    <s v="Hope Coat"/>
    <n v="5799"/>
    <n v="1"/>
    <n v="5799"/>
    <m/>
    <n v="0"/>
    <s v="COD"/>
    <x v="1"/>
    <s v="Pune"/>
    <s v="Maharashtra"/>
    <s v="Mumbai"/>
    <d v="2025-01-25T00:00:00"/>
    <s v="Delivered"/>
    <s v="Yes"/>
    <x v="3"/>
    <d v="2025-02-22T00:00:00"/>
    <s v="Processed"/>
    <s v="OK"/>
    <b v="0"/>
    <s v="No_Discount"/>
    <n v="5799"/>
    <s v="OK"/>
    <n v="1"/>
    <s v="OK"/>
    <n v="27"/>
    <s v="OK"/>
    <n v="28"/>
    <s v="Dec-2024"/>
    <s v="2024-53"/>
    <s v="COD"/>
  </r>
  <r>
    <s v="UT-100339"/>
    <d v="2024-12-29T00:00:00"/>
    <s v="CUST_10338"/>
    <x v="1"/>
    <s v="ACC-DRM-OS"/>
    <x v="4"/>
    <s v="Dream Catcher Earrings"/>
    <n v="699"/>
    <n v="2"/>
    <n v="1398"/>
    <m/>
    <n v="0"/>
    <s v="Wallet"/>
    <x v="2"/>
    <s v="Ahmedabad"/>
    <s v="Gujarat"/>
    <s v="Mumbai"/>
    <d v="2025-01-24T00:00:00"/>
    <s v="Delivered"/>
    <s v="Yes"/>
    <x v="2"/>
    <d v="2025-02-20T00:00:00"/>
    <s v="Processed"/>
    <s v="OK"/>
    <b v="0"/>
    <s v="No_Discount"/>
    <n v="1398"/>
    <s v="OK"/>
    <n v="1"/>
    <s v="OK"/>
    <n v="26"/>
    <s v="OK"/>
    <n v="27"/>
    <s v="Dec-2024"/>
    <s v="2024-53"/>
    <s v="Prepaid"/>
  </r>
  <r>
    <s v="UT-100340"/>
    <d v="2024-12-29T00:00:00"/>
    <s v="CUST_10340"/>
    <x v="0"/>
    <s v="TOP-WIS-M"/>
    <x v="1"/>
    <s v="Wishes Top"/>
    <n v="1999"/>
    <n v="1"/>
    <n v="1999"/>
    <d v="2026-12-20T00:00:00"/>
    <n v="20"/>
    <s v="Debit Card"/>
    <x v="0"/>
    <s v="Jaipur"/>
    <s v="Rajasthan"/>
    <s v="Delhi"/>
    <d v="2025-01-25T00:00:00"/>
    <s v="Delivered"/>
    <s v="No"/>
    <x v="0"/>
    <m/>
    <s v="Not Applicable"/>
    <s v="OK"/>
    <b v="0"/>
    <s v="Discount_Not_Applied"/>
    <n v="1599.2"/>
    <s v="Mismatch"/>
    <n v="2"/>
    <s v="Existing customer"/>
    <n v="27"/>
    <s v="OK"/>
    <n v="0"/>
    <s v="Dec-2024"/>
    <s v="2024-53"/>
    <s v="Prepaid"/>
  </r>
  <r>
    <s v="UT-100341"/>
    <d v="2024-12-29T00:00:00"/>
    <s v="CUST_10340"/>
    <x v="0"/>
    <s v="DRS-PRO-L"/>
    <x v="2"/>
    <s v="Promise Dress"/>
    <n v="3899"/>
    <n v="1"/>
    <n v="3899"/>
    <m/>
    <n v="0"/>
    <s v="Credit Card"/>
    <x v="1"/>
    <s v="Lucknow"/>
    <s v="Uttar Pradesh"/>
    <s v="Delhi"/>
    <d v="2025-01-26T00:00:00"/>
    <s v="Delivered"/>
    <s v="Yes"/>
    <x v="1"/>
    <d v="2025-02-23T00:00:00"/>
    <s v="Processed"/>
    <s v="OK"/>
    <b v="0"/>
    <s v="No_Discount"/>
    <n v="3899"/>
    <s v="OK"/>
    <n v="2"/>
    <s v="Existing customer"/>
    <n v="28"/>
    <s v="OK"/>
    <n v="28"/>
    <s v="Dec-2024"/>
    <s v="2024-53"/>
    <s v="Prepaid"/>
  </r>
  <r>
    <s v="UT-100342"/>
    <d v="2024-12-30T00:00:00"/>
    <s v="CUST_10341"/>
    <x v="0"/>
    <s v="BOT-NEW-S"/>
    <x v="0"/>
    <s v="New Beginning Pants"/>
    <n v="2099"/>
    <n v="1"/>
    <n v="2099"/>
    <m/>
    <n v="0"/>
    <s v="UPI"/>
    <x v="2"/>
    <s v="Bangalore"/>
    <s v="Karnataka"/>
    <s v="Bangalore"/>
    <d v="2025-01-26T00:00:00"/>
    <s v="Delivered"/>
    <s v="No"/>
    <x v="0"/>
    <m/>
    <s v="Not Applicable"/>
    <s v="OK"/>
    <b v="0"/>
    <s v="No_Discount"/>
    <n v="2099"/>
    <s v="OK"/>
    <n v="1"/>
    <s v="OK"/>
    <n v="27"/>
    <s v="OK"/>
    <n v="0"/>
    <s v="Dec-2024"/>
    <s v="2024-53"/>
    <s v="Prepaid"/>
  </r>
  <r>
    <s v="UT-100343"/>
    <d v="2024-12-30T00:00:00"/>
    <s v="CUST_10342"/>
    <x v="0"/>
    <s v="OUT-FRE-M"/>
    <x v="3"/>
    <s v="Fresh Start Jacket"/>
    <n v="4899"/>
    <n v="1"/>
    <n v="4899"/>
    <d v="2026-12-20T00:00:00"/>
    <n v="20"/>
    <s v="COD"/>
    <x v="0"/>
    <s v="Mumbai"/>
    <s v="Maharashtra"/>
    <s v="Mumbai"/>
    <d v="2025-01-27T00:00:00"/>
    <s v="Delivered"/>
    <s v="Yes"/>
    <x v="4"/>
    <d v="2025-02-24T00:00:00"/>
    <s v="Processed"/>
    <s v="OK"/>
    <b v="0"/>
    <s v="Discount_Not_Applied"/>
    <n v="3919.2000000000003"/>
    <s v="Mismatch"/>
    <n v="1"/>
    <s v="OK"/>
    <n v="28"/>
    <s v="OK"/>
    <n v="28"/>
    <s v="Dec-2024"/>
    <s v="2024-53"/>
    <s v="COD"/>
  </r>
  <r>
    <s v="UT-100344"/>
    <d v="2024-12-30T00:00:00"/>
    <s v="CUST_10343"/>
    <x v="1"/>
    <s v="ACC-LCK-OS"/>
    <x v="4"/>
    <s v="Lucky Charm Bracelet"/>
    <n v="599"/>
    <n v="3"/>
    <n v="1797"/>
    <m/>
    <n v="0"/>
    <s v="Wallet"/>
    <x v="1"/>
    <s v="Delhi"/>
    <s v="Delhi"/>
    <s v="Delhi"/>
    <d v="2025-01-26T00:00:00"/>
    <s v="Delivered"/>
    <s v="No"/>
    <x v="0"/>
    <m/>
    <s v="Not Applicable"/>
    <s v="OK"/>
    <b v="0"/>
    <s v="No_Discount"/>
    <n v="1797"/>
    <s v="OK"/>
    <n v="1"/>
    <s v="OK"/>
    <n v="27"/>
    <s v="OK"/>
    <n v="0"/>
    <s v="Dec-2024"/>
    <s v="2024-53"/>
    <s v="Prepaid"/>
  </r>
  <r>
    <s v="UT-100345"/>
    <d v="2024-12-30T00:00:00"/>
    <s v="CUST_10344"/>
    <x v="0"/>
    <s v="TOP-BEG-L"/>
    <x v="1"/>
    <s v="Begin Again Top"/>
    <n v="2199"/>
    <n v="1"/>
    <n v="2199"/>
    <m/>
    <n v="0"/>
    <s v="Debit Card"/>
    <x v="2"/>
    <s v="Chandigarh"/>
    <s v="Punjab"/>
    <s v="Delhi"/>
    <d v="2025-01-27T00:00:00"/>
    <s v="Delivered"/>
    <s v="Yes"/>
    <x v="5"/>
    <d v="2025-02-23T00:00:00"/>
    <s v="Processed"/>
    <s v="OK"/>
    <b v="0"/>
    <s v="No_Discount"/>
    <n v="2199"/>
    <s v="OK"/>
    <n v="1"/>
    <s v="OK"/>
    <n v="28"/>
    <s v="OK"/>
    <n v="27"/>
    <s v="Dec-2024"/>
    <s v="2024-53"/>
    <s v="Prepaid"/>
  </r>
  <r>
    <s v="UT-100346"/>
    <d v="2024-12-31T00:00:00"/>
    <s v="CUST_10345"/>
    <x v="0"/>
    <s v="DRS-CNT-S"/>
    <x v="2"/>
    <s v="Countdown Dress"/>
    <n v="4499"/>
    <n v="1"/>
    <n v="4499"/>
    <d v="2026-12-20T00:00:00"/>
    <n v="20"/>
    <s v="Credit Card"/>
    <x v="0"/>
    <s v="Noida"/>
    <s v="Uttar Pradesh"/>
    <s v="Delhi"/>
    <d v="2025-01-28T00:00:00"/>
    <s v="Delivered"/>
    <s v="Yes"/>
    <x v="1"/>
    <d v="2025-02-25T00:00:00"/>
    <s v="Processed"/>
    <s v="OK"/>
    <b v="0"/>
    <s v="Discount_Not_Applied"/>
    <n v="3599.2000000000003"/>
    <s v="Mismatch"/>
    <n v="1"/>
    <s v="OK"/>
    <n v="28"/>
    <s v="OK"/>
    <n v="28"/>
    <s v="Dec-2024"/>
    <s v="2024-53"/>
    <s v="Prepai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87"/>
    <n v="38"/>
    <n v="0.43678160919540232"/>
  </r>
  <r>
    <x v="0"/>
    <x v="1"/>
    <n v="81"/>
    <n v="46"/>
    <n v="0.5679012345679012"/>
  </r>
  <r>
    <x v="0"/>
    <x v="2"/>
    <n v="85"/>
    <n v="63"/>
    <n v="0.74117647058823533"/>
  </r>
  <r>
    <x v="1"/>
    <x v="0"/>
    <n v="28"/>
    <n v="10"/>
    <n v="0.35714285714285715"/>
  </r>
  <r>
    <x v="1"/>
    <x v="1"/>
    <n v="27"/>
    <n v="15"/>
    <n v="0.55555555555555558"/>
  </r>
  <r>
    <x v="1"/>
    <x v="2"/>
    <n v="20"/>
    <n v="8"/>
    <n v="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5B5E1-3546-4960-9E01-C671C34FCB77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-week">
  <location ref="I4:J19" firstHeaderRow="1" firstDataRow="1" firstDataCol="1"/>
  <pivotFields count="3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29">
        <item m="1" x="19"/>
        <item m="1" x="20"/>
        <item m="1" x="14"/>
        <item m="1" x="15"/>
        <item m="1" x="16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24"/>
        <item m="1" x="27"/>
        <item m="1" x="25"/>
        <item m="1" x="26"/>
        <item m="1" x="23"/>
        <item m="1" x="21"/>
        <item m="1" x="22"/>
        <item t="default"/>
      </items>
    </pivotField>
  </pivotFields>
  <rowFields count="1">
    <field x="34"/>
  </rowFields>
  <rowItems count="15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discount" fld="11" subtotal="average" baseField="34" baseItem="7" numFmtId="17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BFCA3-1F51-4666-A25B-11BA20C5A6BE}" name="PivotTable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-Week">
  <location ref="D4:E19" firstHeaderRow="1" firstDataRow="1" firstDataCol="1" rowPageCount="2" colPageCount="1"/>
  <pivotFields count="35">
    <pivotField dataField="1" showAll="0">
      <items count="347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4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Order status" axis="axisPage" showAll="0">
      <items count="4">
        <item x="1"/>
        <item x="0"/>
        <item x="2"/>
        <item t="default"/>
      </items>
    </pivotField>
    <pivotField name="Return initiated"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29">
        <item m="1" x="19"/>
        <item m="1" x="20"/>
        <item m="1" x="14"/>
        <item m="1" x="15"/>
        <item m="1" x="16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24"/>
        <item m="1" x="27"/>
        <item m="1" x="25"/>
        <item m="1" x="26"/>
        <item m="1" x="23"/>
        <item m="1" x="21"/>
        <item m="1" x="22"/>
        <item t="default"/>
      </items>
    </pivotField>
  </pivotFields>
  <rowFields count="1">
    <field x="34"/>
  </rowFields>
  <rowItems count="15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2">
    <pageField fld="18" item="1" hier="-1"/>
    <pageField fld="19" item="1" hier="-1"/>
  </pageFields>
  <dataFields count="1">
    <dataField name="Orders" fld="0" subtotal="count" baseField="34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DBF37-D6E3-4B81-9E24-15E94F8D55CD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Weeks">
  <location ref="A11:B15" firstHeaderRow="1" firstDataRow="1" firstDataCol="1"/>
  <pivotFields count="3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showAll="0">
      <items count="29">
        <item m="1" x="24"/>
        <item m="1" x="27"/>
        <item m="1" x="25"/>
        <item m="1" x="26"/>
        <item m="1" x="23"/>
        <item m="1" x="21"/>
        <item m="1" x="22"/>
        <item m="1" x="20"/>
        <item m="1" x="14"/>
        <item m="1" x="15"/>
        <item m="1" x="16"/>
        <item m="1" x="17"/>
        <item m="1" x="18"/>
        <item m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rders" fld="0" subtotal="count" baseField="3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6A69E-C836-4AD7-9EE5-31FD3A0ECA01}" name="PivotTable9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Product category">
  <location ref="A12:B18" firstHeaderRow="1" firstDataRow="1" firstDataCol="1"/>
  <pivotFields count="36">
    <pivotField dataField="1" showAll="0"/>
    <pivotField numFmtId="14" showAll="0"/>
    <pivotField showAll="0"/>
    <pivotField showAll="0"/>
    <pivotField showAll="0"/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0" subtotal="count" baseField="0" baseItem="0"/>
  </dataFields>
  <formats count="8">
    <format dxfId="38">
      <pivotArea dataOnly="0" labelOnly="1" outline="0" axis="axisValues" fieldPosition="0"/>
    </format>
    <format dxfId="39">
      <pivotArea field="5" type="button" dataOnly="0" labelOnly="1" outline="0" axis="axisRow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5" type="button" dataOnly="0" labelOnly="1" outline="0" axis="axisRow" fieldPosition="0"/>
    </format>
    <format dxfId="43">
      <pivotArea dataOnly="0" labelOnly="1" fieldPosition="0">
        <references count="1">
          <reference field="5" count="0"/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chartFormats count="1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713A6-9456-4D63-858C-D0B8B75B7A44}" name="PivotTable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ource">
  <location ref="H10:J14" firstHeaderRow="0" firstDataRow="1" firstDataCol="1"/>
  <pivotFields count="3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order_total" fld="26" baseField="0" baseItem="0" numFmtId="179"/>
    <dataField name="Orders" fld="0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20200-A2FD-4D61-82EB-B6BB3FA0360F}" name="PivotTable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 type">
  <location ref="H4:J7" firstHeaderRow="0" firstDataRow="1" firstDataCol="1"/>
  <pivotFields count="35">
    <pivotField dataField="1"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26" baseField="3" baseItem="0" numFmtId="164"/>
    <dataField name="Orders" fld="0" subtotal="count" baseField="3" baseItem="0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C470F-007A-4F39-8220-20B9702A8652}" name="PivotTable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ustomer Type">
  <location ref="A4:B7" firstHeaderRow="1" firstDataRow="1" firstDataCol="1"/>
  <pivotFields count="35">
    <pivotField dataField="1"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orders" fld="0" subtotal="count" baseField="3" baseItem="0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3" type="button" dataOnly="0" labelOnly="1" outline="0" axis="axisRow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92958-43C3-46B7-A2E4-398FFB955E56}" name="PivotTable14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Return Reason">
  <location ref="AJ3:AK10" firstHeaderRow="1" firstDataRow="1" firstDataCol="1"/>
  <pivotFields count="3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Return Reason" axis="axisRow" showAll="0">
      <items count="7">
        <item x="3"/>
        <item x="5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rders" fld="0" subtotal="count" baseField="2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E6F9B-FE7E-451E-8E3C-62DA6FEA172B}" name="PivotTable31" cacheId="9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1">
  <location ref="AP15:AS19" firstHeaderRow="1" firstDataRow="2" firstDataCol="1"/>
  <pivotFields count="5"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dataField="1" numFmtId="9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>
      <x v="2"/>
    </i>
  </colItems>
  <dataFields count="1">
    <dataField name="Sum of Return Rate" fld="4" baseField="0" baseItem="0" numFmtId="9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7B980E-CEC0-4979-9D64-7ACF65E1C1F4}" name="orders_Q4" displayName="orders_Q4" ref="A1:XFB347" totalsRowShown="0">
  <autoFilter ref="A1:XFB347" xr:uid="{047B980E-CEC0-4979-9D64-7ACF65E1C1F4}"/>
  <sortState xmlns:xlrd2="http://schemas.microsoft.com/office/spreadsheetml/2017/richdata2" ref="A2:W347">
    <sortCondition ref="B1:B347"/>
  </sortState>
  <tableColumns count="16382">
    <tableColumn id="1" xr3:uid="{1F75562B-1675-4C8B-83FC-2A22D198699C}" name="Order ID"/>
    <tableColumn id="2" xr3:uid="{BAB996D3-094A-4FDB-BFEC-36DC28F425ED}" name="Order Date" dataDxfId="79"/>
    <tableColumn id="3" xr3:uid="{9415B41F-DA4D-4760-AB81-8A3004016A83}" name="Customer ID"/>
    <tableColumn id="4" xr3:uid="{276F2E14-652C-4423-A091-2300BFF143EF}" name="Type"/>
    <tableColumn id="5" xr3:uid="{3CB2B683-CC51-4767-B5CD-970E061EC90D}" name="SKU"/>
    <tableColumn id="6" xr3:uid="{087C609C-F4ED-4D26-BE7F-7C0486090099}" name="Category"/>
    <tableColumn id="7" xr3:uid="{E6BB03F2-3479-4C0F-AE88-BE9990CDF515}" name="Product Name"/>
    <tableColumn id="8" xr3:uid="{20DC9767-A3D0-4C86-8D77-24409C00051A}" name="Unit Price"/>
    <tableColumn id="9" xr3:uid="{B677C7B4-3ECF-426C-B981-87D65931A291}" name="Qty"/>
    <tableColumn id="10" xr3:uid="{A2793571-0C55-4E62-B50E-4A4F6B9C859A}" name="Total"/>
    <tableColumn id="11" xr3:uid="{A775FBEB-6E19-4EC7-88E0-E9AA583CCBB6}" name="Discount Code"/>
    <tableColumn id="12" xr3:uid="{8B74FB09-0B05-40BB-91E9-12235B4830A8}" name="Disc %"/>
    <tableColumn id="13" xr3:uid="{840F287D-D4DE-434C-B6A5-9D05B4BCCEE2}" name="Payment"/>
    <tableColumn id="14" xr3:uid="{154506AB-F01C-48DD-81FB-637D48BA75F2}" name="Source"/>
    <tableColumn id="15" xr3:uid="{3421C0C1-C8EB-4170-A6DA-7729BB9BA684}" name="City"/>
    <tableColumn id="16" xr3:uid="{7A57A301-3D9E-4AAF-B6A9-4ED9BB733CE1}" name="State"/>
    <tableColumn id="17" xr3:uid="{A61FC36E-0050-4649-A7D4-876E9C654A80}" name="Warehouse"/>
    <tableColumn id="18" xr3:uid="{14B17F85-51B5-4DA4-ACE3-AE777D7E35DF}" name="Del Date" dataDxfId="78"/>
    <tableColumn id="19" xr3:uid="{51832270-12A6-4BCD-B1AF-E760D7861C8B}" name="Status"/>
    <tableColumn id="20" xr3:uid="{7B20162B-BFC6-496C-B4C5-1850F46AE65C}" name="Return_initiated"/>
    <tableColumn id="21" xr3:uid="{1E02C61A-4C67-4409-851B-14E4A1FFE15C}" name="return_Reason"/>
    <tableColumn id="22" xr3:uid="{2C00A6E0-7650-4CA9-8D96-0EF369501CB7}" name="return_received" dataDxfId="77"/>
    <tableColumn id="23" xr3:uid="{AFA68850-554E-40F1-A17C-D04A4DAD61D7}" name="Refund"/>
    <tableColumn id="26" xr3:uid="{4CAC15F7-1F51-43F8-9080-85A611E257BC}" name="flag_quantity" dataDxfId="76">
      <calculatedColumnFormula>IF(OR(orders_Q4[[#This Row],[Qty]]&gt;5,orders_Q4[[#This Row],[Qty]]&lt;0),"Invalid Quantity","OK")</calculatedColumnFormula>
    </tableColumn>
    <tableColumn id="27" xr3:uid="{21E815C2-E4FA-4C7E-B8C6-7195CFB5EACD}" name="flag_unit_price" dataDxfId="75">
      <calculatedColumnFormula>OR(orders_Q4[[#This Row],[Unit Price]]&gt;20000,orders_Q4[[#This Row],[Unit Price]]&lt;0,orders_Q4[[#This Row],[Unit Price]]=0)</calculatedColumnFormula>
    </tableColumn>
    <tableColumn id="28" xr3:uid="{82F32C26-D343-47BE-9C54-5221643578EB}" name="Discount_check" dataDxfId="74">
      <calculatedColumnFormula>IF(
 orders_Q4[[#This Row],[Disc %]]&gt;0,
  IF(
    ABS(orders_Q4[[#This Row],[Total]] - (orders_Q4[[#This Row],[Unit Price]]*orders_Q4[[#This Row],[Qty]]*(1-orders_Q4[[#This Row],[Disc %]]/100)))&gt;1,
    "Discount_Not_Applied",
    "OK"
  ),
  "No_Discount")</calculatedColumnFormula>
    </tableColumn>
    <tableColumn id="29" xr3:uid="{20E81593-CF27-4805-B207-03F67FFA9BB6}" name="Calculated_order_total" dataDxfId="73">
      <calculatedColumnFormula>orders_Q4[[#This Row],[Unit Price]] * orders_Q4[[#This Row],[Qty]] * (1 - orders_Q4[[#This Row],[Disc %]]/100)</calculatedColumnFormula>
    </tableColumn>
    <tableColumn id="30" xr3:uid="{29078F87-2AF9-437A-B5C5-F106ABF3AE15}" name="order_total_mismatch_flag" dataDxfId="72">
      <calculatedColumnFormula>IF(ABS(orders_Q4[[#This Row],[Total]] - orders_Q4[[#This Row],[Calculated_order_total]]) &gt; 1, "Mismatch", "OK")</calculatedColumnFormula>
    </tableColumn>
    <tableColumn id="32" xr3:uid="{53E42176-E2F0-4205-9F46-7445C9C14FFC}" name="Customer_id_count" dataDxfId="71">
      <calculatedColumnFormula>COUNTIF(C:C,orders_Q4[[#This Row],[Customer ID]])</calculatedColumnFormula>
    </tableColumn>
    <tableColumn id="33" xr3:uid="{7B8C3D22-35E2-4517-9F66-E1268B86781A}" name="Invalid_customer_flag" dataDxfId="70">
      <calculatedColumnFormula>IF(AND(orders_Q4[[#This Row],[Type]]="New",orders_Q4[[#This Row],[Customer_id_count]]&gt;1),"Existing customer","OK")</calculatedColumnFormula>
    </tableColumn>
    <tableColumn id="34" xr3:uid="{F0C28D9E-88E2-4290-A750-3C7D623BB0A4}" name="Delivery_time" dataDxfId="69">
      <calculatedColumnFormula>orders_Q4[[#This Row],[Del Date]]-orders_Q4[[#This Row],[Order Date]]</calculatedColumnFormula>
    </tableColumn>
    <tableColumn id="35" xr3:uid="{18B046AF-82AE-4F82-AFAC-DAB1B5DC44D9}" name="Delivery_time_check" dataDxfId="68">
      <calculatedColumnFormula>IF(OR(orders_Q4[[#This Row],[Delivery_time]]&gt;30,orders_Q4[[#This Row],[Delivery_time]]&lt;0),"Invalid_delivery_time","OK")</calculatedColumnFormula>
    </tableColumn>
    <tableColumn id="36" xr3:uid="{F2BAF976-3B74-436F-BB76-2EAA3C75E675}" name="Return window" dataDxfId="67">
      <calculatedColumnFormula>IF(
   AND(NOT(ISBLANK(orders_Q4[[#This Row],[return_received]])), NOT(ISBLANK(orders_Q4[[#This Row],[Del Date]]))),
   orders_Q4[[#This Row],[return_received]] - orders_Q4[[#This Row],[Del Date]],0)</calculatedColumnFormula>
    </tableColumn>
    <tableColumn id="38" xr3:uid="{D6954828-5C18-4807-BDB6-87E02D9C54CC}" name="order_month" dataDxfId="65">
      <calculatedColumnFormula>TEXT(orders_Q4[[#This Row],[Order Date]],"mmm-yyyy")</calculatedColumnFormula>
    </tableColumn>
    <tableColumn id="39" xr3:uid="{195FAB67-BEF9-443E-8393-0FB53EF15EC5}" name="order_week" dataDxfId="64">
      <calculatedColumnFormula>TEXT(orders_Q4[[#This Row],[Order Date]],"yyyy") &amp; "-" &amp; WEEKNUM(orders_Q4[[#This Row],[Order Date]])</calculatedColumnFormula>
    </tableColumn>
    <tableColumn id="40" xr3:uid="{D1C99545-B6D7-45AF-A2D2-F80832636F08}" name="payment_group" dataDxfId="59">
      <calculatedColumnFormula>IF(orders_Q4[[#This Row],[Payment]]="COD","COD","Prepaid")</calculatedColumnFormula>
    </tableColumn>
    <tableColumn id="41" xr3:uid="{0FD42A39-1C3D-44FE-B600-EFBECC619812}" name="Column10" dataDxfId="66">
      <calculatedColumnFormula>orders_Q4[[#This Row],[order_week]]/orders_Q4[[#This Row],[payment_group]]</calculatedColumnFormula>
    </tableColumn>
    <tableColumn id="42" xr3:uid="{B7A998EA-CF6A-4FF0-8600-F54AF42349A1}" name="Column11"/>
    <tableColumn id="43" xr3:uid="{B50C7B39-DBCC-41BA-92E4-10D22B8D020A}" name="Column12"/>
    <tableColumn id="44" xr3:uid="{45BBA2F6-7115-4CCD-BD62-FA986994D271}" name="Column13"/>
    <tableColumn id="45" xr3:uid="{3DFE507A-5D95-4BFD-A5F0-2ABA8175C797}" name="Column14"/>
    <tableColumn id="46" xr3:uid="{2F7286B3-7255-48E0-BCD9-7C7E4EA844E7}" name="Column15"/>
    <tableColumn id="47" xr3:uid="{9507F0A8-C03A-4585-B19A-E0ABEB5AF636}" name="Column16"/>
    <tableColumn id="48" xr3:uid="{909FB840-1F43-4C91-83F5-67FFB2BE0EE4}" name="Column17"/>
    <tableColumn id="49" xr3:uid="{4007BAF1-9D6F-48B6-BC53-3156523A844E}" name="Column18"/>
    <tableColumn id="50" xr3:uid="{5B12D775-AA34-4204-AFD6-6F8E7F5AE40F}" name="Column19"/>
    <tableColumn id="51" xr3:uid="{7ED4D692-52C3-44CE-AE97-143EA238319F}" name="Column20"/>
    <tableColumn id="52" xr3:uid="{A75DADA8-F625-4E22-BCC4-260D791429D6}" name="Column21"/>
    <tableColumn id="53" xr3:uid="{C0A36230-4951-493F-A45D-F9547C139B93}" name="Column22"/>
    <tableColumn id="54" xr3:uid="{976773DF-539B-4DDE-A2F6-AD990623C256}" name="Column23"/>
    <tableColumn id="55" xr3:uid="{C9D8B755-733B-4BEE-A508-AC62BEAEBB82}" name="Column24"/>
    <tableColumn id="56" xr3:uid="{2B46B29D-01C9-41A8-A59B-CAB1CF92A467}" name="Column25"/>
    <tableColumn id="57" xr3:uid="{3A885B90-6B2E-4EB7-94DC-6CEE62849A13}" name="Column26"/>
    <tableColumn id="58" xr3:uid="{52EFF886-B613-40B5-BE59-F8580CB3DA71}" name="Column27"/>
    <tableColumn id="59" xr3:uid="{4F5C4DBD-BB57-4797-AE8C-08556B1BDE83}" name="Column28"/>
    <tableColumn id="60" xr3:uid="{2942E239-AFB7-450A-AEF9-C09194EA969D}" name="Column29"/>
    <tableColumn id="61" xr3:uid="{591E53AD-0A83-434D-B52B-70F68AFAD2A6}" name="Column30"/>
    <tableColumn id="62" xr3:uid="{CC4B5063-CA96-4092-9F36-899442946246}" name="Column31"/>
    <tableColumn id="63" xr3:uid="{CBAFA6A4-6648-435C-9FC2-EBF645B71338}" name="Column32"/>
    <tableColumn id="64" xr3:uid="{996C9FAD-E0C6-4BD3-BE70-725FD587BB72}" name="Column33"/>
    <tableColumn id="65" xr3:uid="{8B2CA81D-2AEC-4F11-991D-6DCDAB255D76}" name="Column34"/>
    <tableColumn id="66" xr3:uid="{EB701A01-B792-42EA-950A-52AC20E23ABE}" name="Column35"/>
    <tableColumn id="67" xr3:uid="{220674E0-4241-4386-B56B-01D8ECE43A30}" name="Column36"/>
    <tableColumn id="68" xr3:uid="{426F30D9-F08C-4945-86FE-D7018A16C93C}" name="Column37"/>
    <tableColumn id="69" xr3:uid="{A8D6F113-781E-47EC-A176-2C4F42200263}" name="Column38"/>
    <tableColumn id="70" xr3:uid="{B2B97A69-21B2-43DF-B261-EC2D7B5EA2D2}" name="Column39"/>
    <tableColumn id="71" xr3:uid="{23A0DF11-C399-43A4-B59F-49E25688F685}" name="Column40"/>
    <tableColumn id="72" xr3:uid="{8B70388C-0F0C-4844-8979-99B107CF60C1}" name="Column41"/>
    <tableColumn id="73" xr3:uid="{403D42C3-127F-4BF4-926D-BB32118A51C9}" name="Column42"/>
    <tableColumn id="74" xr3:uid="{25B14C76-5A64-4BA9-9902-1ED8CF09BE49}" name="Column43"/>
    <tableColumn id="75" xr3:uid="{F74DBAF6-99AA-4869-BEE3-CAADB0FB6A33}" name="Column44"/>
    <tableColumn id="76" xr3:uid="{1413F31E-29D4-4AA5-BCDE-5D7A585695A0}" name="Column45"/>
    <tableColumn id="77" xr3:uid="{3D8DDEE5-902A-406D-B2BB-EB5F3605E7A3}" name="Column46"/>
    <tableColumn id="78" xr3:uid="{4924729E-1237-4C46-923B-47701E6681FC}" name="Column47"/>
    <tableColumn id="79" xr3:uid="{09BBDCA3-0135-430C-A89A-7879653D097D}" name="Column48"/>
    <tableColumn id="80" xr3:uid="{1BD7CD8F-9405-4FBA-986E-20F0B3F8C624}" name="Column49"/>
    <tableColumn id="81" xr3:uid="{F99B5570-3636-4F62-9F98-D1E8772C03FC}" name="Column50"/>
    <tableColumn id="82" xr3:uid="{7F6A4009-B7FB-4D9C-B252-FF60D77B1199}" name="Column51"/>
    <tableColumn id="83" xr3:uid="{493195C2-FA96-42DE-BFF7-15B7CF6A84EC}" name="Column52"/>
    <tableColumn id="84" xr3:uid="{2CAEEFFF-28BF-4F80-9437-3E0D6B4A8621}" name="Column53"/>
    <tableColumn id="85" xr3:uid="{54BFBC97-322F-4DA8-BC16-A79B25AA779D}" name="Column54"/>
    <tableColumn id="86" xr3:uid="{1353A696-9991-4E27-A620-3856CD182B2E}" name="Column55"/>
    <tableColumn id="87" xr3:uid="{AD741FB6-1C93-4266-BAB4-D5EFF884F7CF}" name="Column56"/>
    <tableColumn id="88" xr3:uid="{CB4E29C6-A95D-4815-91AF-817DA9C26384}" name="Column57"/>
    <tableColumn id="89" xr3:uid="{502E44DD-2584-4C9E-A114-098092CE567B}" name="Column58"/>
    <tableColumn id="90" xr3:uid="{8C008B00-1D34-4B9F-BB7F-8F5B99DC4106}" name="Column59"/>
    <tableColumn id="91" xr3:uid="{1C141B84-0C38-4157-8F41-632BCCEB837E}" name="Column60"/>
    <tableColumn id="92" xr3:uid="{09228A6C-80A7-4DB0-B42F-055040BD41C8}" name="Column61"/>
    <tableColumn id="93" xr3:uid="{633E74E0-4D3B-4837-A813-E3F9E38367B1}" name="Column62"/>
    <tableColumn id="94" xr3:uid="{5FF6F9E9-4378-46ED-A3E4-35CB321359CE}" name="Column63"/>
    <tableColumn id="95" xr3:uid="{B7296D9C-41E6-4245-9660-466A946C1170}" name="Column64"/>
    <tableColumn id="96" xr3:uid="{CF60E894-8D07-43F3-910C-DB70C8D47936}" name="Column65"/>
    <tableColumn id="97" xr3:uid="{9586F907-7E74-4388-93BE-56DCACEB4608}" name="Column66"/>
    <tableColumn id="98" xr3:uid="{3D714BE6-1780-4DC8-955B-6A0B608403FE}" name="Column67"/>
    <tableColumn id="99" xr3:uid="{E357E516-C390-4C41-950E-C906F22C5148}" name="Column68"/>
    <tableColumn id="100" xr3:uid="{3A4EDFC0-8718-440A-A5B4-80EB3898329B}" name="Column69"/>
    <tableColumn id="101" xr3:uid="{DBDFA8EA-AF75-43A7-AE7D-F2B132947BBB}" name="Column70"/>
    <tableColumn id="102" xr3:uid="{3075BE8A-F761-495E-9402-4EBE273FF8D2}" name="Column71"/>
    <tableColumn id="103" xr3:uid="{5CB1186C-CD56-4B66-9EEF-F95B37BD5E7A}" name="Column72"/>
    <tableColumn id="104" xr3:uid="{694646B0-4007-4F5C-9B78-7BBEF7AFCD32}" name="Column73"/>
    <tableColumn id="105" xr3:uid="{C7F411A1-5830-4DB1-9520-99B1D5C1358F}" name="Column74"/>
    <tableColumn id="106" xr3:uid="{D9838E65-E113-4F49-A4BF-57DC240671DF}" name="Column75"/>
    <tableColumn id="107" xr3:uid="{7D88E231-0805-43F7-BB80-9B9EFD0D473E}" name="Column76"/>
    <tableColumn id="108" xr3:uid="{940B219F-0390-49C7-B2E9-598197DAF30F}" name="Column77"/>
    <tableColumn id="109" xr3:uid="{0F125C4B-EF17-4F33-B4E2-1F6036EBC208}" name="Column78"/>
    <tableColumn id="110" xr3:uid="{C9A52F0E-BCE1-4659-B7AD-661843EC946A}" name="Column79"/>
    <tableColumn id="111" xr3:uid="{B402ACDD-9DE1-4D1A-B29A-8104BC63B83C}" name="Column80"/>
    <tableColumn id="112" xr3:uid="{B2833C50-A390-4CAF-AEFB-EF8204D30A92}" name="Column81"/>
    <tableColumn id="113" xr3:uid="{10192DA2-597C-443B-AB54-BB92B0AB2F31}" name="Column82"/>
    <tableColumn id="114" xr3:uid="{F61F9153-6998-4DB3-A832-3798690D40CE}" name="Column83"/>
    <tableColumn id="115" xr3:uid="{B4B0A4A8-9B68-4D3D-874E-098692A5DDA7}" name="Column84"/>
    <tableColumn id="116" xr3:uid="{68907033-5E90-47F5-B81F-879986429C78}" name="Column85"/>
    <tableColumn id="117" xr3:uid="{4B8CCF4D-AEF9-42B8-9578-E578875E68F8}" name="Column86"/>
    <tableColumn id="118" xr3:uid="{8CC90FFA-7686-4A50-9C2B-4FFC52C9CF35}" name="Column87"/>
    <tableColumn id="119" xr3:uid="{CD3BF2AE-4F5A-4F32-990C-8B557695D241}" name="Column88"/>
    <tableColumn id="120" xr3:uid="{401F8C46-8E7E-47A9-B718-8C78F1F80309}" name="Column89"/>
    <tableColumn id="121" xr3:uid="{345AEDC7-3FAF-4DDD-AE9B-4DFA106227E3}" name="Column90"/>
    <tableColumn id="122" xr3:uid="{0265CC56-0D01-4CDB-B27A-272BE89C37E5}" name="Column91"/>
    <tableColumn id="123" xr3:uid="{6475A9E7-A257-4C10-B7A5-7FA7A458443F}" name="Column92"/>
    <tableColumn id="124" xr3:uid="{C63B85CC-C17B-4AB4-A5D2-FFD648E427E3}" name="Column93"/>
    <tableColumn id="125" xr3:uid="{B5490609-1E6D-461D-9265-5F5EC79AE084}" name="Column94"/>
    <tableColumn id="126" xr3:uid="{BA82E4B3-A078-44F3-94F2-B45063F4AB44}" name="Column95"/>
    <tableColumn id="127" xr3:uid="{FF4652DC-08FE-4336-ABB6-2DE15E212466}" name="Column96"/>
    <tableColumn id="128" xr3:uid="{29E48362-F374-4FFE-BCC2-9DED3984E817}" name="Column97"/>
    <tableColumn id="129" xr3:uid="{BDF59E90-9BE1-43B3-B9DE-16F3D760CFF6}" name="Column98"/>
    <tableColumn id="130" xr3:uid="{CF7568A7-E1E9-4D02-9BB7-0C58D74B449B}" name="Column99"/>
    <tableColumn id="131" xr3:uid="{E3C50252-2373-41F0-8280-27012BDA426C}" name="Column100"/>
    <tableColumn id="132" xr3:uid="{45D96B5D-F614-4F8B-B6B2-0FE37377E7BA}" name="Column101"/>
    <tableColumn id="133" xr3:uid="{B5897759-A1F4-4B37-80E2-10B525D6B9FA}" name="Column102"/>
    <tableColumn id="134" xr3:uid="{C98F5FBF-F06D-4F47-92F3-F6AA4FA622BF}" name="Column103"/>
    <tableColumn id="135" xr3:uid="{91ECA4B8-4A71-4447-95D1-E51AF66A8FDD}" name="Column104"/>
    <tableColumn id="136" xr3:uid="{F99C0D18-9C22-4913-8595-7F67CA8CA9D5}" name="Column105"/>
    <tableColumn id="137" xr3:uid="{73329ABD-ABE3-493A-8132-9751D2670FBC}" name="Column106"/>
    <tableColumn id="138" xr3:uid="{B10DD078-A226-4DF0-8A76-5A633EDBC730}" name="Column107"/>
    <tableColumn id="139" xr3:uid="{FE728A69-1C59-4503-95FF-A911163F87AD}" name="Column108"/>
    <tableColumn id="140" xr3:uid="{914D077D-3F90-4959-821A-0344CAC49AE9}" name="Column109"/>
    <tableColumn id="141" xr3:uid="{9195C9A7-7634-4E01-BB5A-D13FBDED1D86}" name="Column110"/>
    <tableColumn id="142" xr3:uid="{561EABBF-A05C-47E5-8617-F146562F42CE}" name="Column111"/>
    <tableColumn id="143" xr3:uid="{9A887837-9022-424E-AB90-282AEAC5725E}" name="Column112"/>
    <tableColumn id="144" xr3:uid="{2B71A7F6-A5F3-49D2-8E12-A1C9E1CB39A8}" name="Column113"/>
    <tableColumn id="145" xr3:uid="{5DF88995-50F6-4E23-BE3A-5BB58E2A5A5E}" name="Column114"/>
    <tableColumn id="146" xr3:uid="{487C72DF-7B01-434E-A639-158985D53F2B}" name="Column115"/>
    <tableColumn id="147" xr3:uid="{DBCB6E3B-2A74-408B-9BD9-F4E6B7E2A24C}" name="Column116"/>
    <tableColumn id="148" xr3:uid="{FCDC3FB6-8DEB-41F6-99A7-80ABB8CD6764}" name="Column117"/>
    <tableColumn id="149" xr3:uid="{FA956C50-482D-41FD-83C4-E97D1CE407E8}" name="Column118"/>
    <tableColumn id="150" xr3:uid="{2C493AA2-1804-46A3-A949-7DFA2CF91178}" name="Column119"/>
    <tableColumn id="151" xr3:uid="{D12BBCD1-0F4F-43F2-A0AA-2F3B362F9386}" name="Column120"/>
    <tableColumn id="152" xr3:uid="{30DBFA6D-EF74-42B9-996B-7130EEC2151B}" name="Column121"/>
    <tableColumn id="153" xr3:uid="{229B094E-97DC-4839-B4BC-D731A13F3A04}" name="Column122"/>
    <tableColumn id="154" xr3:uid="{97C261FD-6430-436C-8296-A9DE97B5BC82}" name="Column123"/>
    <tableColumn id="155" xr3:uid="{9DB22B7A-4EE2-4E77-9B07-494FE388EE73}" name="Column124"/>
    <tableColumn id="156" xr3:uid="{A1908307-B860-4303-B1D7-613A18FC8345}" name="Column125"/>
    <tableColumn id="157" xr3:uid="{699B0842-87D1-4F7E-A43F-36D700BCE2C1}" name="Column126"/>
    <tableColumn id="158" xr3:uid="{5BB87CB1-241C-4A79-952F-8E5E8FF8640E}" name="Column127"/>
    <tableColumn id="159" xr3:uid="{83F830E7-0FA7-4B63-B578-DCA24DDA64A4}" name="Column128"/>
    <tableColumn id="160" xr3:uid="{946248C1-FD69-4591-BC1C-B8F5244FD6D2}" name="Column129"/>
    <tableColumn id="161" xr3:uid="{E61DC490-7E5D-414D-B9AA-34DAA8746A9F}" name="Column130"/>
    <tableColumn id="162" xr3:uid="{84E5C84B-FB6F-45B7-A6C4-0F14C71996A1}" name="Column131"/>
    <tableColumn id="163" xr3:uid="{5942056C-1144-4B8C-B632-518242A6049D}" name="Column132"/>
    <tableColumn id="164" xr3:uid="{0D7FEED8-88CA-4E06-A66A-7FADCAFF3446}" name="Column133"/>
    <tableColumn id="165" xr3:uid="{B4AA0223-B861-43D6-A713-98A7D1F831DC}" name="Column134"/>
    <tableColumn id="166" xr3:uid="{EE7F65FB-CEC2-448E-AF0A-8A4D17680B1E}" name="Column135"/>
    <tableColumn id="167" xr3:uid="{6CC54F87-152D-4CD3-8BD5-74FD7E21257C}" name="Column136"/>
    <tableColumn id="168" xr3:uid="{E68EDFD4-20AA-4987-9156-E0DC2294FB0A}" name="Column137"/>
    <tableColumn id="169" xr3:uid="{2A11B7C1-88E1-4049-B97C-46D8DF4B4C2A}" name="Column138"/>
    <tableColumn id="170" xr3:uid="{71E5A549-792E-4C58-B2EC-291D08FED3FE}" name="Column139"/>
    <tableColumn id="171" xr3:uid="{B23DD1B7-5342-4C2A-B053-B98A8EF57CD6}" name="Column140"/>
    <tableColumn id="172" xr3:uid="{0663816C-F8DD-435A-B302-AC72F63DE720}" name="Column141"/>
    <tableColumn id="173" xr3:uid="{B987FA32-E60C-4060-94CE-D081EA8017A2}" name="Column142"/>
    <tableColumn id="174" xr3:uid="{8BD1F917-C922-4187-AD17-676E6A1B3369}" name="Column143"/>
    <tableColumn id="175" xr3:uid="{5144A7CA-07F2-407F-AF75-6FC6AE3C641A}" name="Column144"/>
    <tableColumn id="176" xr3:uid="{E2C58DD5-7C4C-44C2-A655-A28F16220F89}" name="Column145"/>
    <tableColumn id="177" xr3:uid="{689B981B-C2DF-48A9-933E-4B2228B74A3E}" name="Column146"/>
    <tableColumn id="178" xr3:uid="{AA01B941-4CD1-4B41-A040-830414F7F469}" name="Column147"/>
    <tableColumn id="179" xr3:uid="{FF97D04F-B113-415A-80EF-513C42A0D665}" name="Column148"/>
    <tableColumn id="180" xr3:uid="{AB099795-E9B0-4B40-8D0D-CB2FAFD3677B}" name="Column149"/>
    <tableColumn id="181" xr3:uid="{E7D290C6-CD50-431F-9EFB-A56F1C9AC747}" name="Column150"/>
    <tableColumn id="182" xr3:uid="{FA178472-625E-4C7B-B4E0-A50B19846FDC}" name="Column151"/>
    <tableColumn id="183" xr3:uid="{88F4F2D4-230A-465F-AF8F-FF4CA2245A00}" name="Column152"/>
    <tableColumn id="184" xr3:uid="{95A4BB13-1791-46DD-8723-0B953639E495}" name="Column153"/>
    <tableColumn id="185" xr3:uid="{2D76148A-FE9D-422C-8EE9-F9300FAF0B06}" name="Column154"/>
    <tableColumn id="186" xr3:uid="{1F7D2DC5-55B7-4465-93B4-8EF9944EE66E}" name="Column155"/>
    <tableColumn id="187" xr3:uid="{B9E162BE-E939-496E-A52A-48CCE596A281}" name="Column156"/>
    <tableColumn id="188" xr3:uid="{C17E1D27-6162-4392-A5F9-3ADFAC2EADC2}" name="Column157"/>
    <tableColumn id="189" xr3:uid="{84A0EF5D-9EE3-426E-87F4-C62F5BD6B3E7}" name="Column158"/>
    <tableColumn id="190" xr3:uid="{E79A9FC3-6709-473C-B133-3F5975AD6A7E}" name="Column159"/>
    <tableColumn id="191" xr3:uid="{F3F3E23C-78E6-40A8-8C17-8A6DE952BBAF}" name="Column160"/>
    <tableColumn id="192" xr3:uid="{BF6429B1-20F8-4E60-ABA7-08DBEAAD0B2B}" name="Column161"/>
    <tableColumn id="193" xr3:uid="{7D52CF5D-0A91-4430-9E03-D8255D479569}" name="Column162"/>
    <tableColumn id="194" xr3:uid="{C196159F-9BC8-4CC1-87C0-5896640D2236}" name="Column163"/>
    <tableColumn id="195" xr3:uid="{71148F51-0E69-4D0B-AF38-36E1F9178CB5}" name="Column164"/>
    <tableColumn id="196" xr3:uid="{636D6677-E17E-4609-90E5-9F0B67DF2372}" name="Column165"/>
    <tableColumn id="197" xr3:uid="{17C9D45B-4010-4417-8300-D000A0744CDE}" name="Column166"/>
    <tableColumn id="198" xr3:uid="{9A87F4C2-76BB-4EE2-A968-6D650E409638}" name="Column167"/>
    <tableColumn id="199" xr3:uid="{5AF52B46-0E2D-40FA-BFAF-02B7C847859F}" name="Column168"/>
    <tableColumn id="200" xr3:uid="{9E49B879-6895-4B77-9D50-74C1D8851D86}" name="Column169"/>
    <tableColumn id="201" xr3:uid="{6EAA7733-AE41-4565-96B2-62772B755A99}" name="Column170"/>
    <tableColumn id="202" xr3:uid="{179B2AD6-4BF1-4F7D-96CD-EA5BE4434433}" name="Column171"/>
    <tableColumn id="203" xr3:uid="{509A72E5-FBBA-4401-8AD1-E01E240C22A9}" name="Column172"/>
    <tableColumn id="204" xr3:uid="{C32508CF-C2C3-42DD-987B-D2F3FDD886D8}" name="Column173"/>
    <tableColumn id="205" xr3:uid="{4C54BD1D-CBCE-4059-905B-592742ADD56B}" name="Column174"/>
    <tableColumn id="206" xr3:uid="{B6C1AE5C-50D8-4AB2-A2D1-3D9084695B12}" name="Column175"/>
    <tableColumn id="207" xr3:uid="{21724866-D3C6-4622-90FA-6E572A584B57}" name="Column176"/>
    <tableColumn id="208" xr3:uid="{1E9E4F89-8AE1-42B4-BB65-0E5BF9AE1822}" name="Column177"/>
    <tableColumn id="209" xr3:uid="{0BD3C31D-437F-4779-B6BC-609ACB0A75BA}" name="Column178"/>
    <tableColumn id="210" xr3:uid="{80C80428-A3E1-4883-B8DF-A2025FB07DF1}" name="Column179"/>
    <tableColumn id="211" xr3:uid="{DB76B480-31B5-43E7-8215-882E5EDF4019}" name="Column180"/>
    <tableColumn id="212" xr3:uid="{A51A65EE-FE38-42B7-ADD0-9416F4350A23}" name="Column181"/>
    <tableColumn id="213" xr3:uid="{227EAA08-228F-4269-B613-9A323A9F63B7}" name="Column182"/>
    <tableColumn id="214" xr3:uid="{9FB4CAC6-3116-4AC9-8C25-572B8F78529E}" name="Column183"/>
    <tableColumn id="215" xr3:uid="{13C81512-8723-4158-B915-F2640E81CA33}" name="Column184"/>
    <tableColumn id="216" xr3:uid="{90A51B19-6A57-4BCE-BCF8-C3B6F5E650B5}" name="Column185"/>
    <tableColumn id="217" xr3:uid="{07042FD9-1728-4546-9AE0-9971E8188E41}" name="Column186"/>
    <tableColumn id="218" xr3:uid="{DA5BE499-F9E7-4A7C-B773-6FF5ED0448B5}" name="Column187"/>
    <tableColumn id="219" xr3:uid="{328F0334-C1AA-4FBF-BC71-57DD0AA5D49A}" name="Column188"/>
    <tableColumn id="220" xr3:uid="{06E5F44A-DF99-40E2-B9EE-4920E89940E1}" name="Column189"/>
    <tableColumn id="221" xr3:uid="{A2A86788-667D-41CE-9C47-BC0A2759F08B}" name="Column190"/>
    <tableColumn id="222" xr3:uid="{90F8092D-F79E-4591-9E53-701C674E9AEF}" name="Column191"/>
    <tableColumn id="223" xr3:uid="{4F7B265A-01D8-4A6E-912E-1E861A9F1B47}" name="Column192"/>
    <tableColumn id="224" xr3:uid="{B8A4F8C1-6F3F-4ACF-BC38-AB7E627F06BA}" name="Column193"/>
    <tableColumn id="225" xr3:uid="{0FECE9C8-FD57-4685-9416-FAC7976609F9}" name="Column194"/>
    <tableColumn id="226" xr3:uid="{B54889ED-3B6B-4FD2-9447-95C9391BBADB}" name="Column195"/>
    <tableColumn id="227" xr3:uid="{C434DB44-8173-4DE2-AB08-5D329670DCFC}" name="Column196"/>
    <tableColumn id="228" xr3:uid="{66A25D64-B6AF-443C-96E6-3D62B4BAB5C9}" name="Column197"/>
    <tableColumn id="229" xr3:uid="{08B5A75B-7BD2-44B2-AC46-CFE44C48C754}" name="Column198"/>
    <tableColumn id="230" xr3:uid="{2D4B4C46-E791-47D9-9527-7559EC2A56BA}" name="Column199"/>
    <tableColumn id="231" xr3:uid="{F8515DDF-23FF-435C-A1FF-680C53CF5618}" name="Column200"/>
    <tableColumn id="232" xr3:uid="{F856BA26-A125-4ADC-A57C-EF9C9ECB820E}" name="Column201"/>
    <tableColumn id="233" xr3:uid="{1F37C1AF-C97C-449A-B46C-9238B344F1B2}" name="Column202"/>
    <tableColumn id="234" xr3:uid="{6161FE93-E9B7-424F-8C99-3EA95EA60B80}" name="Column203"/>
    <tableColumn id="235" xr3:uid="{0B7A04AE-3DF0-41C0-9B46-678DF7558D5B}" name="Column204"/>
    <tableColumn id="236" xr3:uid="{6EF8DD3D-6089-4722-A7C6-0E3201A98947}" name="Column205"/>
    <tableColumn id="237" xr3:uid="{BF41D6F1-9E58-4FCB-9CE4-9CAC8A25FC97}" name="Column206"/>
    <tableColumn id="238" xr3:uid="{21BD3F1E-D0DF-469E-B0CA-B3EA889B65E9}" name="Column207"/>
    <tableColumn id="239" xr3:uid="{92117EFE-FD15-41F9-AEB0-0EB284745CDF}" name="Column208"/>
    <tableColumn id="240" xr3:uid="{9063FE28-8ADB-4BA7-A4A5-E4811A3E4C6A}" name="Column209"/>
    <tableColumn id="241" xr3:uid="{D17B18BC-5A4B-4661-B672-8CF5CFEF525E}" name="Column210"/>
    <tableColumn id="242" xr3:uid="{6F177C02-137C-4A2B-B0E6-48F04C286DEC}" name="Column211"/>
    <tableColumn id="243" xr3:uid="{A2F7228F-096E-42BA-9B91-81C5FA317D8A}" name="Column212"/>
    <tableColumn id="244" xr3:uid="{C4283D99-2142-4942-B7CB-BA704D6B062D}" name="Column213"/>
    <tableColumn id="245" xr3:uid="{A3BA2742-8E67-4003-9C66-69CEDF8966A1}" name="Column214"/>
    <tableColumn id="246" xr3:uid="{D931EF9B-0787-4AB2-ADC5-05B08FE028C5}" name="Column215"/>
    <tableColumn id="247" xr3:uid="{6EF06E28-5A21-4572-A2AD-3A872CE618FA}" name="Column216"/>
    <tableColumn id="248" xr3:uid="{B62D5777-D3DE-4B23-8B2B-FA74AF97B3DF}" name="Column217"/>
    <tableColumn id="249" xr3:uid="{99E5D57A-EDAD-4315-9737-EB56A3DDFBD2}" name="Column218"/>
    <tableColumn id="250" xr3:uid="{E6561579-36C5-4FA1-8370-619546FC3C09}" name="Column219"/>
    <tableColumn id="251" xr3:uid="{D24C058C-5E74-4470-9C7D-3D0B9850045B}" name="Column220"/>
    <tableColumn id="252" xr3:uid="{581CB54E-461C-4FC2-B3D8-B394E8963986}" name="Column221"/>
    <tableColumn id="253" xr3:uid="{EAAF12F1-675C-4959-9AB0-759D9CB4CD4F}" name="Column222"/>
    <tableColumn id="254" xr3:uid="{99F24C19-A457-4A2F-B6AD-FAEFE90FCDA7}" name="Column223"/>
    <tableColumn id="255" xr3:uid="{D13F9940-5F31-43EB-AFA1-C105217A3DDD}" name="Column224"/>
    <tableColumn id="256" xr3:uid="{0D8912F3-A932-4A73-83E0-6B782179715A}" name="Column225"/>
    <tableColumn id="257" xr3:uid="{14C50FD9-915A-454E-843A-50AA53FC001D}" name="Column226"/>
    <tableColumn id="258" xr3:uid="{A727CF90-D6D8-4F61-9139-0DC84EFCEE22}" name="Column227"/>
    <tableColumn id="259" xr3:uid="{753201D8-18D9-4882-BF0C-B7BD1442C927}" name="Column228"/>
    <tableColumn id="260" xr3:uid="{1C5C024C-EB46-42A6-9262-A388BF67B807}" name="Column229"/>
    <tableColumn id="261" xr3:uid="{565C7C41-486C-4A17-A87D-0E26FC8F427E}" name="Column230"/>
    <tableColumn id="262" xr3:uid="{661F9AD7-6C67-49D3-99A4-6FA519B07BED}" name="Column231"/>
    <tableColumn id="263" xr3:uid="{BE30AF14-8C8E-40D9-9EB0-8D83D7B26E8F}" name="Column232"/>
    <tableColumn id="264" xr3:uid="{177E6320-7564-4A1A-94D2-C0FB3A9A915F}" name="Column233"/>
    <tableColumn id="265" xr3:uid="{91692EBB-2271-4D8E-939E-ED52D26A546C}" name="Column234"/>
    <tableColumn id="266" xr3:uid="{D72A32E5-3E30-4040-9ED0-437A8595DB57}" name="Column235"/>
    <tableColumn id="267" xr3:uid="{4042B24F-DB89-4458-A56F-D5EF3D6FFAB4}" name="Column236"/>
    <tableColumn id="268" xr3:uid="{8C646979-6640-48B2-99DE-F0929F81438C}" name="Column237"/>
    <tableColumn id="269" xr3:uid="{98E512D5-8E9D-4DCB-9F1B-22BCD01FC55B}" name="Column238"/>
    <tableColumn id="270" xr3:uid="{4D063119-D92F-4E96-9666-0AA2411A4529}" name="Column239"/>
    <tableColumn id="271" xr3:uid="{98D6852A-AD64-4677-B79D-F63AA3B7AA76}" name="Column240"/>
    <tableColumn id="272" xr3:uid="{C9B87DE1-4EC6-4186-A879-65CC9735FAE7}" name="Column241"/>
    <tableColumn id="273" xr3:uid="{89140A0B-A6BF-4CAE-B4F7-29CEDD460312}" name="Column242"/>
    <tableColumn id="274" xr3:uid="{8F507E2E-6F8E-4618-AF0A-CAE9DA9ABAF3}" name="Column243"/>
    <tableColumn id="275" xr3:uid="{B73FCBAD-16E1-4DC5-80E3-05444A9F6C49}" name="Column244"/>
    <tableColumn id="276" xr3:uid="{C412200C-9B5D-4F1C-9951-1C7F940E4317}" name="Column245"/>
    <tableColumn id="277" xr3:uid="{8C9A2004-B592-4A9A-A65E-E2380519843D}" name="Column246"/>
    <tableColumn id="278" xr3:uid="{C5980891-F620-4D5D-9D2F-D458984A0485}" name="Column247"/>
    <tableColumn id="279" xr3:uid="{EE403904-2563-45C4-B8B2-995F29ED9C55}" name="Column248"/>
    <tableColumn id="280" xr3:uid="{F258AF47-7C82-4BA2-830D-0731DD01961B}" name="Column249"/>
    <tableColumn id="281" xr3:uid="{4C4EB32C-7FB0-4DDE-9E37-933EBA6A53CF}" name="Column250"/>
    <tableColumn id="282" xr3:uid="{6F416F27-EBE0-43B2-99D6-774FE8275C14}" name="Column251"/>
    <tableColumn id="283" xr3:uid="{9DBEACE1-020A-42F0-B9AA-640189F5D2EB}" name="Column252"/>
    <tableColumn id="284" xr3:uid="{658AC9AA-29ED-4423-BCD8-8D02673845F6}" name="Column253"/>
    <tableColumn id="285" xr3:uid="{BFAF1623-63E3-479A-809E-6ED531CCADCF}" name="Column254"/>
    <tableColumn id="286" xr3:uid="{6B752808-30B5-4D4D-A62C-B4AA034ADDFB}" name="Column255"/>
    <tableColumn id="287" xr3:uid="{7B4A7023-A965-4DB0-A2F3-D9393DBB37C5}" name="Column256"/>
    <tableColumn id="288" xr3:uid="{7B69C2B8-4E7C-4579-87C6-4715B0102314}" name="Column257"/>
    <tableColumn id="289" xr3:uid="{3E17F1AD-46A0-4DC4-8174-43F776F39E00}" name="Column258"/>
    <tableColumn id="290" xr3:uid="{DB71F8FA-C10B-40A4-8288-B21D68ABFE5F}" name="Column259"/>
    <tableColumn id="291" xr3:uid="{8131C8D5-24B8-4D11-8604-9609485B1DF9}" name="Column260"/>
    <tableColumn id="292" xr3:uid="{4DDD1DAC-4E6D-4091-BF7E-A01A3D0E7A4C}" name="Column261"/>
    <tableColumn id="293" xr3:uid="{B21A51E9-C9DC-4ACF-9ABC-40A423C6E07D}" name="Column262"/>
    <tableColumn id="294" xr3:uid="{BAEE3CBC-1929-4B4D-B262-52A3AC939C11}" name="Column263"/>
    <tableColumn id="295" xr3:uid="{7AE92A50-C798-4331-9ED9-61FD905304A6}" name="Column264"/>
    <tableColumn id="296" xr3:uid="{62FF7F17-D104-4A68-BAD4-378285A558A2}" name="Column265"/>
    <tableColumn id="297" xr3:uid="{1095598B-BFA6-416D-83AD-700EB2E78168}" name="Column266"/>
    <tableColumn id="298" xr3:uid="{BDFE74BA-39B6-4D0D-82B2-359CB0C7243B}" name="Column267"/>
    <tableColumn id="299" xr3:uid="{1A6860BA-A399-4F5C-B7FE-4793D1A39C1E}" name="Column268"/>
    <tableColumn id="300" xr3:uid="{C65AC70E-1D3B-43D3-B057-A095EE07F509}" name="Column269"/>
    <tableColumn id="301" xr3:uid="{376D5CBD-2394-4D7F-B532-F676F1C22E35}" name="Column270"/>
    <tableColumn id="302" xr3:uid="{33882AAC-274C-45E2-8B24-432C127E1967}" name="Column271"/>
    <tableColumn id="303" xr3:uid="{6AFDF00F-FE36-465D-91B3-2688296D77AC}" name="Column272"/>
    <tableColumn id="304" xr3:uid="{D1CD5550-F47B-4473-8CCD-195B4DFE3760}" name="Column273"/>
    <tableColumn id="305" xr3:uid="{95E3C728-F7DE-4A68-BD2C-7233B9D0E6AC}" name="Column274"/>
    <tableColumn id="306" xr3:uid="{9AC3FC5F-D3D4-4F63-974E-FDF88CB6BC3B}" name="Column275"/>
    <tableColumn id="307" xr3:uid="{A59244BB-6537-4AA1-ABEA-556A41F4A7D2}" name="Column276"/>
    <tableColumn id="308" xr3:uid="{D9EF742A-2CF5-49FE-8F45-A7920BB9CFC5}" name="Column277"/>
    <tableColumn id="309" xr3:uid="{ECF58AF2-E849-441F-9037-92F2A7714131}" name="Column278"/>
    <tableColumn id="310" xr3:uid="{467F4BF9-1034-4E97-A42C-41DDF28D103A}" name="Column279"/>
    <tableColumn id="311" xr3:uid="{EA0AEBF6-0D59-4C09-A630-9E8B29C120C2}" name="Column280"/>
    <tableColumn id="312" xr3:uid="{D2711FF3-F0D4-4956-8FB7-6E66AF2D3E87}" name="Column281"/>
    <tableColumn id="313" xr3:uid="{915EFEF9-9392-46E9-BCF0-676320ADE345}" name="Column282"/>
    <tableColumn id="314" xr3:uid="{DDBF1B63-F075-4347-B7D9-F254513E9BF9}" name="Column283"/>
    <tableColumn id="315" xr3:uid="{9F2EF5EC-E963-4CE0-91FE-346667ED6363}" name="Column284"/>
    <tableColumn id="316" xr3:uid="{8F7C6484-E4E8-4688-9414-17566D6ABC2C}" name="Column285"/>
    <tableColumn id="317" xr3:uid="{D23026C9-0120-4289-870F-013F45145F2F}" name="Column286"/>
    <tableColumn id="318" xr3:uid="{E12DF6C7-EB13-435E-A488-774FB4286DE5}" name="Column287"/>
    <tableColumn id="319" xr3:uid="{931CE7D2-FEB6-479A-8428-061027E90931}" name="Column288"/>
    <tableColumn id="320" xr3:uid="{E55BAA86-775B-4830-BC9D-F18987159EC0}" name="Column289"/>
    <tableColumn id="321" xr3:uid="{C55FE2DD-4A24-43BC-90DC-2757198D1FE7}" name="Column290"/>
    <tableColumn id="322" xr3:uid="{8869633F-E4B0-4776-8D69-110CD95BADF2}" name="Column291"/>
    <tableColumn id="323" xr3:uid="{3BB48D2F-27C2-44DA-B009-191EB569E539}" name="Column292"/>
    <tableColumn id="324" xr3:uid="{DDA81830-39B2-403E-A97A-1889F69A3A6D}" name="Column293"/>
    <tableColumn id="325" xr3:uid="{778A266F-43A3-4880-BFF2-653E776745C8}" name="Column294"/>
    <tableColumn id="326" xr3:uid="{93A14E16-5B60-4CE9-8D8F-E4D908086D88}" name="Column295"/>
    <tableColumn id="327" xr3:uid="{454F798E-FDFB-48F0-BFD8-DEB49EEDA057}" name="Column296"/>
    <tableColumn id="328" xr3:uid="{81122A7B-673A-4C40-9964-03F2D8A2F6A7}" name="Column297"/>
    <tableColumn id="329" xr3:uid="{A243D617-E852-4BC9-9019-9FB82519229B}" name="Column298"/>
    <tableColumn id="330" xr3:uid="{479E973F-845C-4E4A-9F12-3B9A026257A9}" name="Column299"/>
    <tableColumn id="331" xr3:uid="{73F4192D-2906-4DC6-B128-CC901DC44B06}" name="Column300"/>
    <tableColumn id="332" xr3:uid="{3C0AECDC-C92A-408C-B05C-74DF7320E70A}" name="Column301"/>
    <tableColumn id="333" xr3:uid="{2B6870FD-643A-45BE-98F3-70F41DD93CFE}" name="Column302"/>
    <tableColumn id="334" xr3:uid="{D190FAD4-F9BD-45FD-817B-9DE88503F0DF}" name="Column303"/>
    <tableColumn id="335" xr3:uid="{5CEFBC5D-FE20-4FAD-A31B-05A82E9F1287}" name="Column304"/>
    <tableColumn id="336" xr3:uid="{0067B11F-6A71-4070-A5C8-A2C4F1446733}" name="Column305"/>
    <tableColumn id="337" xr3:uid="{D11BD09A-9968-4363-89A5-6DFA674DB525}" name="Column306"/>
    <tableColumn id="338" xr3:uid="{D6041271-6B4E-4E34-8C6E-E0BAE67FECDE}" name="Column307"/>
    <tableColumn id="339" xr3:uid="{8207C703-56CC-4634-9432-BD7BBB1AEA4F}" name="Column308"/>
    <tableColumn id="340" xr3:uid="{717FE10A-4659-4FB5-8EAE-6A2FF908D291}" name="Column309"/>
    <tableColumn id="341" xr3:uid="{6EE1256A-1628-40DD-A6C9-BA1C5294E8E1}" name="Column310"/>
    <tableColumn id="342" xr3:uid="{4591D9F0-F77F-4852-AF2C-3B8950320B72}" name="Column311"/>
    <tableColumn id="343" xr3:uid="{432592C9-317A-4A90-9CE8-8DC936D4A87B}" name="Column312"/>
    <tableColumn id="344" xr3:uid="{E550089B-D3C3-40C6-A212-7E9BFFB8AEDA}" name="Column313"/>
    <tableColumn id="345" xr3:uid="{5A0BA3C6-5D3D-4C20-B80F-FFD97D86D800}" name="Column314"/>
    <tableColumn id="346" xr3:uid="{3B4FCB02-F638-48FC-9AA1-3DBA2AB308EF}" name="Column315"/>
    <tableColumn id="347" xr3:uid="{2417B3F0-6B79-466A-A34D-A1EF5D1BD9E9}" name="Column316"/>
    <tableColumn id="348" xr3:uid="{FE748D90-843E-4B2A-8028-308F926A309E}" name="Column317"/>
    <tableColumn id="349" xr3:uid="{FBDD6626-3EDE-445B-82E5-9C49C14DC93D}" name="Column318"/>
    <tableColumn id="350" xr3:uid="{4BE2221F-7B1F-433E-B1F8-666C8159540B}" name="Column319"/>
    <tableColumn id="351" xr3:uid="{9E5C0F63-9044-4F62-9B15-A1374B534D27}" name="Column320"/>
    <tableColumn id="352" xr3:uid="{2F14682B-70E6-4CC7-9CEA-00CCD0BD78C1}" name="Column321"/>
    <tableColumn id="353" xr3:uid="{09E7058F-53F7-48DF-BA4D-F637FE1F852B}" name="Column322"/>
    <tableColumn id="354" xr3:uid="{A47A402F-338E-4EB9-B0E6-6B3C14F67F88}" name="Column323"/>
    <tableColumn id="355" xr3:uid="{085C6EB1-BDA0-4FD1-85B9-A9BB130E95A5}" name="Column324"/>
    <tableColumn id="356" xr3:uid="{21B11E35-224C-420B-953E-FF1F1F4068E3}" name="Column325"/>
    <tableColumn id="357" xr3:uid="{E39A1C80-4C54-413C-AB64-CC993DEA92F5}" name="Column326"/>
    <tableColumn id="358" xr3:uid="{A06BD274-8542-4D75-9001-B50BD8BDC101}" name="Column327"/>
    <tableColumn id="359" xr3:uid="{B77DD701-27AE-4C97-8E4D-FE7DA479A0AF}" name="Column328"/>
    <tableColumn id="360" xr3:uid="{E296BB07-06ED-4657-B4ED-6EF7BAF768BE}" name="Column329"/>
    <tableColumn id="361" xr3:uid="{1D2D15A4-CAE7-4F6D-AC0A-F961DD5D254C}" name="Column330"/>
    <tableColumn id="362" xr3:uid="{1A4AEE52-3B3D-4CAF-B371-971CE6AB3372}" name="Column331"/>
    <tableColumn id="363" xr3:uid="{CF2BCA45-B8D8-4843-9A13-4C0D0B07D192}" name="Column332"/>
    <tableColumn id="364" xr3:uid="{56CB3DD0-D71B-4A92-BE92-35B14A84B7C8}" name="Column333"/>
    <tableColumn id="365" xr3:uid="{3166FA7C-7880-4C36-806D-25896B75D207}" name="Column334"/>
    <tableColumn id="366" xr3:uid="{DB579904-B6DB-4FF8-9579-C249719192D2}" name="Column335"/>
    <tableColumn id="367" xr3:uid="{0CE8FAD5-F2B0-4592-BC8E-3D171A2FBB68}" name="Column336"/>
    <tableColumn id="368" xr3:uid="{E5F9B40F-F535-48C7-BDA3-7AD164411BE0}" name="Column337"/>
    <tableColumn id="369" xr3:uid="{F0CD0F8A-E15E-4B06-9F20-8CE987C30404}" name="Column338"/>
    <tableColumn id="370" xr3:uid="{83D09EE1-9013-4920-9941-36115F14430E}" name="Column339"/>
    <tableColumn id="371" xr3:uid="{9A8065DF-9503-472C-98F6-9F0E60C61154}" name="Column340"/>
    <tableColumn id="372" xr3:uid="{DB5846C8-1077-41B9-BDD5-5A98C6A33704}" name="Column341"/>
    <tableColumn id="373" xr3:uid="{EB96FF13-5E6F-44EF-A3D2-EF6D0A9FE99E}" name="Column342"/>
    <tableColumn id="374" xr3:uid="{67A684CD-6341-42F8-90EA-DEF3C4176BE7}" name="Column343"/>
    <tableColumn id="375" xr3:uid="{65A21E8F-2D22-43DB-AEEC-3B5D709DA98B}" name="Column344"/>
    <tableColumn id="376" xr3:uid="{A4E797AA-2FEA-4F42-B4A4-6A09715BA65E}" name="Column345"/>
    <tableColumn id="377" xr3:uid="{666C1FB5-BFFC-4C2A-8D0F-DBE2FD66CA32}" name="Column346"/>
    <tableColumn id="378" xr3:uid="{01F7181D-65A0-404A-B292-A52C73159A4E}" name="Column347"/>
    <tableColumn id="379" xr3:uid="{CE6DBE54-544B-4A18-82CB-9375527993CC}" name="Column348"/>
    <tableColumn id="380" xr3:uid="{6087B459-907B-442F-A444-9AD43387B10E}" name="Column349"/>
    <tableColumn id="381" xr3:uid="{2FEEEC10-9961-4035-8ECB-AD8B8CFB9649}" name="Column350"/>
    <tableColumn id="382" xr3:uid="{DED63BA1-BECD-4F6D-AB5E-014F4F9F7111}" name="Column351"/>
    <tableColumn id="383" xr3:uid="{76C6F3AC-E745-49E8-956D-3823688B640E}" name="Column352"/>
    <tableColumn id="384" xr3:uid="{24A2C215-332E-48D4-8336-47BA0CD962FA}" name="Column353"/>
    <tableColumn id="385" xr3:uid="{D0AA3279-4E79-4196-9A47-1189962F617C}" name="Column354"/>
    <tableColumn id="386" xr3:uid="{F647F533-BC13-4ABC-9368-80BE88803590}" name="Column355"/>
    <tableColumn id="387" xr3:uid="{E33C0588-347B-4CE2-967F-8641FEC6E12B}" name="Column356"/>
    <tableColumn id="388" xr3:uid="{1DA737C4-4960-401F-9DFA-EC90C7222744}" name="Column357"/>
    <tableColumn id="389" xr3:uid="{B67E98AD-DB3A-41DB-A7A8-D4AF56D45B48}" name="Column358"/>
    <tableColumn id="390" xr3:uid="{2801A7EF-08BE-4056-B277-FAE74632018F}" name="Column359"/>
    <tableColumn id="391" xr3:uid="{F34538AC-7C6D-4CDC-BA00-D02B1D81F3FE}" name="Column360"/>
    <tableColumn id="392" xr3:uid="{57617EC9-4600-44AE-BCEB-036AA4D84DD0}" name="Column361"/>
    <tableColumn id="393" xr3:uid="{66F13E8C-758B-4608-8B87-542C8A5D3879}" name="Column362"/>
    <tableColumn id="394" xr3:uid="{5CC4B1E7-914F-4B65-BE5A-2E65C531A1E5}" name="Column363"/>
    <tableColumn id="395" xr3:uid="{7E3A30C0-45AE-400A-8514-6AB061F81A13}" name="Column364"/>
    <tableColumn id="396" xr3:uid="{60FB219D-8D5B-4B68-A63B-9BE4B7CA5FEF}" name="Column365"/>
    <tableColumn id="397" xr3:uid="{4570ED80-CCC7-421C-98C8-772F0082C2DB}" name="Column366"/>
    <tableColumn id="398" xr3:uid="{47360F32-E0F2-4756-B65F-4906CA3E73D3}" name="Column367"/>
    <tableColumn id="399" xr3:uid="{AA788F85-B74E-42F1-BCAE-0278212809E2}" name="Column368"/>
    <tableColumn id="400" xr3:uid="{4A263EF8-F787-459F-B59A-51971B876E60}" name="Column369"/>
    <tableColumn id="401" xr3:uid="{6A70D81F-FE8A-4A61-9734-23A571A508FC}" name="Column370"/>
    <tableColumn id="402" xr3:uid="{1F684C05-96B9-45C3-BE34-D40174C6F38A}" name="Column371"/>
    <tableColumn id="403" xr3:uid="{D10BE9B9-97EA-44F5-BC30-1ED506CF0F53}" name="Column372"/>
    <tableColumn id="404" xr3:uid="{B41EE379-BFB5-4BE4-8929-439EA3545FC1}" name="Column373"/>
    <tableColumn id="405" xr3:uid="{BFE4DFB2-9C8D-47BD-92B3-C0FBC002BBF0}" name="Column374"/>
    <tableColumn id="406" xr3:uid="{8002535A-E303-4939-94EE-8962ED37276A}" name="Column375"/>
    <tableColumn id="407" xr3:uid="{05A9335C-F0C5-4BC2-9801-55110259CF56}" name="Column376"/>
    <tableColumn id="408" xr3:uid="{CD50817D-CE0E-4621-9A06-7BC4DB3E62A3}" name="Column377"/>
    <tableColumn id="409" xr3:uid="{E3FC67DC-892F-42FA-9BC2-F16C0B0C3133}" name="Column378"/>
    <tableColumn id="410" xr3:uid="{B0344B2D-6F0C-422C-B19A-73FD33EEB554}" name="Column379"/>
    <tableColumn id="411" xr3:uid="{97CFD2B4-5CF5-47C0-9481-6A4D1A1D6C62}" name="Column380"/>
    <tableColumn id="412" xr3:uid="{DECE9912-2955-440B-9D38-F24F075D77DE}" name="Column381"/>
    <tableColumn id="413" xr3:uid="{808AE430-2B9E-4D50-8B00-BAECD4B98A5E}" name="Column382"/>
    <tableColumn id="414" xr3:uid="{BA3939B7-672C-483F-B2F1-5E2F8B40F00F}" name="Column383"/>
    <tableColumn id="415" xr3:uid="{D1CE3B87-7C60-4ACE-84E5-30042E40C308}" name="Column384"/>
    <tableColumn id="416" xr3:uid="{72C12140-EE2D-437B-9FB8-A2C781D3E845}" name="Column385"/>
    <tableColumn id="417" xr3:uid="{16120C74-204D-420B-BF00-50C4BAB2CD34}" name="Column386"/>
    <tableColumn id="418" xr3:uid="{31B97BB8-00B1-4EFC-B8EC-29C6E8E22490}" name="Column387"/>
    <tableColumn id="419" xr3:uid="{6114097E-B512-41A4-84A3-D898F3E31CDA}" name="Column388"/>
    <tableColumn id="420" xr3:uid="{C4385097-F146-4864-8B40-011C12420B04}" name="Column389"/>
    <tableColumn id="421" xr3:uid="{EA4AFE33-009A-4DCE-A5BE-DEA6E9E3CB51}" name="Column390"/>
    <tableColumn id="422" xr3:uid="{18EA7411-417A-4ED9-BD06-ECBBCDAC71E5}" name="Column391"/>
    <tableColumn id="423" xr3:uid="{C6344CFB-03A2-4A9D-B265-480D2409180D}" name="Column392"/>
    <tableColumn id="424" xr3:uid="{F8F52BB2-C768-45F1-A3FA-D204DD13F2AD}" name="Column393"/>
    <tableColumn id="425" xr3:uid="{F45AD26B-7C0B-4CD5-9A08-8812FB5E676E}" name="Column394"/>
    <tableColumn id="426" xr3:uid="{1557F2D7-EE70-4C02-BCB7-EA72863BB94E}" name="Column395"/>
    <tableColumn id="427" xr3:uid="{83D6AF07-126F-4A83-8797-0880978D107C}" name="Column396"/>
    <tableColumn id="428" xr3:uid="{B0A48D86-5461-4C74-BEDA-7001B97D2538}" name="Column397"/>
    <tableColumn id="429" xr3:uid="{88C635AC-95FF-434F-A7A5-8D66997CE7AA}" name="Column398"/>
    <tableColumn id="430" xr3:uid="{DF2187EB-8630-402F-904C-BA4F4AC1C86F}" name="Column399"/>
    <tableColumn id="431" xr3:uid="{1E54811B-2F85-4EF7-B5A6-86433BAB631E}" name="Column400"/>
    <tableColumn id="432" xr3:uid="{B7B8F163-FB8D-4007-9974-2213E5A40BE4}" name="Column401"/>
    <tableColumn id="433" xr3:uid="{2FC7F346-BF0D-4D64-9EB6-13F757511142}" name="Column402"/>
    <tableColumn id="434" xr3:uid="{9425A672-7465-4017-B55A-D3AA9CF5E408}" name="Column403"/>
    <tableColumn id="435" xr3:uid="{E52F122D-985C-4D77-8F22-A0F3EB81568F}" name="Column404"/>
    <tableColumn id="436" xr3:uid="{5C67456B-F837-4365-891A-34082A3A8888}" name="Column405"/>
    <tableColumn id="437" xr3:uid="{1AF08FFB-12E3-4315-9F33-E9BB1E64CC51}" name="Column406"/>
    <tableColumn id="438" xr3:uid="{16A06D52-1FF5-410D-B2FD-247356E79799}" name="Column407"/>
    <tableColumn id="439" xr3:uid="{158B7C79-87E2-45BB-A01A-6A416AC9F370}" name="Column408"/>
    <tableColumn id="440" xr3:uid="{338C4158-F971-47FF-BB85-F9D6C4744A0E}" name="Column409"/>
    <tableColumn id="441" xr3:uid="{DCB2E2DC-D4F2-49B1-BD60-27F203CEC4B1}" name="Column410"/>
    <tableColumn id="442" xr3:uid="{B6E68649-224C-4033-A198-2E715D3CAD9F}" name="Column411"/>
    <tableColumn id="443" xr3:uid="{46C67E75-D767-4581-808A-988F242AC8E1}" name="Column412"/>
    <tableColumn id="444" xr3:uid="{93A78F3D-9DA7-48E9-A68A-4DF1CB12E9DB}" name="Column413"/>
    <tableColumn id="445" xr3:uid="{6E33F5D6-5B04-49DC-8128-B3254E3CB08D}" name="Column414"/>
    <tableColumn id="446" xr3:uid="{C0A89C30-DC03-43B2-9671-A1FDF1E8CA26}" name="Column415"/>
    <tableColumn id="447" xr3:uid="{37AE545B-2203-4587-9F44-7E5AA6015F09}" name="Column416"/>
    <tableColumn id="448" xr3:uid="{93D25EAB-62F5-4262-A82D-7662DBEBF14C}" name="Column417"/>
    <tableColumn id="449" xr3:uid="{AB073A99-0D33-41B6-AFC0-D1F610A627E1}" name="Column418"/>
    <tableColumn id="450" xr3:uid="{D0B7938C-7532-454C-A446-24F8A88C253A}" name="Column419"/>
    <tableColumn id="451" xr3:uid="{291AFFD0-9311-4A72-B6CE-D50061057C11}" name="Column420"/>
    <tableColumn id="452" xr3:uid="{46BDFF31-4767-4B71-86CF-2E81A701F471}" name="Column421"/>
    <tableColumn id="453" xr3:uid="{1E22AA1C-F921-42E5-B8F5-9E545E8AF84D}" name="Column422"/>
    <tableColumn id="454" xr3:uid="{0B2E4A5F-1563-4F95-A1F4-122887F1E4A5}" name="Column423"/>
    <tableColumn id="455" xr3:uid="{E271B30F-6EF5-44B8-8167-2F03155C6B82}" name="Column424"/>
    <tableColumn id="456" xr3:uid="{8A90E734-9210-47B3-A26D-81CD45D1347B}" name="Column425"/>
    <tableColumn id="457" xr3:uid="{77A4F157-88B2-4B26-91DC-AC524C3A2DEE}" name="Column426"/>
    <tableColumn id="458" xr3:uid="{544F323E-69DD-419B-A7A7-5F3162E472D4}" name="Column427"/>
    <tableColumn id="459" xr3:uid="{AA7E0FB6-33C3-42F5-BFB3-0C242355A7D0}" name="Column428"/>
    <tableColumn id="460" xr3:uid="{97E6864D-0F45-4AA5-A40B-17953B6C6295}" name="Column429"/>
    <tableColumn id="461" xr3:uid="{66C77444-63AF-4202-9798-A24D6563276A}" name="Column430"/>
    <tableColumn id="462" xr3:uid="{C113C0E5-935E-4590-B166-41FAABE37216}" name="Column431"/>
    <tableColumn id="463" xr3:uid="{0AB89210-3535-41F3-8E11-A7D0CDF7D724}" name="Column432"/>
    <tableColumn id="464" xr3:uid="{A3F341B6-4A1A-412B-A52D-DB88A9975A52}" name="Column433"/>
    <tableColumn id="465" xr3:uid="{3C4A71BA-8268-437B-AE80-463203886AE2}" name="Column434"/>
    <tableColumn id="466" xr3:uid="{1BB85152-8BED-4874-8A19-EC91E7805D60}" name="Column435"/>
    <tableColumn id="467" xr3:uid="{4800383A-2262-4A7E-9426-C2E33BB56279}" name="Column436"/>
    <tableColumn id="468" xr3:uid="{3C9DFCFC-3D80-49CA-8343-ABF3274858C4}" name="Column437"/>
    <tableColumn id="469" xr3:uid="{CBECA9CC-395B-4488-BDF0-BFACB1DC4535}" name="Column438"/>
    <tableColumn id="470" xr3:uid="{D33C57E2-4E5D-46D5-92EB-CC049069FA8B}" name="Column439"/>
    <tableColumn id="471" xr3:uid="{6E284226-F30E-49E0-8AD2-D9094482BF11}" name="Column440"/>
    <tableColumn id="472" xr3:uid="{205F3A07-F651-4DFF-B939-4B11A92CBAC7}" name="Column441"/>
    <tableColumn id="473" xr3:uid="{1AAE02E5-D61E-4D11-B432-DF2D47471713}" name="Column442"/>
    <tableColumn id="474" xr3:uid="{B7888D16-FAB4-4C10-AB2D-5D236F055FDF}" name="Column443"/>
    <tableColumn id="475" xr3:uid="{67338823-272F-465D-A4DC-5E8A60EBAB3F}" name="Column444"/>
    <tableColumn id="476" xr3:uid="{A60D6649-4361-431A-AC42-D02FAE91739F}" name="Column445"/>
    <tableColumn id="477" xr3:uid="{E0731C67-B6B4-4B6D-AA38-4E24EED394C6}" name="Column446"/>
    <tableColumn id="478" xr3:uid="{163ED524-B86B-4634-9F43-D969B0BD56C9}" name="Column447"/>
    <tableColumn id="479" xr3:uid="{328BAFB8-9D40-4F04-B183-231E5432EF8E}" name="Column448"/>
    <tableColumn id="480" xr3:uid="{993684D6-33F8-40ED-8302-277FD708B0E7}" name="Column449"/>
    <tableColumn id="481" xr3:uid="{79385161-7407-44FE-940B-6F65133B4F07}" name="Column450"/>
    <tableColumn id="482" xr3:uid="{5D350485-EA43-4748-89FF-786FFD15D6AC}" name="Column451"/>
    <tableColumn id="483" xr3:uid="{97E13CB1-B825-4F1C-86B6-55BD89200107}" name="Column452"/>
    <tableColumn id="484" xr3:uid="{79186622-4FD3-416C-AE11-BC555C1565AD}" name="Column453"/>
    <tableColumn id="485" xr3:uid="{A85E81A6-8733-4858-A189-C0CD87D6AC9B}" name="Column454"/>
    <tableColumn id="486" xr3:uid="{6D99EE03-E755-4384-834B-3782A20CF157}" name="Column455"/>
    <tableColumn id="487" xr3:uid="{5E235442-3239-4652-98E3-3D0BD41E65DC}" name="Column456"/>
    <tableColumn id="488" xr3:uid="{F5DB8FB3-0389-49B9-8BB5-0E6B5B1D0283}" name="Column457"/>
    <tableColumn id="489" xr3:uid="{CAB9C22B-A7B8-4805-A663-356F958A1D07}" name="Column458"/>
    <tableColumn id="490" xr3:uid="{6C0108CC-B121-4C45-91E3-CF1255CB8D04}" name="Column459"/>
    <tableColumn id="491" xr3:uid="{427B47F7-54EA-4D90-B772-754AA6860561}" name="Column460"/>
    <tableColumn id="492" xr3:uid="{C6D88212-2C07-4597-98D9-F40C1AB3A4DB}" name="Column461"/>
    <tableColumn id="493" xr3:uid="{8C28721C-ECF5-4BE2-A912-7549FB2C42DB}" name="Column462"/>
    <tableColumn id="494" xr3:uid="{8CB92D60-BF76-46E5-AAE4-31A2B125EA88}" name="Column463"/>
    <tableColumn id="495" xr3:uid="{74625207-0DB6-46C3-9796-52691E827985}" name="Column464"/>
    <tableColumn id="496" xr3:uid="{F7FE6F7E-85C2-4617-8F53-2DD5A100EE74}" name="Column465"/>
    <tableColumn id="497" xr3:uid="{5145B5F2-8267-4A5B-BD6A-B02A1B3644FF}" name="Column466"/>
    <tableColumn id="498" xr3:uid="{29AAA74A-3B9A-4D22-838C-8F6DEC8D9947}" name="Column467"/>
    <tableColumn id="499" xr3:uid="{933B20D0-C898-476F-B943-E953EB869117}" name="Column468"/>
    <tableColumn id="500" xr3:uid="{46DE939A-175C-408F-962B-F7B1FF9D0FD4}" name="Column469"/>
    <tableColumn id="501" xr3:uid="{C0E59D56-B8FD-44D0-B603-85B1AFA20478}" name="Column470"/>
    <tableColumn id="502" xr3:uid="{88C8D825-19B0-4490-A6DA-274042BE7AE0}" name="Column471"/>
    <tableColumn id="503" xr3:uid="{175BD727-4B86-43CA-AF54-BD6915891F0B}" name="Column472"/>
    <tableColumn id="504" xr3:uid="{830AC6D9-82DD-410F-AE51-751A734B94A5}" name="Column473"/>
    <tableColumn id="505" xr3:uid="{59F996B3-C1BB-4F3E-8605-B7F460EC7506}" name="Column474"/>
    <tableColumn id="506" xr3:uid="{6D57CBFE-F7A2-4C32-B8F4-4E1FC89C1510}" name="Column475"/>
    <tableColumn id="507" xr3:uid="{73195C48-8E58-4FBB-91FD-4FCACE42925D}" name="Column476"/>
    <tableColumn id="508" xr3:uid="{4FB99744-9648-4CBF-B2E1-1C9D50F2DC0B}" name="Column477"/>
    <tableColumn id="509" xr3:uid="{F9C5F8BA-8898-463C-9F4C-E9E2F03C0A92}" name="Column478"/>
    <tableColumn id="510" xr3:uid="{5D41CB4D-A238-4BE1-92B4-09960B583FAF}" name="Column479"/>
    <tableColumn id="511" xr3:uid="{01E1D3C2-F815-40B9-863F-D00DA7A8AF16}" name="Column480"/>
    <tableColumn id="512" xr3:uid="{373507D5-B089-48FE-9D5A-8214B6EFD236}" name="Column481"/>
    <tableColumn id="513" xr3:uid="{996B7A6D-AC77-4A9A-BDD4-C2E6A92BB43A}" name="Column482"/>
    <tableColumn id="514" xr3:uid="{A4E248CA-05D5-4815-807B-5A6A7A51EAD7}" name="Column483"/>
    <tableColumn id="515" xr3:uid="{28857B0C-D367-4980-9245-2991F09A369C}" name="Column484"/>
    <tableColumn id="516" xr3:uid="{EA1C83F6-8F99-4574-9A7D-99CEC56A7F7A}" name="Column485"/>
    <tableColumn id="517" xr3:uid="{124EA1FF-FC1C-4904-B217-C7CD97B235FC}" name="Column486"/>
    <tableColumn id="518" xr3:uid="{2A999465-3768-4C63-B037-7A0024E4BB6E}" name="Column487"/>
    <tableColumn id="519" xr3:uid="{1FEAEAA2-DD95-464C-A171-1699F0006B2E}" name="Column488"/>
    <tableColumn id="520" xr3:uid="{AD4C3495-6267-4699-AEB1-11983EAC070F}" name="Column489"/>
    <tableColumn id="521" xr3:uid="{558F33CF-B515-4D60-B7BD-C953513D9F66}" name="Column490"/>
    <tableColumn id="522" xr3:uid="{B5DC15D9-43DD-490D-A180-A45C5456702A}" name="Column491"/>
    <tableColumn id="523" xr3:uid="{5616C164-64B7-4307-B173-BD0F9A1055FF}" name="Column492"/>
    <tableColumn id="524" xr3:uid="{9955721D-D3F8-458B-9CFE-81445A43B4B9}" name="Column493"/>
    <tableColumn id="525" xr3:uid="{AD252193-B3E6-4C75-8316-57C36F63B7A8}" name="Column494"/>
    <tableColumn id="526" xr3:uid="{C3C91363-5965-4B3E-B25B-5F6286E64667}" name="Column495"/>
    <tableColumn id="527" xr3:uid="{2F182F87-F765-47B7-B460-5AD919AE9D63}" name="Column496"/>
    <tableColumn id="528" xr3:uid="{141C55DB-C84C-48A2-A744-A8D3FBD8441C}" name="Column497"/>
    <tableColumn id="529" xr3:uid="{5B33ED55-BA23-480B-9E85-78D7B6108712}" name="Column498"/>
    <tableColumn id="530" xr3:uid="{7C7018AA-58F5-425B-9A1B-E217B9A5C193}" name="Column499"/>
    <tableColumn id="531" xr3:uid="{57415EF0-46EC-4449-A381-142A978FCFA3}" name="Column500"/>
    <tableColumn id="532" xr3:uid="{F8878E24-AFC8-4A7F-8D9F-D4948D6431EE}" name="Column501"/>
    <tableColumn id="533" xr3:uid="{D4264BAF-A497-446C-86A5-D677164026C1}" name="Column502"/>
    <tableColumn id="534" xr3:uid="{C0EAA81F-21C5-464D-A0DB-3211F960973E}" name="Column503"/>
    <tableColumn id="535" xr3:uid="{340549CC-8B99-441B-A3B2-11013862FFBA}" name="Column504"/>
    <tableColumn id="536" xr3:uid="{7AC2B43C-7FE7-4634-B71E-E1BE41D4119E}" name="Column505"/>
    <tableColumn id="537" xr3:uid="{C0342A28-EC79-4E7D-B6B5-18DEE9D824E5}" name="Column506"/>
    <tableColumn id="538" xr3:uid="{F6228826-F5F1-4CC1-9B3C-16816F94D5B8}" name="Column507"/>
    <tableColumn id="539" xr3:uid="{C1C2ACDA-6E04-49D1-B44F-9F959B3D41D0}" name="Column508"/>
    <tableColumn id="540" xr3:uid="{E8D5EFFE-3E99-4D0A-AA11-7EF8E08C5467}" name="Column509"/>
    <tableColumn id="541" xr3:uid="{1F5BAD9C-ACAD-4739-87CB-3F7422DBB86C}" name="Column510"/>
    <tableColumn id="542" xr3:uid="{60D03365-138D-417D-BBBA-D58EB9F1E3B2}" name="Column511"/>
    <tableColumn id="543" xr3:uid="{5245BE1A-8A8F-4683-8212-F7091D0F633C}" name="Column512"/>
    <tableColumn id="544" xr3:uid="{5B6A2B50-E5FB-4CDF-961D-81C5B36CC31B}" name="Column513"/>
    <tableColumn id="545" xr3:uid="{97964DAD-3C4C-4F1D-8DD8-F186519CCC23}" name="Column514"/>
    <tableColumn id="546" xr3:uid="{DA78DB12-69DD-4C1B-A159-52963F558AF0}" name="Column515"/>
    <tableColumn id="547" xr3:uid="{DD2ED141-5939-43EC-8DD2-84DB95C6ABBD}" name="Column516"/>
    <tableColumn id="548" xr3:uid="{C5DED1BE-0C1F-4A18-9C30-AC23CDF4CA27}" name="Column517"/>
    <tableColumn id="549" xr3:uid="{D8572B32-F3D7-434D-8F23-1A043C3AA91B}" name="Column518"/>
    <tableColumn id="550" xr3:uid="{AC47F368-B1BE-4F18-AF0C-C112606E7781}" name="Column519"/>
    <tableColumn id="551" xr3:uid="{291317E9-1A47-4A34-8CD2-857794C6C1D6}" name="Column520"/>
    <tableColumn id="552" xr3:uid="{22358DB5-23EE-4751-B0E5-4CB0138ECE18}" name="Column521"/>
    <tableColumn id="553" xr3:uid="{4CDA9650-445E-4153-94BA-DA9F169F30B8}" name="Column522"/>
    <tableColumn id="554" xr3:uid="{9886EDF2-0A70-432E-8D05-543B98CF99C9}" name="Column523"/>
    <tableColumn id="555" xr3:uid="{C0379E82-D3D2-4510-A8ED-07F056B4F753}" name="Column524"/>
    <tableColumn id="556" xr3:uid="{C5B47A8B-7A46-4048-8C78-8C2D25B0F851}" name="Column525"/>
    <tableColumn id="557" xr3:uid="{9D81372C-0C9D-49D6-BE2C-8B5B34EF4021}" name="Column526"/>
    <tableColumn id="558" xr3:uid="{E45FF21B-2ADB-478B-909C-48F3D833D40B}" name="Column527"/>
    <tableColumn id="559" xr3:uid="{90C3609A-CEB6-456B-8D01-9EACDC0FBC1C}" name="Column528"/>
    <tableColumn id="560" xr3:uid="{3C97EE40-23D6-473B-80D5-22874A9071F9}" name="Column529"/>
    <tableColumn id="561" xr3:uid="{671B8A6F-94CE-4CE0-9484-F9FF6E7E966A}" name="Column530"/>
    <tableColumn id="562" xr3:uid="{3C6E5A59-798D-42A0-98A7-BDC49C592EBA}" name="Column531"/>
    <tableColumn id="563" xr3:uid="{C05618F1-9D2B-444B-A6CD-C8500396FD60}" name="Column532"/>
    <tableColumn id="564" xr3:uid="{73D236CC-1A37-4B40-AC86-E40D8B1E2142}" name="Column533"/>
    <tableColumn id="565" xr3:uid="{B5696F28-7781-4CEC-8022-15E01804C080}" name="Column534"/>
    <tableColumn id="566" xr3:uid="{9156CDFC-8C69-4785-BCEF-CF36FEF2895A}" name="Column535"/>
    <tableColumn id="567" xr3:uid="{ADEE7C7C-5CE7-4883-A811-32FFA188378B}" name="Column536"/>
    <tableColumn id="568" xr3:uid="{CF9EE546-3C47-4484-B4DE-A1676D25C0C4}" name="Column537"/>
    <tableColumn id="569" xr3:uid="{9602204E-1CB7-4A6B-9EA7-B9E6359467F7}" name="Column538"/>
    <tableColumn id="570" xr3:uid="{908ADB81-094A-433B-B5D1-B84745D20A11}" name="Column539"/>
    <tableColumn id="571" xr3:uid="{F69B6FAF-57F4-4B06-A471-BCE3120A0136}" name="Column540"/>
    <tableColumn id="572" xr3:uid="{2E8AE352-7422-41F8-88B7-F535BC9CE685}" name="Column541"/>
    <tableColumn id="573" xr3:uid="{39899AC5-4436-461C-87FC-7137D6089FEC}" name="Column542"/>
    <tableColumn id="574" xr3:uid="{5C670ED2-110B-4EC8-811C-A6006192251C}" name="Column543"/>
    <tableColumn id="575" xr3:uid="{CD260C0F-7E98-4C57-B665-9F0519394946}" name="Column544"/>
    <tableColumn id="576" xr3:uid="{657C5B46-3E1F-4CEA-9671-F1160F2F7D27}" name="Column545"/>
    <tableColumn id="577" xr3:uid="{7CA535D5-4AC0-4C81-B972-F4ED94A8DF9A}" name="Column546"/>
    <tableColumn id="578" xr3:uid="{546C8C6D-0FC9-424D-8FC4-A09226551857}" name="Column547"/>
    <tableColumn id="579" xr3:uid="{2036EDE2-0505-4200-81F7-429BF686FD62}" name="Column548"/>
    <tableColumn id="580" xr3:uid="{9BE0F695-866D-42FD-94AC-484F13DC1AF7}" name="Column549"/>
    <tableColumn id="581" xr3:uid="{4945892E-7E46-4091-90F7-6564B5EC592A}" name="Column550"/>
    <tableColumn id="582" xr3:uid="{2782573F-FD58-4E67-9517-9CB1560BBF5A}" name="Column551"/>
    <tableColumn id="583" xr3:uid="{AA18B41E-010B-497E-90FA-FC3FAC94E289}" name="Column552"/>
    <tableColumn id="584" xr3:uid="{BAC2CFBC-3844-40E5-B0DF-27483081414E}" name="Column553"/>
    <tableColumn id="585" xr3:uid="{01E4C2F6-A1CD-4F63-B5D5-41F2B352BD63}" name="Column554"/>
    <tableColumn id="586" xr3:uid="{5A0093A6-2185-478A-A723-C16E758C0B79}" name="Column555"/>
    <tableColumn id="587" xr3:uid="{CE867661-5EA9-4885-873B-B19177319AEC}" name="Column556"/>
    <tableColumn id="588" xr3:uid="{6C9DFF0A-EE6F-4834-90E7-14D658BD0524}" name="Column557"/>
    <tableColumn id="589" xr3:uid="{8E00B4E5-D864-4572-9FED-2303AF143F19}" name="Column558"/>
    <tableColumn id="590" xr3:uid="{C031E6AF-591F-432D-B979-ED73AA201F2E}" name="Column559"/>
    <tableColumn id="591" xr3:uid="{7BA1F55D-0416-4198-A812-64E36CE0DBA0}" name="Column560"/>
    <tableColumn id="592" xr3:uid="{7389A17E-C18E-4CFC-A084-724D2BA5B673}" name="Column561"/>
    <tableColumn id="593" xr3:uid="{484FE79B-BECB-45E4-9728-61060E9AC0D7}" name="Column562"/>
    <tableColumn id="594" xr3:uid="{8F2093DF-99DF-488F-A87E-3E1B3523D7BF}" name="Column563"/>
    <tableColumn id="595" xr3:uid="{2C24D7E1-9407-45B8-81B6-610354FB6F95}" name="Column564"/>
    <tableColumn id="596" xr3:uid="{7F18E0B0-05D3-440B-84C1-5D815044CAC6}" name="Column565"/>
    <tableColumn id="597" xr3:uid="{01FD2BF3-672D-43BC-B7AC-835DF087756B}" name="Column566"/>
    <tableColumn id="598" xr3:uid="{4E46FA5C-999F-44C0-8E74-C4B097EE2606}" name="Column567"/>
    <tableColumn id="599" xr3:uid="{EBEDFA3A-C3A6-4CA6-962B-27063BDB7581}" name="Column568"/>
    <tableColumn id="600" xr3:uid="{204BA345-90C5-42C7-83D9-B7E4A2AAFB03}" name="Column569"/>
    <tableColumn id="601" xr3:uid="{188A8C99-5E5E-420C-BBE4-3EBC0FF9B9BD}" name="Column570"/>
    <tableColumn id="602" xr3:uid="{A1871032-848D-4E51-B8BB-1FCBD161D23F}" name="Column571"/>
    <tableColumn id="603" xr3:uid="{0C08397B-17BF-4DEF-BCA1-D802008419B1}" name="Column572"/>
    <tableColumn id="604" xr3:uid="{1204F917-1195-4AA9-9AB0-A46AF919E96C}" name="Column573"/>
    <tableColumn id="605" xr3:uid="{81328540-20CF-469B-B64C-66119CB72807}" name="Column574"/>
    <tableColumn id="606" xr3:uid="{11CA8557-F531-450B-B71E-7494A3C27C55}" name="Column575"/>
    <tableColumn id="607" xr3:uid="{10F13BDD-9AFC-4B3C-A90B-F61A038621D6}" name="Column576"/>
    <tableColumn id="608" xr3:uid="{8F65B65C-AC0D-4DB4-87F9-EB243B2EDF69}" name="Column577"/>
    <tableColumn id="609" xr3:uid="{BBE528AF-AFBB-48CB-906A-7574E6D64BD5}" name="Column578"/>
    <tableColumn id="610" xr3:uid="{BA692414-112F-4D4F-A240-32FF89212C33}" name="Column579"/>
    <tableColumn id="611" xr3:uid="{275DA989-D02B-4C33-80EE-ECA99AA5077A}" name="Column580"/>
    <tableColumn id="612" xr3:uid="{5AD2ED58-3F50-49B7-B917-91B42BA25D4B}" name="Column581"/>
    <tableColumn id="613" xr3:uid="{19360D77-4706-44AC-8048-8D9E569072EE}" name="Column582"/>
    <tableColumn id="614" xr3:uid="{F6791F5B-9C1A-48B9-98B1-3B429A942FFF}" name="Column583"/>
    <tableColumn id="615" xr3:uid="{9E6FEB5C-70BC-4BFA-94F5-5358B2482DE1}" name="Column584"/>
    <tableColumn id="616" xr3:uid="{004E19C9-8801-4504-A743-A019E49855FB}" name="Column585"/>
    <tableColumn id="617" xr3:uid="{B8F8A62F-24AB-4D94-9153-A2F7AA328DE7}" name="Column586"/>
    <tableColumn id="618" xr3:uid="{30113E9F-D577-4572-8BC2-1E07BE9D6F62}" name="Column587"/>
    <tableColumn id="619" xr3:uid="{B2BF0896-EF9D-4DEE-8712-00F890599165}" name="Column588"/>
    <tableColumn id="620" xr3:uid="{B29A138A-DE97-4333-B47C-CD34FB14F817}" name="Column589"/>
    <tableColumn id="621" xr3:uid="{DA94E655-5104-4CA9-8C2E-E60EEB4F075F}" name="Column590"/>
    <tableColumn id="622" xr3:uid="{D03AD6BC-962C-4868-ACB8-D677153A61C7}" name="Column591"/>
    <tableColumn id="623" xr3:uid="{659F649E-BD63-4B43-97BA-2F1356418AC2}" name="Column592"/>
    <tableColumn id="624" xr3:uid="{E700D207-8758-4140-BCE3-563A04D0B2EB}" name="Column593"/>
    <tableColumn id="625" xr3:uid="{165A77DF-91A7-4217-B80C-9090C0207056}" name="Column594"/>
    <tableColumn id="626" xr3:uid="{CEDBFE48-ACBA-4F53-AECD-B71762B6A132}" name="Column595"/>
    <tableColumn id="627" xr3:uid="{1F55A2D2-E48E-4389-9EAC-E7A135A73DCA}" name="Column596"/>
    <tableColumn id="628" xr3:uid="{A2E4DFAC-F630-4C8B-AB1A-BDCFFE659E24}" name="Column597"/>
    <tableColumn id="629" xr3:uid="{088BE8C5-FB2B-43E2-908F-C92E5D5159A5}" name="Column598"/>
    <tableColumn id="630" xr3:uid="{DFAF6D09-192B-4E2B-AFE0-FA0C4BEB3F38}" name="Column599"/>
    <tableColumn id="631" xr3:uid="{6294224A-1A2F-42A7-AED3-BF5A8493870E}" name="Column600"/>
    <tableColumn id="632" xr3:uid="{712D37B3-373D-4C65-9BE3-559949E15E97}" name="Column601"/>
    <tableColumn id="633" xr3:uid="{0CAC2D06-D99E-4802-8831-6DD9B51A2E61}" name="Column602"/>
    <tableColumn id="634" xr3:uid="{A3DD5320-729E-47BA-8910-8191985AC306}" name="Column603"/>
    <tableColumn id="635" xr3:uid="{D381A139-7C0C-4820-8B4B-40DF95551BF6}" name="Column604"/>
    <tableColumn id="636" xr3:uid="{8BDC1BEB-859E-4BFC-9FF1-CA84582DBF5A}" name="Column605"/>
    <tableColumn id="637" xr3:uid="{B77DEA02-AE2A-4DF8-A42F-78752980CAF1}" name="Column606"/>
    <tableColumn id="638" xr3:uid="{3CD9F58A-2CF7-44FA-A561-405642E29DE9}" name="Column607"/>
    <tableColumn id="639" xr3:uid="{9484AC16-A84E-48A6-9B50-4927FE11EA94}" name="Column608"/>
    <tableColumn id="640" xr3:uid="{570EE2D9-7D5D-43EE-AEF4-E11A8329662F}" name="Column609"/>
    <tableColumn id="641" xr3:uid="{110A5512-91D4-4A84-AA76-B43CE9FA6573}" name="Column610"/>
    <tableColumn id="642" xr3:uid="{4A77CF0C-D248-4A82-B7BE-C54C29E5DA8B}" name="Column611"/>
    <tableColumn id="643" xr3:uid="{87276ACC-ABC3-4FD5-85CD-9AD0FB2773AA}" name="Column612"/>
    <tableColumn id="644" xr3:uid="{E12F1A41-150D-443B-BE69-6C8B85FE9A7C}" name="Column613"/>
    <tableColumn id="645" xr3:uid="{DBA4234A-EE2D-4765-AD84-6A1B212FBC63}" name="Column614"/>
    <tableColumn id="646" xr3:uid="{A771D430-5C05-49BA-8DE3-1BD57C9248DE}" name="Column615"/>
    <tableColumn id="647" xr3:uid="{A1E0DD89-808C-430A-9AE0-02B5F1291DFA}" name="Column616"/>
    <tableColumn id="648" xr3:uid="{174C176B-DCC3-4914-AEEC-C75D5936DEE9}" name="Column617"/>
    <tableColumn id="649" xr3:uid="{94646F12-F9FF-46D6-8E03-69474E3F0A64}" name="Column618"/>
    <tableColumn id="650" xr3:uid="{3A1690B4-6FF8-49AB-95D8-8B722A61E187}" name="Column619"/>
    <tableColumn id="651" xr3:uid="{75488B1D-9421-4BBB-8886-BA4041B6F4E8}" name="Column620"/>
    <tableColumn id="652" xr3:uid="{EFC9DB9F-053B-4273-9474-64DD3B9676AE}" name="Column621"/>
    <tableColumn id="653" xr3:uid="{DC7AFEA6-61FC-4E6D-AF54-F7AD8DA73F1E}" name="Column622"/>
    <tableColumn id="654" xr3:uid="{B3CAE5A1-5E2B-4432-A63F-0A42988DED6A}" name="Column623"/>
    <tableColumn id="655" xr3:uid="{A51D2AE6-C0D4-4242-960C-CA53D273B9E6}" name="Column624"/>
    <tableColumn id="656" xr3:uid="{8AF86DE6-C05A-4C03-9069-42A554EBCC42}" name="Column625"/>
    <tableColumn id="657" xr3:uid="{1399529B-EF48-45FD-B144-0A9548A1E751}" name="Column626"/>
    <tableColumn id="658" xr3:uid="{DEA3E709-4AD2-46C0-B479-8CB6008251F5}" name="Column627"/>
    <tableColumn id="659" xr3:uid="{5C101AE9-321D-4121-8CD3-F2A8D6656261}" name="Column628"/>
    <tableColumn id="660" xr3:uid="{BA119D20-09FF-4F82-8FE7-0374DE644FC4}" name="Column629"/>
    <tableColumn id="661" xr3:uid="{18666B60-A9D3-4DCE-A1E4-45826467B564}" name="Column630"/>
    <tableColumn id="662" xr3:uid="{11D292D5-759C-4800-8F04-9A5824568338}" name="Column631"/>
    <tableColumn id="663" xr3:uid="{A2BBCFB7-80AB-4F1D-A1F9-39DD0B39AD6B}" name="Column632"/>
    <tableColumn id="664" xr3:uid="{7464EF72-3388-44A8-85B4-842E4BF28221}" name="Column633"/>
    <tableColumn id="665" xr3:uid="{48AA3FCE-08FD-4EA4-9AA8-D12D7650A5EE}" name="Column634"/>
    <tableColumn id="666" xr3:uid="{7A746914-815F-4C5F-8C3C-C30D2D1812CA}" name="Column635"/>
    <tableColumn id="667" xr3:uid="{1A42E0AE-DA38-419E-920F-710370833E79}" name="Column636"/>
    <tableColumn id="668" xr3:uid="{32F5F01D-9114-46C2-817A-85C35BACAC38}" name="Column637"/>
    <tableColumn id="669" xr3:uid="{93C890DE-45A3-4F76-B9CE-394A1BC87128}" name="Column638"/>
    <tableColumn id="670" xr3:uid="{04E0B737-1196-4669-A7EC-1CEC81A7DE2D}" name="Column639"/>
    <tableColumn id="671" xr3:uid="{5D851AA3-2BB0-42F3-8242-60F186637975}" name="Column640"/>
    <tableColumn id="672" xr3:uid="{A95FC2E2-CB55-4A04-ACD8-983775743ADE}" name="Column641"/>
    <tableColumn id="673" xr3:uid="{765C2994-FB94-4C38-B55F-7ACA39CE4E95}" name="Column642"/>
    <tableColumn id="674" xr3:uid="{451CC713-4A40-4452-A9D0-B507724853A0}" name="Column643"/>
    <tableColumn id="675" xr3:uid="{6A440D1B-6C82-4038-B39B-F5F0865EF91D}" name="Column644"/>
    <tableColumn id="676" xr3:uid="{4E1A3625-2AC4-4981-97AC-E6AD93C990E6}" name="Column645"/>
    <tableColumn id="677" xr3:uid="{C9188672-4B07-49E9-AB5B-ABADEE53C05C}" name="Column646"/>
    <tableColumn id="678" xr3:uid="{90E142AA-7FB5-4717-A584-7C9C77A4E3AA}" name="Column647"/>
    <tableColumn id="679" xr3:uid="{3B6CE09D-EF3C-434C-9C12-5A4FA865F32B}" name="Column648"/>
    <tableColumn id="680" xr3:uid="{D5F1B881-0A49-472E-B28D-038CD118D095}" name="Column649"/>
    <tableColumn id="681" xr3:uid="{348AFEC2-D31A-4608-A4B1-06A155C73587}" name="Column650"/>
    <tableColumn id="682" xr3:uid="{C3C89CA0-0F24-43DB-B6AC-8DF01088F9BF}" name="Column651"/>
    <tableColumn id="683" xr3:uid="{7C1AC191-638B-492E-B338-F8D2998E2B1E}" name="Column652"/>
    <tableColumn id="684" xr3:uid="{CBF91018-FB6A-4EE7-8A03-6F406D4AE803}" name="Column653"/>
    <tableColumn id="685" xr3:uid="{5319E2DB-ECAA-4ED3-8E0B-68B8A75954A9}" name="Column654"/>
    <tableColumn id="686" xr3:uid="{3468D04A-592F-4091-83E5-E4F6AA06EAA8}" name="Column655"/>
    <tableColumn id="687" xr3:uid="{7E936E4A-1F55-45DE-8F8A-3637A57DA1BD}" name="Column656"/>
    <tableColumn id="688" xr3:uid="{0A945FE0-8F36-4E52-89AD-E98B1DD8C331}" name="Column657"/>
    <tableColumn id="689" xr3:uid="{9672DFF4-CCE8-4405-A0DF-7D730C32461E}" name="Column658"/>
    <tableColumn id="690" xr3:uid="{A4F0775A-97A2-47C2-B4E9-DEF7377321BD}" name="Column659"/>
    <tableColumn id="691" xr3:uid="{48B0A633-2C36-4A9D-9538-6871B5D5993F}" name="Column660"/>
    <tableColumn id="692" xr3:uid="{A432FCD0-6112-4B35-9B46-81C9BD844B6A}" name="Column661"/>
    <tableColumn id="693" xr3:uid="{6DE835BB-C508-4F8F-AB09-FD3C3F453E72}" name="Column662"/>
    <tableColumn id="694" xr3:uid="{0128187E-CD82-4E8A-A649-35E3BB931ECE}" name="Column663"/>
    <tableColumn id="695" xr3:uid="{C30BD2B0-28FA-464E-9BFC-4AF6AFB12446}" name="Column664"/>
    <tableColumn id="696" xr3:uid="{89E4CFF6-C411-46CE-8B2E-3B34124D4FF9}" name="Column665"/>
    <tableColumn id="697" xr3:uid="{6ECA8BF9-A8DE-477D-B505-B9554007F248}" name="Column666"/>
    <tableColumn id="698" xr3:uid="{CBC52414-E86F-43A6-8D35-8DDD597F2C2E}" name="Column667"/>
    <tableColumn id="699" xr3:uid="{C75153B5-3180-49DF-9ADB-226CD9123009}" name="Column668"/>
    <tableColumn id="700" xr3:uid="{BACBDD77-9AA0-4950-BBFD-725E7ECE91F6}" name="Column669"/>
    <tableColumn id="701" xr3:uid="{61EC67F9-576E-4F34-8CF8-0F6178A91AFF}" name="Column670"/>
    <tableColumn id="702" xr3:uid="{3A1DE41A-93AF-45DA-9269-8BDF1130FD57}" name="Column671"/>
    <tableColumn id="703" xr3:uid="{F7E1EB20-4EDD-44F3-A108-1793F9CBF04A}" name="Column672"/>
    <tableColumn id="704" xr3:uid="{E8B0F98E-7952-449B-9D06-868EFFB8AFA3}" name="Column673"/>
    <tableColumn id="705" xr3:uid="{FC023641-7F31-46A8-AA56-A60DDA66701A}" name="Column674"/>
    <tableColumn id="706" xr3:uid="{B1D64823-5DC0-4724-8DEF-F6197DCB96FA}" name="Column675"/>
    <tableColumn id="707" xr3:uid="{F3BF088E-A044-4D16-81C0-59BBDD93961F}" name="Column676"/>
    <tableColumn id="708" xr3:uid="{0D24B917-B4B2-472A-86F5-D863432147C9}" name="Column677"/>
    <tableColumn id="709" xr3:uid="{2CEFF846-DB0F-497B-97C1-164B8CCB7BDF}" name="Column678"/>
    <tableColumn id="710" xr3:uid="{9AFB56B6-52EB-4752-A15E-1F777252D630}" name="Column679"/>
    <tableColumn id="711" xr3:uid="{DA0D7D34-7A62-4CB4-9072-6498F580F6AE}" name="Column680"/>
    <tableColumn id="712" xr3:uid="{D513F656-6529-4D06-87D5-CD7099DF9D8B}" name="Column681"/>
    <tableColumn id="713" xr3:uid="{8093C58F-6E0D-42D9-BC39-119EFEAC4BF9}" name="Column682"/>
    <tableColumn id="714" xr3:uid="{0A0B49FB-A964-44EE-9B02-519EB51C3813}" name="Column683"/>
    <tableColumn id="715" xr3:uid="{64F48CA9-EE7A-45E3-8F84-6BD0CFD5697B}" name="Column684"/>
    <tableColumn id="716" xr3:uid="{F3D87B8E-BA56-491C-BC35-308FF71A5F18}" name="Column685"/>
    <tableColumn id="717" xr3:uid="{C6CD5E3D-777C-48A4-9569-28CBF80B9F70}" name="Column686"/>
    <tableColumn id="718" xr3:uid="{DD9786BE-0945-4D22-BA05-2C4D35E5B6EB}" name="Column687"/>
    <tableColumn id="719" xr3:uid="{C8E12D65-CB12-4AA2-AFF8-272C8DCF74E1}" name="Column688"/>
    <tableColumn id="720" xr3:uid="{5A23FC96-AFE9-4526-AA5A-70C4F39D73E6}" name="Column689"/>
    <tableColumn id="721" xr3:uid="{004F511B-8B22-4DF6-9760-E31ADC2542C3}" name="Column690"/>
    <tableColumn id="722" xr3:uid="{3A30EEFC-F78C-4E4E-81DA-23E9392AF2FF}" name="Column691"/>
    <tableColumn id="723" xr3:uid="{82695C8B-F4D5-492D-A324-046F531BDC68}" name="Column692"/>
    <tableColumn id="724" xr3:uid="{D95608E4-AFAF-45E6-8DBA-31027E26B6FC}" name="Column693"/>
    <tableColumn id="725" xr3:uid="{8800F56C-D4CA-4FED-8AFE-9441BBC54827}" name="Column694"/>
    <tableColumn id="726" xr3:uid="{3A451191-3C31-4DE3-8A5F-6284C301D03E}" name="Column695"/>
    <tableColumn id="727" xr3:uid="{FA60EA4E-FC11-4D15-9870-E4CFE4329370}" name="Column696"/>
    <tableColumn id="728" xr3:uid="{2EC01119-1961-4502-9E0F-0C4A1647BDC8}" name="Column697"/>
    <tableColumn id="729" xr3:uid="{42E14A33-DE6C-4779-9678-FE88B0256400}" name="Column698"/>
    <tableColumn id="730" xr3:uid="{E3D74701-2795-45D9-A334-DC3ECAD07B65}" name="Column699"/>
    <tableColumn id="731" xr3:uid="{FCD811DB-3E3E-451F-8D15-8BC3469D91F4}" name="Column700"/>
    <tableColumn id="732" xr3:uid="{765C5483-322A-48B2-8CA9-F786C7B8CEBE}" name="Column701"/>
    <tableColumn id="733" xr3:uid="{C644B5A6-DCFA-457D-B707-46EA3BE6E6A4}" name="Column702"/>
    <tableColumn id="734" xr3:uid="{B7C7B2C3-4A20-4571-A587-7504F273290D}" name="Column703"/>
    <tableColumn id="735" xr3:uid="{3873E1C5-9B61-4B76-97A0-93A80F61C77F}" name="Column704"/>
    <tableColumn id="736" xr3:uid="{7BF9D3DA-EE8A-4E0F-A0A8-E2DADA1FF272}" name="Column705"/>
    <tableColumn id="737" xr3:uid="{1E379CD0-5F71-4E45-90BD-58039237A59A}" name="Column706"/>
    <tableColumn id="738" xr3:uid="{3880CEE6-F9C2-4EA8-A58E-3BA2CB926196}" name="Column707"/>
    <tableColumn id="739" xr3:uid="{7F277CDF-A7DD-4004-A77C-6BAD2C0FE9FB}" name="Column708"/>
    <tableColumn id="740" xr3:uid="{C6758467-7A88-4D6F-B2C5-78FD1E7285CB}" name="Column709"/>
    <tableColumn id="741" xr3:uid="{D7E752AB-272B-485F-AEF6-314E7135DD7C}" name="Column710"/>
    <tableColumn id="742" xr3:uid="{A95CEA8C-B1CD-4110-BE61-16E2536C2AE1}" name="Column711"/>
    <tableColumn id="743" xr3:uid="{50633F57-4574-45DB-9417-139F8D04D1B1}" name="Column712"/>
    <tableColumn id="744" xr3:uid="{EED640E5-F10C-4DDC-9CDF-61E58669FA28}" name="Column713"/>
    <tableColumn id="745" xr3:uid="{8DBB53E2-B7E4-444F-8EB5-D6A2606FC7D4}" name="Column714"/>
    <tableColumn id="746" xr3:uid="{443AC28F-3B34-4CA2-AEE6-3F76D9FD2B57}" name="Column715"/>
    <tableColumn id="747" xr3:uid="{31F3E8E8-A5A5-42F2-BEE7-2BDAE0666CB4}" name="Column716"/>
    <tableColumn id="748" xr3:uid="{1DE810AA-07A7-4A4C-97C9-4F5025A70AF9}" name="Column717"/>
    <tableColumn id="749" xr3:uid="{CA49421A-CC2E-4BE5-B39F-75F3944C1216}" name="Column718"/>
    <tableColumn id="750" xr3:uid="{CDE609F2-92E4-40EC-804F-38BF48B17A8F}" name="Column719"/>
    <tableColumn id="751" xr3:uid="{36D79909-B211-4B87-9301-CDFFC4E5AEFE}" name="Column720"/>
    <tableColumn id="752" xr3:uid="{126BE2CA-8927-4491-993F-52FA9679160A}" name="Column721"/>
    <tableColumn id="753" xr3:uid="{BBEA1080-A980-4C32-9EAF-970F0AE01D72}" name="Column722"/>
    <tableColumn id="754" xr3:uid="{B97330B1-0A0C-4BE7-A9DC-725B0BAD56F7}" name="Column723"/>
    <tableColumn id="755" xr3:uid="{D075E10A-8CA5-47DB-898D-05682C3B5BE6}" name="Column724"/>
    <tableColumn id="756" xr3:uid="{090DE80C-B773-414E-8AF6-C7F15545B06C}" name="Column725"/>
    <tableColumn id="757" xr3:uid="{150D9727-DC04-44E1-AD56-80CEA0C5DF6E}" name="Column726"/>
    <tableColumn id="758" xr3:uid="{BDA42E44-90AE-4461-9721-731781B08C42}" name="Column727"/>
    <tableColumn id="759" xr3:uid="{7B5E04C9-87CC-48D7-B7EF-5B58A51A8E21}" name="Column728"/>
    <tableColumn id="760" xr3:uid="{ADC19C1D-1073-40EB-AEF6-F1593E4F3A61}" name="Column729"/>
    <tableColumn id="761" xr3:uid="{B5BD5E9A-6C72-4826-8304-CB80BFCB6539}" name="Column730"/>
    <tableColumn id="762" xr3:uid="{F7DB66C0-09B0-4941-9525-48D28E29E9C1}" name="Column731"/>
    <tableColumn id="763" xr3:uid="{BEB4AFD8-65A3-4E13-85DC-9EF844CE369A}" name="Column732"/>
    <tableColumn id="764" xr3:uid="{56F3754C-840A-48E0-AA49-CE05C23FFB71}" name="Column733"/>
    <tableColumn id="765" xr3:uid="{F5F04114-DB1C-41DA-AF99-9CCB57050F35}" name="Column734"/>
    <tableColumn id="766" xr3:uid="{F709CEF5-D2E2-4B15-A5DB-168591D0C94C}" name="Column735"/>
    <tableColumn id="767" xr3:uid="{7430146A-CDCB-4EC3-B9B8-BC8AC5566599}" name="Column736"/>
    <tableColumn id="768" xr3:uid="{F1CF381A-E485-4CC2-9BC7-8F59DADB5DFA}" name="Column737"/>
    <tableColumn id="769" xr3:uid="{DB3063C0-529D-4861-A228-1BFD1089745E}" name="Column738"/>
    <tableColumn id="770" xr3:uid="{82DEC99F-0979-4181-9E1B-2E9FC2E74665}" name="Column739"/>
    <tableColumn id="771" xr3:uid="{6BA39B06-70E8-4691-9301-FC7AA4AA00B2}" name="Column740"/>
    <tableColumn id="772" xr3:uid="{B05940CC-939C-4AEE-8AF1-DFD56FC8BAB8}" name="Column741"/>
    <tableColumn id="773" xr3:uid="{D6CCA3C2-D38F-441E-920D-58F230E522A6}" name="Column742"/>
    <tableColumn id="774" xr3:uid="{74258F06-9538-4F84-B500-50393E2FAEC8}" name="Column743"/>
    <tableColumn id="775" xr3:uid="{190AF088-3F9E-4B2C-96E7-EA89F6714BDD}" name="Column744"/>
    <tableColumn id="776" xr3:uid="{DA5F5ABF-FFB6-4A64-B162-152855CA62E6}" name="Column745"/>
    <tableColumn id="777" xr3:uid="{2AFB9347-14DE-4747-B65C-6D02EEAFA40A}" name="Column746"/>
    <tableColumn id="778" xr3:uid="{B2FC4CD5-379B-4414-8AA2-951869730138}" name="Column747"/>
    <tableColumn id="779" xr3:uid="{08C38C28-8A18-4C37-930D-0F2123361296}" name="Column748"/>
    <tableColumn id="780" xr3:uid="{B55780AC-0DA2-494A-8927-52BEDF8CE332}" name="Column749"/>
    <tableColumn id="781" xr3:uid="{15292AEE-693E-4AB7-8C62-0D4F49168DB6}" name="Column750"/>
    <tableColumn id="782" xr3:uid="{C3D4113E-5058-427F-9041-9A9D0B70AFA0}" name="Column751"/>
    <tableColumn id="783" xr3:uid="{9740C231-16DB-4D73-A97E-017B5B938789}" name="Column752"/>
    <tableColumn id="784" xr3:uid="{2D849FA9-9740-4185-BFBE-A9DDE8BA67D7}" name="Column753"/>
    <tableColumn id="785" xr3:uid="{A3A251C7-A192-45CE-94DF-DC9626E8166E}" name="Column754"/>
    <tableColumn id="786" xr3:uid="{E7143B09-A4CB-43C4-82E4-DB32B7F5712D}" name="Column755"/>
    <tableColumn id="787" xr3:uid="{C7FF97EF-BCED-4E5F-A236-E44C0BF081FE}" name="Column756"/>
    <tableColumn id="788" xr3:uid="{805028F4-66C9-412F-9631-2276B2222000}" name="Column757"/>
    <tableColumn id="789" xr3:uid="{3933FF65-644F-4CF4-8894-AB9B0B49FAF3}" name="Column758"/>
    <tableColumn id="790" xr3:uid="{93399BF5-3123-451C-9C92-1742DFDABA99}" name="Column759"/>
    <tableColumn id="791" xr3:uid="{2232DFDD-3CDF-4987-A2B1-DCA0CFF0CABA}" name="Column760"/>
    <tableColumn id="792" xr3:uid="{4C947F0F-B146-47B2-A0B8-8EA40649C4D9}" name="Column761"/>
    <tableColumn id="793" xr3:uid="{3186979C-CD47-4B64-AFC6-4596E4221161}" name="Column762"/>
    <tableColumn id="794" xr3:uid="{E400F383-C217-4736-A108-F8220B3D3DA3}" name="Column763"/>
    <tableColumn id="795" xr3:uid="{18957C65-FC47-49F7-9EEA-FC08DDEF56D6}" name="Column764"/>
    <tableColumn id="796" xr3:uid="{00E243CF-C4B0-446C-841A-CF3C0844B50D}" name="Column765"/>
    <tableColumn id="797" xr3:uid="{C5107011-20A3-4187-BBE4-7C567BC9B6AE}" name="Column766"/>
    <tableColumn id="798" xr3:uid="{13E20BDD-BF98-43C1-9E30-2F2395065722}" name="Column767"/>
    <tableColumn id="799" xr3:uid="{4B2F2260-5A23-430F-AD4C-F8C3AC3B5007}" name="Column768"/>
    <tableColumn id="800" xr3:uid="{53D7A545-FFA3-4199-AB02-7C835038F001}" name="Column769"/>
    <tableColumn id="801" xr3:uid="{A3210470-8200-4B73-9362-7D88E1791F0D}" name="Column770"/>
    <tableColumn id="802" xr3:uid="{59EA6A92-427F-437B-9176-09DB7137FA0B}" name="Column771"/>
    <tableColumn id="803" xr3:uid="{98B7E975-658B-481A-AA6A-69D1FA41512C}" name="Column772"/>
    <tableColumn id="804" xr3:uid="{8A53266B-91FC-4167-A833-B0FC133A05F5}" name="Column773"/>
    <tableColumn id="805" xr3:uid="{F2200779-0916-42BC-AD45-745B2460A7A1}" name="Column774"/>
    <tableColumn id="806" xr3:uid="{ABA36054-40FC-436F-BA81-C80CC4AB0D92}" name="Column775"/>
    <tableColumn id="807" xr3:uid="{77D278A4-61FC-43F1-AF44-8FDFD2DC3CB4}" name="Column776"/>
    <tableColumn id="808" xr3:uid="{F9D07F71-580E-4A71-A9A2-5CB434610872}" name="Column777"/>
    <tableColumn id="809" xr3:uid="{993269DB-DB94-4CAC-8109-587C8FADF101}" name="Column778"/>
    <tableColumn id="810" xr3:uid="{2DA36D41-EBC2-46CD-AF0F-5FE5F358EEF3}" name="Column779"/>
    <tableColumn id="811" xr3:uid="{7EACF9A3-7366-4922-87DF-011B3A7A29D6}" name="Column780"/>
    <tableColumn id="812" xr3:uid="{56F071F1-DF7B-488C-95FA-A948C373DCB1}" name="Column781"/>
    <tableColumn id="813" xr3:uid="{D6B5DC33-7C07-4F4D-82D5-E608E574B16B}" name="Column782"/>
    <tableColumn id="814" xr3:uid="{906EB576-A779-4217-BA94-9D1EE54E7E7E}" name="Column783"/>
    <tableColumn id="815" xr3:uid="{F813C36F-26B6-4621-8ACD-7BC85EF10067}" name="Column784"/>
    <tableColumn id="816" xr3:uid="{FA8CAB0A-E618-48FA-A616-1796F37F1914}" name="Column785"/>
    <tableColumn id="817" xr3:uid="{6BD5994B-A1C2-4FB5-8FEE-645596B43C87}" name="Column786"/>
    <tableColumn id="818" xr3:uid="{579AFB63-F269-4178-BFD7-FEDE760DDE60}" name="Column787"/>
    <tableColumn id="819" xr3:uid="{4CA5F0BA-38D0-4A5E-8214-6A5FFB0D6D63}" name="Column788"/>
    <tableColumn id="820" xr3:uid="{7A798A3F-CD37-4254-B712-8F5A0AE31D55}" name="Column789"/>
    <tableColumn id="821" xr3:uid="{CA032D88-EBCD-4D65-ADD4-3CBBE864BA13}" name="Column790"/>
    <tableColumn id="822" xr3:uid="{DECB3979-4829-4626-979F-F08297AEDDA6}" name="Column791"/>
    <tableColumn id="823" xr3:uid="{A8E2E19F-CCE0-42CE-9830-BA7D310A55C8}" name="Column792"/>
    <tableColumn id="824" xr3:uid="{47E72E92-1385-4DE9-943D-C1CAD1C62CF6}" name="Column793"/>
    <tableColumn id="825" xr3:uid="{2FFC19FF-7EE0-4FD3-A5EE-7CD08C23D259}" name="Column794"/>
    <tableColumn id="826" xr3:uid="{916D4B11-3921-4814-8747-35309300227C}" name="Column795"/>
    <tableColumn id="827" xr3:uid="{318EBD94-9B9A-4F5C-96F6-4A0791B8BA4D}" name="Column796"/>
    <tableColumn id="828" xr3:uid="{1ACF0A6D-7D8B-4408-B7C4-2996668164C6}" name="Column797"/>
    <tableColumn id="829" xr3:uid="{3C8CE9F9-6AD1-49DD-8AB8-B49E2ED87F3B}" name="Column798"/>
    <tableColumn id="830" xr3:uid="{4214B536-8578-4354-BAFD-36397165FB2E}" name="Column799"/>
    <tableColumn id="831" xr3:uid="{46D63AEB-5D42-4652-B8B0-77B48FF3F0A2}" name="Column800"/>
    <tableColumn id="832" xr3:uid="{2FE47894-30B5-4F9D-9EBF-4688932F75F1}" name="Column801"/>
    <tableColumn id="833" xr3:uid="{E1C1242A-3105-45F8-8B0C-62FAD5EA9277}" name="Column802"/>
    <tableColumn id="834" xr3:uid="{66093BC5-B82A-42C6-8A3A-3B4BD5957DD7}" name="Column803"/>
    <tableColumn id="835" xr3:uid="{7DFAF890-0E9E-48A1-94C1-470D529901AB}" name="Column804"/>
    <tableColumn id="836" xr3:uid="{23922162-331C-45F3-A7AE-F5940D97E17F}" name="Column805"/>
    <tableColumn id="837" xr3:uid="{01C25F65-C3F4-43A7-B73A-E1A9260A9750}" name="Column806"/>
    <tableColumn id="838" xr3:uid="{620FEA78-AD7C-4C82-AD6D-F87F8EFE673B}" name="Column807"/>
    <tableColumn id="839" xr3:uid="{FB62617F-BEA8-41C7-A913-C38B4313B7CA}" name="Column808"/>
    <tableColumn id="840" xr3:uid="{D79A7C4D-0416-49D9-9AFB-A217D3F382D5}" name="Column809"/>
    <tableColumn id="841" xr3:uid="{C07E13DC-A94B-44AC-AAB5-285AE19030E1}" name="Column810"/>
    <tableColumn id="842" xr3:uid="{5A086BD7-1CD1-48BE-A701-127C19085B16}" name="Column811"/>
    <tableColumn id="843" xr3:uid="{3C23B362-6860-4073-BE08-E399884B1896}" name="Column812"/>
    <tableColumn id="844" xr3:uid="{09416CAA-5543-40CF-BE99-65A96B866443}" name="Column813"/>
    <tableColumn id="845" xr3:uid="{BF730C1B-1EA0-417B-8E1A-CE9627FF8CA7}" name="Column814"/>
    <tableColumn id="846" xr3:uid="{CBB27A23-9B56-41D4-9E7C-16B1EB8ACAE7}" name="Column815"/>
    <tableColumn id="847" xr3:uid="{79A75689-0B3D-461D-9D9E-6A0BA1E52ABA}" name="Column816"/>
    <tableColumn id="848" xr3:uid="{3DEC2F01-6D1B-4E33-9DE8-9A13648A40DE}" name="Column817"/>
    <tableColumn id="849" xr3:uid="{9C665DA8-ACB2-4FF4-B381-5C3F2B57B98E}" name="Column818"/>
    <tableColumn id="850" xr3:uid="{E2FF9950-8F44-41D9-9708-A446950E30DA}" name="Column819"/>
    <tableColumn id="851" xr3:uid="{5EE1E1BF-92C0-49FC-BD60-799CC6108894}" name="Column820"/>
    <tableColumn id="852" xr3:uid="{33390E02-AEF4-4E40-9D48-93E68318508E}" name="Column821"/>
    <tableColumn id="853" xr3:uid="{1364DF8D-EF6B-4E3F-A364-114D2A0A1D36}" name="Column822"/>
    <tableColumn id="854" xr3:uid="{F06481DA-2F4C-4222-9F3E-787BB1EE14E2}" name="Column823"/>
    <tableColumn id="855" xr3:uid="{8D6B3EDD-1597-46C4-91BD-DB969896F0F8}" name="Column824"/>
    <tableColumn id="856" xr3:uid="{5330675C-83CF-4A5B-BC11-576649CF186A}" name="Column825"/>
    <tableColumn id="857" xr3:uid="{375F0A68-B03D-4ABB-849C-0142191C0DF5}" name="Column826"/>
    <tableColumn id="858" xr3:uid="{4F87E4E0-5819-4F33-9B80-0F32F32CB54D}" name="Column827"/>
    <tableColumn id="859" xr3:uid="{606F4E1A-CFB9-4572-9674-97AD145FDF85}" name="Column828"/>
    <tableColumn id="860" xr3:uid="{C2E86C60-3098-49CE-B3E5-8B886F9B3925}" name="Column829"/>
    <tableColumn id="861" xr3:uid="{3F2F79E8-9BA4-4C0C-8201-E0545931BB42}" name="Column830"/>
    <tableColumn id="862" xr3:uid="{7FC51CFD-3647-4F84-BEB5-21DFA03B04C8}" name="Column831"/>
    <tableColumn id="863" xr3:uid="{0474224E-8D6D-4197-9255-FCC1546DD69B}" name="Column832"/>
    <tableColumn id="864" xr3:uid="{34133B6C-E4EA-4659-89AB-65553967696C}" name="Column833"/>
    <tableColumn id="865" xr3:uid="{5A7E686F-A865-4200-B7F9-77D2BDE2E013}" name="Column834"/>
    <tableColumn id="866" xr3:uid="{6280F797-FD4D-40DB-AFDE-7EE73E81935D}" name="Column835"/>
    <tableColumn id="867" xr3:uid="{5DE5ED81-F65C-471E-A88F-635CC00D5C24}" name="Column836"/>
    <tableColumn id="868" xr3:uid="{4B5B04E9-91E7-414C-BA68-6411016A23C3}" name="Column837"/>
    <tableColumn id="869" xr3:uid="{D980194D-8AB7-460B-8641-A44C591BDFD9}" name="Column838"/>
    <tableColumn id="870" xr3:uid="{86B2FFE5-8690-48E9-90DE-2D95B0D5748F}" name="Column839"/>
    <tableColumn id="871" xr3:uid="{97E3126F-15F5-412C-AECA-4515695DBA33}" name="Column840"/>
    <tableColumn id="872" xr3:uid="{5523C54F-8C44-40B3-906D-712554E06ACF}" name="Column841"/>
    <tableColumn id="873" xr3:uid="{7C50BDD7-2D85-4968-BCF0-2D2AA32F9054}" name="Column842"/>
    <tableColumn id="874" xr3:uid="{60C37631-42F8-4B84-97A0-1508C4B5EC64}" name="Column843"/>
    <tableColumn id="875" xr3:uid="{AB56DB0B-480B-40A6-B7C0-429E22EE0135}" name="Column844"/>
    <tableColumn id="876" xr3:uid="{659D4282-B30E-44B3-BBD3-CFEE393613B6}" name="Column845"/>
    <tableColumn id="877" xr3:uid="{C713B86A-6881-4C84-B74B-A04439695EEE}" name="Column846"/>
    <tableColumn id="878" xr3:uid="{1718C77D-36E8-4F60-BCF7-2F06715CD9FA}" name="Column847"/>
    <tableColumn id="879" xr3:uid="{FED366AC-778A-434D-9C16-8CFA961B23EA}" name="Column848"/>
    <tableColumn id="880" xr3:uid="{6AC2F31D-3226-46DC-888F-7351CA51C8A0}" name="Column849"/>
    <tableColumn id="881" xr3:uid="{4A01C5C9-4281-43B9-94BB-20FB84C3CE55}" name="Column850"/>
    <tableColumn id="882" xr3:uid="{7A2BDFBF-C47A-4054-94A2-F5BA6D6D18A0}" name="Column851"/>
    <tableColumn id="883" xr3:uid="{27FC6B49-9C42-4E99-BFB9-F0D3290F3002}" name="Column852"/>
    <tableColumn id="884" xr3:uid="{1D1B7271-C534-485D-AA21-5BF8BD84F258}" name="Column853"/>
    <tableColumn id="885" xr3:uid="{6EB5AAA8-27C3-4576-8D3F-27D2A3D52239}" name="Column854"/>
    <tableColumn id="886" xr3:uid="{129681F2-E4D3-4866-8CF3-3D8B20C58308}" name="Column855"/>
    <tableColumn id="887" xr3:uid="{9E5EFCD4-C4A0-4F56-AC49-08A2FE15351D}" name="Column856"/>
    <tableColumn id="888" xr3:uid="{98616D68-A148-4129-A1C9-2183D5FE4002}" name="Column857"/>
    <tableColumn id="889" xr3:uid="{D1457327-1519-4B61-AC7F-89920ACC2F82}" name="Column858"/>
    <tableColumn id="890" xr3:uid="{EE73F43C-9166-4787-986F-150B41DB834A}" name="Column859"/>
    <tableColumn id="891" xr3:uid="{C9B54ED1-06E8-41DC-BA2C-CE6FBA44C8C9}" name="Column860"/>
    <tableColumn id="892" xr3:uid="{9AD2605B-F28C-4BB7-8E9B-822896659C20}" name="Column861"/>
    <tableColumn id="893" xr3:uid="{667387E3-D836-4EA7-AF17-8E4F7584C33F}" name="Column862"/>
    <tableColumn id="894" xr3:uid="{5EDDB73C-F17D-411E-9F9F-B5F2CF8BFB5F}" name="Column863"/>
    <tableColumn id="895" xr3:uid="{C18CE380-30F8-4D6F-B169-A64FD9EE003C}" name="Column864"/>
    <tableColumn id="896" xr3:uid="{459D95C0-1E00-47EC-BA49-1DC445C75F91}" name="Column865"/>
    <tableColumn id="897" xr3:uid="{9AF9D990-D2A3-46E7-BAFB-DB2C5F985564}" name="Column866"/>
    <tableColumn id="898" xr3:uid="{2972E2FA-0A14-436D-8541-6C39FF6F5A07}" name="Column867"/>
    <tableColumn id="899" xr3:uid="{4CE5DE8C-FD5F-4162-8B49-56B88F2E0EA5}" name="Column868"/>
    <tableColumn id="900" xr3:uid="{75AF03D5-4916-4307-8F77-48FD569C953F}" name="Column869"/>
    <tableColumn id="901" xr3:uid="{C9EBA080-716A-44BC-BF97-B879730A33BA}" name="Column870"/>
    <tableColumn id="902" xr3:uid="{C22BF782-8422-4923-B5D6-9D8ED06B3499}" name="Column871"/>
    <tableColumn id="903" xr3:uid="{49F22ACA-7E63-4362-827D-99349B10B4B9}" name="Column872"/>
    <tableColumn id="904" xr3:uid="{4B88524D-BB34-4BD8-AFBC-DF3A48486F12}" name="Column873"/>
    <tableColumn id="905" xr3:uid="{29FF6750-B810-41E6-9FE7-1E04A21F0AF5}" name="Column874"/>
    <tableColumn id="906" xr3:uid="{F660D6B7-8FA0-4109-BD70-72B654DC6BB0}" name="Column875"/>
    <tableColumn id="907" xr3:uid="{7DD69F43-13A7-4BFC-92D3-DE7E93B18A14}" name="Column876"/>
    <tableColumn id="908" xr3:uid="{39D93303-2315-40B2-B65D-0607382E6EC4}" name="Column877"/>
    <tableColumn id="909" xr3:uid="{26958CA5-94CA-4A4F-97C6-6FEBEB43D57C}" name="Column878"/>
    <tableColumn id="910" xr3:uid="{C7CF22E3-6A32-47D6-A71C-6DBD84FA3472}" name="Column879"/>
    <tableColumn id="911" xr3:uid="{5870B7A8-71A2-4DBB-AB5A-FA1B49AB9881}" name="Column880"/>
    <tableColumn id="912" xr3:uid="{A35A1363-D177-4764-9445-B201387EE917}" name="Column881"/>
    <tableColumn id="913" xr3:uid="{2E0A77AF-A502-4798-924E-8B5FE2D473D5}" name="Column882"/>
    <tableColumn id="914" xr3:uid="{BEC35BC6-11B5-483F-92B2-163DC7D34432}" name="Column883"/>
    <tableColumn id="915" xr3:uid="{C80C33F8-7E8D-450E-8809-B682C2D5CBF3}" name="Column884"/>
    <tableColumn id="916" xr3:uid="{ED59CD39-AD86-4DFB-9EF5-0F43264E6828}" name="Column885"/>
    <tableColumn id="917" xr3:uid="{2850C0BB-E1B0-4317-A463-7596C4422C8F}" name="Column886"/>
    <tableColumn id="918" xr3:uid="{5B8EEEE8-2E96-47A1-BCF9-63E232AEA5F7}" name="Column887"/>
    <tableColumn id="919" xr3:uid="{36EF0AE8-D804-480E-AAEF-1A0E6E49DBA2}" name="Column888"/>
    <tableColumn id="920" xr3:uid="{7B905E48-8EE2-4190-8361-3981CA2D4A46}" name="Column889"/>
    <tableColumn id="921" xr3:uid="{217FE984-9741-4A43-8102-158C8CEFF596}" name="Column890"/>
    <tableColumn id="922" xr3:uid="{9D8EF9C3-123F-4345-9277-8277B99119F1}" name="Column891"/>
    <tableColumn id="923" xr3:uid="{94418308-7929-4207-BE30-C70A10A72341}" name="Column892"/>
    <tableColumn id="924" xr3:uid="{E7F3F2A4-C34A-476A-A8B9-F6F9DDB3953E}" name="Column893"/>
    <tableColumn id="925" xr3:uid="{DB074512-AF6A-4ACE-8BF9-13BB4D9DFE44}" name="Column894"/>
    <tableColumn id="926" xr3:uid="{6AD1A89F-D66C-4616-93ED-3A6369711E78}" name="Column895"/>
    <tableColumn id="927" xr3:uid="{53583E8E-C423-44B9-AC0C-A90C8E0DCBF9}" name="Column896"/>
    <tableColumn id="928" xr3:uid="{ABEE797C-0D1A-447B-97EE-369EAE1BFA6C}" name="Column897"/>
    <tableColumn id="929" xr3:uid="{26CA3C66-9374-4998-B6DD-C434D5D58DE3}" name="Column898"/>
    <tableColumn id="930" xr3:uid="{9F87B002-26B6-48FB-BEF2-6B50DD001612}" name="Column899"/>
    <tableColumn id="931" xr3:uid="{EA9FED2A-912C-4C19-9596-B0E562E603A7}" name="Column900"/>
    <tableColumn id="932" xr3:uid="{9B9B51CD-C76B-4CA8-89C1-D925D22C3C76}" name="Column901"/>
    <tableColumn id="933" xr3:uid="{925C635B-9269-4078-9801-7C8ECA222DCF}" name="Column902"/>
    <tableColumn id="934" xr3:uid="{11E6D476-B406-49E8-87D8-6D3086F967AC}" name="Column903"/>
    <tableColumn id="935" xr3:uid="{836F98F1-93FA-43C0-8EFC-8E0E43C0CCD5}" name="Column904"/>
    <tableColumn id="936" xr3:uid="{DCE46501-D401-4EB3-AC0F-C79C00C98ADB}" name="Column905"/>
    <tableColumn id="937" xr3:uid="{EA220359-BE3B-46E8-AFE5-580DAFE1E350}" name="Column906"/>
    <tableColumn id="938" xr3:uid="{7C517B00-8680-48E5-8610-BD0333018B49}" name="Column907"/>
    <tableColumn id="939" xr3:uid="{F0C572D6-658F-4632-8B7E-A0548EFC7F83}" name="Column908"/>
    <tableColumn id="940" xr3:uid="{07C1A2FE-6EE6-4F4B-94DD-C9E96846EC99}" name="Column909"/>
    <tableColumn id="941" xr3:uid="{1715AD78-BB2A-48D2-81C3-3D044B36256F}" name="Column910"/>
    <tableColumn id="942" xr3:uid="{B4C7FB1B-2B8E-4C92-95A2-F4E9538855E6}" name="Column911"/>
    <tableColumn id="943" xr3:uid="{76310F13-0311-4FE1-8239-7097B23EEF66}" name="Column912"/>
    <tableColumn id="944" xr3:uid="{4088CC9E-8F91-4580-BA63-3B4880EA204B}" name="Column913"/>
    <tableColumn id="945" xr3:uid="{E600059B-F21E-4810-9C1E-79B3E1594A6B}" name="Column914"/>
    <tableColumn id="946" xr3:uid="{569EC1E8-3A2D-4055-8E00-51A220224925}" name="Column915"/>
    <tableColumn id="947" xr3:uid="{036229D7-6FCB-44DC-9332-E2A4BA578CB7}" name="Column916"/>
    <tableColumn id="948" xr3:uid="{BD232834-9559-4753-A35E-D8535AA0E9DD}" name="Column917"/>
    <tableColumn id="949" xr3:uid="{5D405799-53AD-466D-A115-E41BF9B87126}" name="Column918"/>
    <tableColumn id="950" xr3:uid="{F68E1C0E-83FC-46A3-8F8E-D2D0BAF89FE6}" name="Column919"/>
    <tableColumn id="951" xr3:uid="{11F49F3E-3677-414C-AA0F-86FDD64FC925}" name="Column920"/>
    <tableColumn id="952" xr3:uid="{E6613CD8-6312-4A5E-AAD6-4B12A4076C46}" name="Column921"/>
    <tableColumn id="953" xr3:uid="{79A0D2B7-DEE5-4AC3-BB61-4B35A61B08BB}" name="Column922"/>
    <tableColumn id="954" xr3:uid="{62BD357A-6882-4EE5-BC8D-2414A6DAD3A4}" name="Column923"/>
    <tableColumn id="955" xr3:uid="{2252F094-500E-4F34-AD7F-588903002F14}" name="Column924"/>
    <tableColumn id="956" xr3:uid="{38F5C189-3706-4FC1-B09E-33AAD079E027}" name="Column925"/>
    <tableColumn id="957" xr3:uid="{6E8CEB8A-6C68-4100-83D3-4ABD49C42DDD}" name="Column926"/>
    <tableColumn id="958" xr3:uid="{4B186F81-C685-4CCF-8CD4-25593AF34D06}" name="Column927"/>
    <tableColumn id="959" xr3:uid="{778B388E-1FF3-4418-81D8-F0ED73E0C539}" name="Column928"/>
    <tableColumn id="960" xr3:uid="{1E748934-E224-493E-B4D0-08ADE45ABDE2}" name="Column929"/>
    <tableColumn id="961" xr3:uid="{542F2DFA-74E3-49A6-BCE0-7AAE4E0AA385}" name="Column930"/>
    <tableColumn id="962" xr3:uid="{9672F853-6932-4462-A941-91C0783E2B0E}" name="Column931"/>
    <tableColumn id="963" xr3:uid="{32825AEA-7E8E-4A37-B9B6-912B17DE49E0}" name="Column932"/>
    <tableColumn id="964" xr3:uid="{E4FA7B2F-9A7B-4D28-9F79-3818E75E88D6}" name="Column933"/>
    <tableColumn id="965" xr3:uid="{157E4607-4E63-4232-A4F8-AB24E61A4DB3}" name="Column934"/>
    <tableColumn id="966" xr3:uid="{C56A914C-2DDB-4FE2-A1ED-4EA02CB4D922}" name="Column935"/>
    <tableColumn id="967" xr3:uid="{1FA352AB-6B43-4133-B3E0-FCD0D0C9379A}" name="Column936"/>
    <tableColumn id="968" xr3:uid="{3BF239B5-F239-45DA-84B6-C6526ADAE15F}" name="Column937"/>
    <tableColumn id="969" xr3:uid="{03311255-7B31-435A-B514-4851F2DAAB2F}" name="Column938"/>
    <tableColumn id="970" xr3:uid="{E2366DF9-C391-4F1A-961A-0D9E69B9EA77}" name="Column939"/>
    <tableColumn id="971" xr3:uid="{26D43976-5428-4612-9A6F-D1A222E7327E}" name="Column940"/>
    <tableColumn id="972" xr3:uid="{90DB14AD-C449-49B9-9C4D-7059B502E892}" name="Column941"/>
    <tableColumn id="973" xr3:uid="{E9BEA23E-1A26-409E-B921-C9F7503ABCE9}" name="Column942"/>
    <tableColumn id="974" xr3:uid="{DAE71B86-4EB5-4FED-8015-6E1008EFD7F2}" name="Column943"/>
    <tableColumn id="975" xr3:uid="{B2D9311E-9FDF-47F9-896C-D9765D2474E2}" name="Column944"/>
    <tableColumn id="976" xr3:uid="{5D653E67-045D-4120-B717-64ABFE6EDA23}" name="Column945"/>
    <tableColumn id="977" xr3:uid="{F810C245-E006-45EB-9077-987D94B645B9}" name="Column946"/>
    <tableColumn id="978" xr3:uid="{4C55BB45-7B3C-4922-AE7F-02E9C9032BC3}" name="Column947"/>
    <tableColumn id="979" xr3:uid="{38AEE9D7-1F01-49E2-8238-4341539479F5}" name="Column948"/>
    <tableColumn id="980" xr3:uid="{5B3543A7-ED05-4214-9711-D9E70C896AC6}" name="Column949"/>
    <tableColumn id="981" xr3:uid="{90D5C46B-9218-42C8-AB30-AD74CBB1CEFF}" name="Column950"/>
    <tableColumn id="982" xr3:uid="{0EBE2738-2E1A-4149-B027-9D9FC48AD8B6}" name="Column951"/>
    <tableColumn id="983" xr3:uid="{70D882A7-68F1-4D26-99E4-F31019B96E07}" name="Column952"/>
    <tableColumn id="984" xr3:uid="{0838761C-0870-43B1-9B3D-588E11BE0C78}" name="Column953"/>
    <tableColumn id="985" xr3:uid="{EF1BCF0B-0E28-4213-8570-C26F978EA335}" name="Column954"/>
    <tableColumn id="986" xr3:uid="{0FA34B6C-E34D-44C9-B57D-17EF8714B749}" name="Column955"/>
    <tableColumn id="987" xr3:uid="{CB54B38E-D617-46E1-9936-D35D00914B63}" name="Column956"/>
    <tableColumn id="988" xr3:uid="{DBDCA392-6405-4A85-8D2A-8CEE0C35E44F}" name="Column957"/>
    <tableColumn id="989" xr3:uid="{7822CA59-FB82-4022-A2D7-664FF3591C1D}" name="Column958"/>
    <tableColumn id="990" xr3:uid="{D1C53CC8-498C-48AA-9B2D-1B072A452A9B}" name="Column959"/>
    <tableColumn id="991" xr3:uid="{8282CD6F-17BB-4383-92C3-8D188C1D7132}" name="Column960"/>
    <tableColumn id="992" xr3:uid="{F76F145C-A4DA-42C7-8B3F-BDD5F4C76111}" name="Column961"/>
    <tableColumn id="993" xr3:uid="{965E1813-136D-4CD9-836B-C79CD251B9F5}" name="Column962"/>
    <tableColumn id="994" xr3:uid="{0B3DE326-7C19-441D-BB45-05FFFFBA764E}" name="Column963"/>
    <tableColumn id="995" xr3:uid="{951048E2-0FF1-402B-A0C5-93F1F8BEE84C}" name="Column964"/>
    <tableColumn id="996" xr3:uid="{9083700C-990A-49D8-8E72-8DDD912E4AC4}" name="Column965"/>
    <tableColumn id="997" xr3:uid="{E22AF2D2-C70C-4D16-804E-3F2CED509EA7}" name="Column966"/>
    <tableColumn id="998" xr3:uid="{712CD1F8-9F08-4AB1-B0BC-0598981E5552}" name="Column967"/>
    <tableColumn id="999" xr3:uid="{4F3F4336-14E1-4D38-8D57-1DDEB3E42EBE}" name="Column968"/>
    <tableColumn id="1000" xr3:uid="{877DBE24-0B94-4CF6-A7FD-FABA6438DE01}" name="Column969"/>
    <tableColumn id="1001" xr3:uid="{9C376315-235C-4377-9346-A7201513E5E2}" name="Column970"/>
    <tableColumn id="1002" xr3:uid="{E678734E-5EF7-46C5-AC1B-ABD8908608E4}" name="Column971"/>
    <tableColumn id="1003" xr3:uid="{4C02262B-1389-459A-8A59-BDCFCE0D8D20}" name="Column972"/>
    <tableColumn id="1004" xr3:uid="{05310FCB-9767-4F6A-B90B-063AF1A34D13}" name="Column973"/>
    <tableColumn id="1005" xr3:uid="{2E8C503E-173F-4E74-88AD-8677FBBE2C1B}" name="Column974"/>
    <tableColumn id="1006" xr3:uid="{592D089C-13FB-4237-B676-04396E1ECA99}" name="Column975"/>
    <tableColumn id="1007" xr3:uid="{5F0EEA5F-DB29-4428-95FF-A77834B6C9CE}" name="Column976"/>
    <tableColumn id="1008" xr3:uid="{DE4A0021-30CB-4940-8E0E-755CEF8C538D}" name="Column977"/>
    <tableColumn id="1009" xr3:uid="{858D67B8-825E-4F95-8427-922BE3DF9DE1}" name="Column978"/>
    <tableColumn id="1010" xr3:uid="{5FFD03A6-AB9E-4487-A49C-6879B31E4008}" name="Column979"/>
    <tableColumn id="1011" xr3:uid="{DE2DC94B-34B5-43A5-B97E-34C4EBE6143F}" name="Column980"/>
    <tableColumn id="1012" xr3:uid="{7E251C42-7ED0-474E-B389-A9316A90DE83}" name="Column981"/>
    <tableColumn id="1013" xr3:uid="{BF3D72CD-BC8D-4EFB-9116-223AA95452DF}" name="Column982"/>
    <tableColumn id="1014" xr3:uid="{A3068DD5-1551-48D4-9DB9-6048363290AB}" name="Column983"/>
    <tableColumn id="1015" xr3:uid="{650060B8-702C-4997-80C2-D43FBDCAD73E}" name="Column984"/>
    <tableColumn id="1016" xr3:uid="{9379164A-32D2-4D88-9775-56B5D25E6509}" name="Column985"/>
    <tableColumn id="1017" xr3:uid="{0A0CB3DE-A683-44C1-89C2-BB5B83AB7219}" name="Column986"/>
    <tableColumn id="1018" xr3:uid="{99FA2A4B-7164-40F6-8BC0-02E49780F529}" name="Column987"/>
    <tableColumn id="1019" xr3:uid="{3B80B135-D640-4820-8956-7F1B32D7E8CE}" name="Column988"/>
    <tableColumn id="1020" xr3:uid="{F989CED2-9A8B-4BEA-8754-B2D78548C571}" name="Column989"/>
    <tableColumn id="1021" xr3:uid="{D9364E8B-77E8-4681-A1C2-A4618EFDD1B0}" name="Column990"/>
    <tableColumn id="1022" xr3:uid="{864CAA5B-D9EA-47FD-B3C3-ABBD567F735D}" name="Column991"/>
    <tableColumn id="1023" xr3:uid="{4933A0AC-315C-44AC-8D48-DDB11A7455DD}" name="Column992"/>
    <tableColumn id="1024" xr3:uid="{CCAE4B0B-9304-4FC9-AF93-4512FD275157}" name="Column993"/>
    <tableColumn id="1025" xr3:uid="{33B6BF37-0DDB-43AD-A46B-E468ADEC3CD5}" name="Column994"/>
    <tableColumn id="1026" xr3:uid="{E545CFFB-5EF6-4207-8404-A851FD27F890}" name="Column995"/>
    <tableColumn id="1027" xr3:uid="{9BAE90CB-28F3-4CF2-86D1-421614D6528E}" name="Column996"/>
    <tableColumn id="1028" xr3:uid="{6E0A7D7A-554B-486B-8D08-AFBAD305E9BF}" name="Column997"/>
    <tableColumn id="1029" xr3:uid="{96C000BC-1906-4DEA-B6AE-423AB121A95B}" name="Column998"/>
    <tableColumn id="1030" xr3:uid="{9D63F4AA-976F-47E7-A850-E2E85261A9B6}" name="Column999"/>
    <tableColumn id="1031" xr3:uid="{0E0AC3D3-5B63-40D5-8BDF-284797A36BE9}" name="Column1000"/>
    <tableColumn id="1032" xr3:uid="{649D12E3-FF58-4537-991D-6DDF45605C04}" name="Column1001"/>
    <tableColumn id="1033" xr3:uid="{3C489A11-C863-4FCB-9668-DFADDBB86935}" name="Column1002"/>
    <tableColumn id="1034" xr3:uid="{82B4DC85-912E-4357-8126-9674B7BCA60B}" name="Column1003"/>
    <tableColumn id="1035" xr3:uid="{AE32010C-F023-444C-AA59-0001F0E9FD58}" name="Column1004"/>
    <tableColumn id="1036" xr3:uid="{F1F40D74-8A56-4E19-8326-7AFA689386E2}" name="Column1005"/>
    <tableColumn id="1037" xr3:uid="{53950EBC-EF11-4C8D-813C-1E449CD6CF46}" name="Column1006"/>
    <tableColumn id="1038" xr3:uid="{E5AF4372-3144-4945-B2AD-B432F76F6685}" name="Column1007"/>
    <tableColumn id="1039" xr3:uid="{3115FA31-9D35-4FE7-A564-5008A7F3A1F1}" name="Column1008"/>
    <tableColumn id="1040" xr3:uid="{D4B1695B-74D6-48F1-B649-96399048B252}" name="Column1009"/>
    <tableColumn id="1041" xr3:uid="{4BA3B5BD-B702-4568-866C-A0CE16910806}" name="Column1010"/>
    <tableColumn id="1042" xr3:uid="{1D0E54C5-69F9-473B-8D96-AFD6CFD4980B}" name="Column1011"/>
    <tableColumn id="1043" xr3:uid="{88A2A3A3-6F4B-4CEE-A1D9-43DDBC7774AE}" name="Column1012"/>
    <tableColumn id="1044" xr3:uid="{3A6E021F-B208-4B83-AAA4-B970B53FD2F7}" name="Column1013"/>
    <tableColumn id="1045" xr3:uid="{A6E32D80-2973-42D5-95D0-E5938D6E5A3D}" name="Column1014"/>
    <tableColumn id="1046" xr3:uid="{29881A36-1903-4FE8-BC2C-C8CA5BAB772A}" name="Column1015"/>
    <tableColumn id="1047" xr3:uid="{4093B278-3A90-4CE6-BBDD-E96A794CB254}" name="Column1016"/>
    <tableColumn id="1048" xr3:uid="{EB19BA41-D573-4EC7-8C96-7D34E17D4718}" name="Column1017"/>
    <tableColumn id="1049" xr3:uid="{ECACDFFE-2A1C-46F1-A820-727D37BC5CC0}" name="Column1018"/>
    <tableColumn id="1050" xr3:uid="{D06B7D44-7DC1-4602-99CF-0F907ED717F3}" name="Column1019"/>
    <tableColumn id="1051" xr3:uid="{C0B59DF4-6E87-4A82-B019-0EDD207CA25C}" name="Column1020"/>
    <tableColumn id="1052" xr3:uid="{B893DF7E-9011-4464-82FC-A04F71EF6059}" name="Column1021"/>
    <tableColumn id="1053" xr3:uid="{103F5E6C-E16E-4F0D-A438-37238C3F18A7}" name="Column1022"/>
    <tableColumn id="1054" xr3:uid="{78CEB0AC-8CD4-4FFA-BEFC-2A97CF857749}" name="Column1023"/>
    <tableColumn id="1055" xr3:uid="{B17B014C-A3F2-4D1F-88B1-5B8437604316}" name="Column1024"/>
    <tableColumn id="1056" xr3:uid="{27CC5A87-17C2-41B7-B520-E23212A44EFE}" name="Column1025"/>
    <tableColumn id="1057" xr3:uid="{C02FD6FD-5868-44B6-AEDB-6D4E4F47CF8A}" name="Column1026"/>
    <tableColumn id="1058" xr3:uid="{926EDC77-9214-4CFD-9E97-4722F9F2B588}" name="Column1027"/>
    <tableColumn id="1059" xr3:uid="{A04E441B-2DCC-489A-AFA3-B45DFFA852AF}" name="Column1028"/>
    <tableColumn id="1060" xr3:uid="{4307CE3B-BB5B-450C-88CC-C9006127BD6C}" name="Column1029"/>
    <tableColumn id="1061" xr3:uid="{1E90D546-C7E5-4E75-ACB2-34E7B103D4C0}" name="Column1030"/>
    <tableColumn id="1062" xr3:uid="{73F69849-8A7C-441A-AFE2-FCEEF75FFCED}" name="Column1031"/>
    <tableColumn id="1063" xr3:uid="{919F956E-DE65-4401-A095-E560075D637F}" name="Column1032"/>
    <tableColumn id="1064" xr3:uid="{2B8F71F3-E514-4227-BBF3-8148FBAFAFEF}" name="Column1033"/>
    <tableColumn id="1065" xr3:uid="{378C75F0-27DB-4EC7-B94D-E833931D4002}" name="Column1034"/>
    <tableColumn id="1066" xr3:uid="{DB443FC9-69A3-4CDA-BFFC-6C614AF251FF}" name="Column1035"/>
    <tableColumn id="1067" xr3:uid="{1A0E9BB2-78E1-46A4-A8D7-4CDF81AFDDBB}" name="Column1036"/>
    <tableColumn id="1068" xr3:uid="{8A734198-B874-4137-8873-CB7A81A44922}" name="Column1037"/>
    <tableColumn id="1069" xr3:uid="{79D77F12-CBC4-46BC-9060-F275B92B99C3}" name="Column1038"/>
    <tableColumn id="1070" xr3:uid="{79CF7F8E-7DDB-4DF4-A9F2-ABF4A4291A37}" name="Column1039"/>
    <tableColumn id="1071" xr3:uid="{60D296B2-CCA6-4A6E-99D0-55E8054CFB6C}" name="Column1040"/>
    <tableColumn id="1072" xr3:uid="{084C4FAC-F33E-4D54-8C3B-9B7D12A33DCE}" name="Column1041"/>
    <tableColumn id="1073" xr3:uid="{6A64F48D-7FC0-4638-AA33-6AF704F9F524}" name="Column1042"/>
    <tableColumn id="1074" xr3:uid="{41EAEF4C-9B04-43AC-B949-65C6C44D9CFC}" name="Column1043"/>
    <tableColumn id="1075" xr3:uid="{37C4E6AB-A857-41CD-BEB8-0C9F0676D854}" name="Column1044"/>
    <tableColumn id="1076" xr3:uid="{B838ABB4-92BB-456D-8019-F39E787C6EE0}" name="Column1045"/>
    <tableColumn id="1077" xr3:uid="{D58E04F6-F659-4159-BBE6-688BE5C0349C}" name="Column1046"/>
    <tableColumn id="1078" xr3:uid="{FA73E7F5-D2FE-4196-A976-1515450F46D8}" name="Column1047"/>
    <tableColumn id="1079" xr3:uid="{3AE3F8EC-7569-42F4-BB62-BEF74F7DC954}" name="Column1048"/>
    <tableColumn id="1080" xr3:uid="{C2F912AC-DF8D-42E6-84B7-5A9578E0F21D}" name="Column1049"/>
    <tableColumn id="1081" xr3:uid="{52D189A4-8200-4207-9662-A7AD4C0CF254}" name="Column1050"/>
    <tableColumn id="1082" xr3:uid="{080857D8-EDF4-4D6E-A14C-F1591F97118E}" name="Column1051"/>
    <tableColumn id="1083" xr3:uid="{5CBF501D-B2E0-463B-ACB3-74B131860473}" name="Column1052"/>
    <tableColumn id="1084" xr3:uid="{8216386D-0D66-4FFC-87DB-1BFA32F42E44}" name="Column1053"/>
    <tableColumn id="1085" xr3:uid="{20FD16D2-AD05-485B-B7C8-3FCAF0AF5B81}" name="Column1054"/>
    <tableColumn id="1086" xr3:uid="{031C539A-99A7-4E15-BB86-9BE9F5AF6613}" name="Column1055"/>
    <tableColumn id="1087" xr3:uid="{D7908CD8-36D8-4468-829B-610A507A0E4C}" name="Column1056"/>
    <tableColumn id="1088" xr3:uid="{3E9DE259-AF4D-43F9-8AC2-059659700E8A}" name="Column1057"/>
    <tableColumn id="1089" xr3:uid="{8EF7D210-7B6D-42CB-B3E1-3F6BCA3AA13B}" name="Column1058"/>
    <tableColumn id="1090" xr3:uid="{E5A71744-6F44-40AE-B726-204EEE173196}" name="Column1059"/>
    <tableColumn id="1091" xr3:uid="{5BC01110-B06B-4F1B-9ACE-610C6891A0BC}" name="Column1060"/>
    <tableColumn id="1092" xr3:uid="{B8E9E8C5-9ABE-4216-8055-3E055D558720}" name="Column1061"/>
    <tableColumn id="1093" xr3:uid="{0A6D3632-F6AE-4AB1-B246-AB585D9AA4CE}" name="Column1062"/>
    <tableColumn id="1094" xr3:uid="{B4DD7F8B-7E4C-4EC1-AF5D-7E53F3DB14AF}" name="Column1063"/>
    <tableColumn id="1095" xr3:uid="{86781AA7-160D-4837-B8C8-ED6290F3343C}" name="Column1064"/>
    <tableColumn id="1096" xr3:uid="{77AB5B0B-0ED3-462F-94DE-87AA7480D8B4}" name="Column1065"/>
    <tableColumn id="1097" xr3:uid="{BD076B93-257A-4E2D-8489-99938E9337B4}" name="Column1066"/>
    <tableColumn id="1098" xr3:uid="{11D53A06-03BD-449E-820E-1A302882C420}" name="Column1067"/>
    <tableColumn id="1099" xr3:uid="{E64855F4-CD67-4882-B3DC-64F7FB11CE52}" name="Column1068"/>
    <tableColumn id="1100" xr3:uid="{802BBDB5-15E2-4C59-B687-2316BB60C8D1}" name="Column1069"/>
    <tableColumn id="1101" xr3:uid="{9DDEFD17-1B6D-4B54-99D6-1C2AFAB05AE1}" name="Column1070"/>
    <tableColumn id="1102" xr3:uid="{A5FCC705-4286-4CC7-BB22-DE4B36579DDF}" name="Column1071"/>
    <tableColumn id="1103" xr3:uid="{2A5425FE-12CA-430A-AC5C-85F3EFD8F66D}" name="Column1072"/>
    <tableColumn id="1104" xr3:uid="{03BA80D7-2785-4882-817B-810042170347}" name="Column1073"/>
    <tableColumn id="1105" xr3:uid="{BB664F3A-3EC6-45D8-9EDB-E6DB39EDF4BF}" name="Column1074"/>
    <tableColumn id="1106" xr3:uid="{C6A9BA67-FB14-429E-A390-D0EB0D81CA7C}" name="Column1075"/>
    <tableColumn id="1107" xr3:uid="{A123147F-638C-4DC0-A5EF-E5A654135A5D}" name="Column1076"/>
    <tableColumn id="1108" xr3:uid="{EB08FB23-298D-4E50-AC08-28CB970D1F84}" name="Column1077"/>
    <tableColumn id="1109" xr3:uid="{15A0EC1E-BAE0-4260-AFAB-4FFC56E121E1}" name="Column1078"/>
    <tableColumn id="1110" xr3:uid="{85E37D1F-70DB-4BE1-B34F-3C40B65B1827}" name="Column1079"/>
    <tableColumn id="1111" xr3:uid="{B1719627-FCAE-48EF-A273-870F452E893E}" name="Column1080"/>
    <tableColumn id="1112" xr3:uid="{59975B8C-241F-40CB-8F41-457054AEF4C7}" name="Column1081"/>
    <tableColumn id="1113" xr3:uid="{D4E9938A-3CA1-4F15-9B07-9E7346069C69}" name="Column1082"/>
    <tableColumn id="1114" xr3:uid="{68548CC9-E700-447B-B3BD-22C37D05FECD}" name="Column1083"/>
    <tableColumn id="1115" xr3:uid="{190A90AC-FB68-4876-ACFC-5536DE5996FD}" name="Column1084"/>
    <tableColumn id="1116" xr3:uid="{73261BDD-9148-4A18-88B2-DA5290792C33}" name="Column1085"/>
    <tableColumn id="1117" xr3:uid="{1AC2BC83-BFA2-4FF4-99BA-CAB86CB50F98}" name="Column1086"/>
    <tableColumn id="1118" xr3:uid="{1FA86B54-CB5C-433E-B424-BA502D493E1B}" name="Column1087"/>
    <tableColumn id="1119" xr3:uid="{3659A794-7BAF-4618-9FDD-8076C07C8AF8}" name="Column1088"/>
    <tableColumn id="1120" xr3:uid="{7FF9A3D2-1478-4E8E-B8AA-8C51AA126A18}" name="Column1089"/>
    <tableColumn id="1121" xr3:uid="{A2A8ED93-2268-43FE-8022-AC7AEE4E741C}" name="Column1090"/>
    <tableColumn id="1122" xr3:uid="{C259E667-2E49-47FE-884F-D6B524CA362E}" name="Column1091"/>
    <tableColumn id="1123" xr3:uid="{CE5D670B-49A6-496A-B6EF-CCE861C2FA00}" name="Column1092"/>
    <tableColumn id="1124" xr3:uid="{6ECC34FF-D83D-485D-A79E-58AE69F5B7E8}" name="Column1093"/>
    <tableColumn id="1125" xr3:uid="{9340A045-40AB-4CA3-A8AA-89FAB5BFE7E0}" name="Column1094"/>
    <tableColumn id="1126" xr3:uid="{F3D10286-5596-4E01-94BF-2918B9CE8034}" name="Column1095"/>
    <tableColumn id="1127" xr3:uid="{DAABE234-935F-4D2A-AF6B-3D296F9A3598}" name="Column1096"/>
    <tableColumn id="1128" xr3:uid="{7BCBFE16-DD6B-40DC-9E49-6167884607AF}" name="Column1097"/>
    <tableColumn id="1129" xr3:uid="{A11D218E-526B-4C86-887A-D25C2DE6B572}" name="Column1098"/>
    <tableColumn id="1130" xr3:uid="{4F8EBDD4-7416-4119-B369-449F99506EF2}" name="Column1099"/>
    <tableColumn id="1131" xr3:uid="{70DDB1AD-62F5-4921-B407-9891A1E93572}" name="Column1100"/>
    <tableColumn id="1132" xr3:uid="{9B7A3BA4-BBE5-4855-8D4C-EA16C76CEABE}" name="Column1101"/>
    <tableColumn id="1133" xr3:uid="{6F3A8910-6AB4-42BE-95E0-67FF9E6BEF10}" name="Column1102"/>
    <tableColumn id="1134" xr3:uid="{FA8B317D-ACD0-4823-861E-862E0005795E}" name="Column1103"/>
    <tableColumn id="1135" xr3:uid="{5DCB6F82-4CE6-4364-8353-CEE4FB8B55B1}" name="Column1104"/>
    <tableColumn id="1136" xr3:uid="{AB5B2CC0-20B6-4A3A-96E1-8166835C846C}" name="Column1105"/>
    <tableColumn id="1137" xr3:uid="{6BEB55A9-CBA3-4AB0-ACFF-316F0214268D}" name="Column1106"/>
    <tableColumn id="1138" xr3:uid="{EF3AA830-C8A9-4569-A54F-D50DD8112312}" name="Column1107"/>
    <tableColumn id="1139" xr3:uid="{53731B01-0096-4F07-9CE9-7B3050834C47}" name="Column1108"/>
    <tableColumn id="1140" xr3:uid="{9D9D4971-55E5-4AD2-AAFD-CC1672CD9A28}" name="Column1109"/>
    <tableColumn id="1141" xr3:uid="{36E644B5-1EE5-4901-8EC7-5B356FEA4584}" name="Column1110"/>
    <tableColumn id="1142" xr3:uid="{0610E644-4E23-4AB6-873B-25A547DB0E9A}" name="Column1111"/>
    <tableColumn id="1143" xr3:uid="{F49C522A-B205-4BA9-BF50-803FC43F6762}" name="Column1112"/>
    <tableColumn id="1144" xr3:uid="{46F6E51A-D766-42E1-BFC0-0FA0FFD46544}" name="Column1113"/>
    <tableColumn id="1145" xr3:uid="{3E77ACB8-F279-418D-A700-96FEC922EB17}" name="Column1114"/>
    <tableColumn id="1146" xr3:uid="{97DC6E28-3A4A-445B-8199-98C962233584}" name="Column1115"/>
    <tableColumn id="1147" xr3:uid="{D27A18AA-7C00-4857-8A8C-354DC37844C3}" name="Column1116"/>
    <tableColumn id="1148" xr3:uid="{B048FD4E-D104-424D-8525-730F398904DD}" name="Column1117"/>
    <tableColumn id="1149" xr3:uid="{08F3DFCA-8E5E-414A-BC0C-631659B89B19}" name="Column1118"/>
    <tableColumn id="1150" xr3:uid="{9646C479-C1C0-4F24-A014-51667B94D795}" name="Column1119"/>
    <tableColumn id="1151" xr3:uid="{F12F3481-F6EF-43D3-BBA5-B27B46CA0F82}" name="Column1120"/>
    <tableColumn id="1152" xr3:uid="{AADABA7E-B057-4C17-A01E-6FEEAA15A3D1}" name="Column1121"/>
    <tableColumn id="1153" xr3:uid="{63B998B5-6257-47F0-8936-7403AFAEB439}" name="Column1122"/>
    <tableColumn id="1154" xr3:uid="{093D657F-7B35-407E-8FEA-A067588F2802}" name="Column1123"/>
    <tableColumn id="1155" xr3:uid="{354EBC7B-85E4-443D-AD4C-44408C374676}" name="Column1124"/>
    <tableColumn id="1156" xr3:uid="{DD135AAD-83C5-40E7-8739-DE1672CEDC2F}" name="Column1125"/>
    <tableColumn id="1157" xr3:uid="{C9C326CF-F045-4073-97FA-DAEFF727FCFF}" name="Column1126"/>
    <tableColumn id="1158" xr3:uid="{70F9FE06-4D31-4F2E-AFEC-4B31AF215808}" name="Column1127"/>
    <tableColumn id="1159" xr3:uid="{17B36CE3-FCAE-4D3F-ADA7-F4D59965DF7F}" name="Column1128"/>
    <tableColumn id="1160" xr3:uid="{FA3FE51C-630B-4078-AD93-7B0CD3881756}" name="Column1129"/>
    <tableColumn id="1161" xr3:uid="{CD1B14D1-3591-4561-A019-A95C709AFF3B}" name="Column1130"/>
    <tableColumn id="1162" xr3:uid="{D4014B10-751D-4569-8AAB-D08799AA5A9B}" name="Column1131"/>
    <tableColumn id="1163" xr3:uid="{6FBFB068-62F7-43E7-A269-1D6095741567}" name="Column1132"/>
    <tableColumn id="1164" xr3:uid="{F746ACA5-A3EC-43AB-92EE-F9B3DE24D97B}" name="Column1133"/>
    <tableColumn id="1165" xr3:uid="{D2BE3BEF-AB51-487F-AECD-CE13872B39F3}" name="Column1134"/>
    <tableColumn id="1166" xr3:uid="{8859CD4C-AEAF-4D18-8993-F7DF726A015D}" name="Column1135"/>
    <tableColumn id="1167" xr3:uid="{D1D2A0C6-E25E-4409-9464-EA4C1958F780}" name="Column1136"/>
    <tableColumn id="1168" xr3:uid="{E8E0B3AB-E323-465F-93FD-386D99C04E1D}" name="Column1137"/>
    <tableColumn id="1169" xr3:uid="{58678364-46DD-4483-B96C-FAFB66293BE7}" name="Column1138"/>
    <tableColumn id="1170" xr3:uid="{94165C36-170C-4F3C-BFA1-27D97D28CB0B}" name="Column1139"/>
    <tableColumn id="1171" xr3:uid="{30930C9F-65CB-4C69-9196-4E981D79FBE7}" name="Column1140"/>
    <tableColumn id="1172" xr3:uid="{0B0A2369-4FCB-46BF-8642-6449AF03C6FF}" name="Column1141"/>
    <tableColumn id="1173" xr3:uid="{141114EF-6F1F-48A3-BE86-E92CAED6A92E}" name="Column1142"/>
    <tableColumn id="1174" xr3:uid="{01952E95-1EA5-4F78-A7B7-DE331633B6A1}" name="Column1143"/>
    <tableColumn id="1175" xr3:uid="{75D738C7-80E2-457A-8A52-02C21E358DF4}" name="Column1144"/>
    <tableColumn id="1176" xr3:uid="{A12032BD-3E41-4BE4-9723-D6AD5F4E6A1A}" name="Column1145"/>
    <tableColumn id="1177" xr3:uid="{E2124635-0097-4D1F-8E0E-6B8D7F6E12B5}" name="Column1146"/>
    <tableColumn id="1178" xr3:uid="{BB467CDB-F24C-4609-BB5D-2C0B6F9A952C}" name="Column1147"/>
    <tableColumn id="1179" xr3:uid="{0EE79EC1-AB37-4484-BC42-43D42C41261E}" name="Column1148"/>
    <tableColumn id="1180" xr3:uid="{C44066A6-8A82-4895-85BE-2F20901854DB}" name="Column1149"/>
    <tableColumn id="1181" xr3:uid="{E55B83A3-6D7F-4CD6-BDC0-C519115EC957}" name="Column1150"/>
    <tableColumn id="1182" xr3:uid="{B8DAC1CE-D066-45AF-8171-5FB88C17AE45}" name="Column1151"/>
    <tableColumn id="1183" xr3:uid="{7FFD8519-E65A-4C55-B8A3-8A5225F02A72}" name="Column1152"/>
    <tableColumn id="1184" xr3:uid="{78CBB989-2CCF-4FF7-A0BF-59C93752C5E9}" name="Column1153"/>
    <tableColumn id="1185" xr3:uid="{716899B6-3341-481D-9D08-B755B106B3DA}" name="Column1154"/>
    <tableColumn id="1186" xr3:uid="{D83C7579-9034-447B-B143-79E7B0BC6D3E}" name="Column1155"/>
    <tableColumn id="1187" xr3:uid="{552F10CC-4ABE-4181-BC48-802D965AF217}" name="Column1156"/>
    <tableColumn id="1188" xr3:uid="{1AA404BD-4C8B-4ED8-A651-55A502A7CB65}" name="Column1157"/>
    <tableColumn id="1189" xr3:uid="{60F2C627-90B3-4A2E-A86E-D5EBD7A3511C}" name="Column1158"/>
    <tableColumn id="1190" xr3:uid="{DE6D93C7-BA9D-4B57-B69A-492F61338842}" name="Column1159"/>
    <tableColumn id="1191" xr3:uid="{4DC4DD2A-E1E4-49A0-9106-9AD5D538DE1A}" name="Column1160"/>
    <tableColumn id="1192" xr3:uid="{798B18DB-4CD4-4DE8-BB32-F06FB0EA4081}" name="Column1161"/>
    <tableColumn id="1193" xr3:uid="{FCDE08A9-17BD-4AA0-A138-106F2ACFC355}" name="Column1162"/>
    <tableColumn id="1194" xr3:uid="{57659230-BB44-4D18-B241-C656250AFE98}" name="Column1163"/>
    <tableColumn id="1195" xr3:uid="{876BBCBF-76C3-4CDE-B263-66EEFF7C17BF}" name="Column1164"/>
    <tableColumn id="1196" xr3:uid="{B048962A-2D6B-424D-8979-45811DD09142}" name="Column1165"/>
    <tableColumn id="1197" xr3:uid="{A5D40B82-9195-44D8-8216-56806FE3569F}" name="Column1166"/>
    <tableColumn id="1198" xr3:uid="{DD8B6CF8-8E63-48A6-A73A-3AD76405B781}" name="Column1167"/>
    <tableColumn id="1199" xr3:uid="{D662281F-0714-49C2-87FA-A3FEF9DB6712}" name="Column1168"/>
    <tableColumn id="1200" xr3:uid="{3DBB9986-D4BC-4192-987C-A3E852816687}" name="Column1169"/>
    <tableColumn id="1201" xr3:uid="{3BE552EB-9E07-42BA-ADCD-8B7452B11797}" name="Column1170"/>
    <tableColumn id="1202" xr3:uid="{C2BA2468-3030-4F03-8D43-92A95F90399E}" name="Column1171"/>
    <tableColumn id="1203" xr3:uid="{9527F262-5AF5-4D97-A9D1-457AE8A31B19}" name="Column1172"/>
    <tableColumn id="1204" xr3:uid="{5D871514-3DF3-46A4-B0EB-F505C8B89BC4}" name="Column1173"/>
    <tableColumn id="1205" xr3:uid="{9941134F-0478-4340-867D-772FFDB56055}" name="Column1174"/>
    <tableColumn id="1206" xr3:uid="{37700C8B-B7DA-4730-A447-1AA4704B54C1}" name="Column1175"/>
    <tableColumn id="1207" xr3:uid="{BDE7209C-5BC3-46F9-A99B-996053A1E762}" name="Column1176"/>
    <tableColumn id="1208" xr3:uid="{0367860F-6E7D-4088-860D-62A3AFB77D31}" name="Column1177"/>
    <tableColumn id="1209" xr3:uid="{7D861C46-7915-4FB7-82F5-1957E848983A}" name="Column1178"/>
    <tableColumn id="1210" xr3:uid="{99AD21C1-D3AC-405E-8958-F565F7DC9272}" name="Column1179"/>
    <tableColumn id="1211" xr3:uid="{D9BE0D6F-514F-4F6B-9941-4EAA1F73682C}" name="Column1180"/>
    <tableColumn id="1212" xr3:uid="{0535CB2F-DB81-451D-B0B1-3624EA0B09EB}" name="Column1181"/>
    <tableColumn id="1213" xr3:uid="{B6893669-718B-43C1-8FDE-6363A96CE249}" name="Column1182"/>
    <tableColumn id="1214" xr3:uid="{E17A6EFE-E981-46AB-BD0A-7D21ECC54192}" name="Column1183"/>
    <tableColumn id="1215" xr3:uid="{53FF2E32-3F3F-4C6B-A4F4-B74CEE3F1879}" name="Column1184"/>
    <tableColumn id="1216" xr3:uid="{8BB13597-721D-468C-9892-2F2C00057806}" name="Column1185"/>
    <tableColumn id="1217" xr3:uid="{2CA0AD0E-0B14-4718-800F-A187628D230A}" name="Column1186"/>
    <tableColumn id="1218" xr3:uid="{BBF670B6-6D5F-4804-87FF-CF56B42DDC2B}" name="Column1187"/>
    <tableColumn id="1219" xr3:uid="{12D1BCF9-6E77-48B0-A86E-5E548A1FFFA5}" name="Column1188"/>
    <tableColumn id="1220" xr3:uid="{EAEE3946-3FB2-48A0-AE75-1AF04AEE3856}" name="Column1189"/>
    <tableColumn id="1221" xr3:uid="{752B2EC0-7042-41A2-A9B7-AC1ABB47E2F6}" name="Column1190"/>
    <tableColumn id="1222" xr3:uid="{857E70AB-5003-46F7-AF1A-1FEE7E96DBAC}" name="Column1191"/>
    <tableColumn id="1223" xr3:uid="{640ACCCF-9A9D-406F-8D1F-20703569D026}" name="Column1192"/>
    <tableColumn id="1224" xr3:uid="{7A44BB03-6ACC-47ED-BAEE-90B688C3470C}" name="Column1193"/>
    <tableColumn id="1225" xr3:uid="{7AFDEACD-EE1F-4DDD-B546-1EDB68E51BD4}" name="Column1194"/>
    <tableColumn id="1226" xr3:uid="{D31FBD19-69F3-45B3-BB55-D92779A5526C}" name="Column1195"/>
    <tableColumn id="1227" xr3:uid="{121510A9-1354-4494-A1C4-ECA161C53C93}" name="Column1196"/>
    <tableColumn id="1228" xr3:uid="{AA58570B-8592-4F6B-932B-513B9575B88B}" name="Column1197"/>
    <tableColumn id="1229" xr3:uid="{D32FD99C-6615-4FEF-9764-ECF61723F1A3}" name="Column1198"/>
    <tableColumn id="1230" xr3:uid="{24529FBE-C6F0-4F7D-BA3F-502190114A07}" name="Column1199"/>
    <tableColumn id="1231" xr3:uid="{5CE6F64D-0F20-441D-8D9D-99DE35925C41}" name="Column1200"/>
    <tableColumn id="1232" xr3:uid="{30F892AA-7FBB-43A1-9B95-DD014044A424}" name="Column1201"/>
    <tableColumn id="1233" xr3:uid="{F53E327E-2D45-487F-8A40-4E3535721DAF}" name="Column1202"/>
    <tableColumn id="1234" xr3:uid="{10D76DC4-91CC-43D0-A17C-6BFEF2976B7F}" name="Column1203"/>
    <tableColumn id="1235" xr3:uid="{CB0CD120-5F65-41EB-A1E1-AB5374B9E420}" name="Column1204"/>
    <tableColumn id="1236" xr3:uid="{4F830553-4013-4FF7-A406-914162E262A4}" name="Column1205"/>
    <tableColumn id="1237" xr3:uid="{6C994FBF-ED6B-4830-A2AE-AC705407880B}" name="Column1206"/>
    <tableColumn id="1238" xr3:uid="{84FAF2EB-4E7A-48E6-8EB9-B2D9F191BD10}" name="Column1207"/>
    <tableColumn id="1239" xr3:uid="{EBC851CE-4C6D-4219-B02F-880791A09FCC}" name="Column1208"/>
    <tableColumn id="1240" xr3:uid="{77AC45A9-8DE4-4E1D-BB13-7ABC1AAE7E16}" name="Column1209"/>
    <tableColumn id="1241" xr3:uid="{184484A8-66A5-4EC5-B9DC-5DF06B3F6453}" name="Column1210"/>
    <tableColumn id="1242" xr3:uid="{617331DD-6F52-4EB0-BF4E-1F9BBF89A57C}" name="Column1211"/>
    <tableColumn id="1243" xr3:uid="{DB6348B2-A490-449D-8C95-F9F90FEE149A}" name="Column1212"/>
    <tableColumn id="1244" xr3:uid="{6FD1D89D-DE2F-409C-9E59-22751782142E}" name="Column1213"/>
    <tableColumn id="1245" xr3:uid="{D4285B0B-EA06-40D2-93C2-B0C3CD76F438}" name="Column1214"/>
    <tableColumn id="1246" xr3:uid="{AD64F185-687B-4A99-9121-870071A21D40}" name="Column1215"/>
    <tableColumn id="1247" xr3:uid="{73685CC3-08F2-4495-8F3B-AF6C552AFE50}" name="Column1216"/>
    <tableColumn id="1248" xr3:uid="{BCE7821F-F0F3-46EC-9215-C7D228330FCF}" name="Column1217"/>
    <tableColumn id="1249" xr3:uid="{979D1D26-309F-412B-AB0F-C1D0533AAAE6}" name="Column1218"/>
    <tableColumn id="1250" xr3:uid="{1DB357B4-85D3-4B59-9C57-037709B2A463}" name="Column1219"/>
    <tableColumn id="1251" xr3:uid="{9285CC23-4DCF-4857-9B85-D8F25CD4EF92}" name="Column1220"/>
    <tableColumn id="1252" xr3:uid="{0264436B-A0EC-4473-9E3B-6E886C000BA5}" name="Column1221"/>
    <tableColumn id="1253" xr3:uid="{70EB1922-49D1-4998-8092-533AAFF92B74}" name="Column1222"/>
    <tableColumn id="1254" xr3:uid="{324789D8-B9A1-4644-BBFA-D316D869C870}" name="Column1223"/>
    <tableColumn id="1255" xr3:uid="{B43CFB93-68AC-4019-A789-AB82005AA8EF}" name="Column1224"/>
    <tableColumn id="1256" xr3:uid="{D983C68F-2B64-4DAB-B1F1-50FEDBE6DFA3}" name="Column1225"/>
    <tableColumn id="1257" xr3:uid="{A0EB08C2-AC29-4E57-812E-6D133B0384B2}" name="Column1226"/>
    <tableColumn id="1258" xr3:uid="{F3A533B3-F8A1-4BE6-885A-C437A87F1542}" name="Column1227"/>
    <tableColumn id="1259" xr3:uid="{B0FDD7B1-D60B-4218-A6A3-E2C2D416F14D}" name="Column1228"/>
    <tableColumn id="1260" xr3:uid="{0C3843F6-1BB8-4632-AE5D-A9A02CC56C32}" name="Column1229"/>
    <tableColumn id="1261" xr3:uid="{A04EE3DF-B1F1-40BD-AC91-18E7477E63D0}" name="Column1230"/>
    <tableColumn id="1262" xr3:uid="{12587544-1007-4D42-96AD-13A995DCDEB1}" name="Column1231"/>
    <tableColumn id="1263" xr3:uid="{D7273A78-8AFB-4698-8ABE-B76D21470827}" name="Column1232"/>
    <tableColumn id="1264" xr3:uid="{5CE13B1D-8FA1-4129-90C9-E54C15F079B3}" name="Column1233"/>
    <tableColumn id="1265" xr3:uid="{588945B1-FE20-4B9E-A491-DFF3EC6606A0}" name="Column1234"/>
    <tableColumn id="1266" xr3:uid="{BCAE5C2B-3D82-48A5-9895-437D0AC8A738}" name="Column1235"/>
    <tableColumn id="1267" xr3:uid="{7705A328-9E24-4CBB-8B5A-1835E1A76677}" name="Column1236"/>
    <tableColumn id="1268" xr3:uid="{D4761CE2-3A66-4B6F-B177-D11643F8727C}" name="Column1237"/>
    <tableColumn id="1269" xr3:uid="{FBB0E877-D68C-47DA-9DF9-AEC9E43F8D3A}" name="Column1238"/>
    <tableColumn id="1270" xr3:uid="{2C759AFF-DB4C-46F8-899B-BCEB101A3A35}" name="Column1239"/>
    <tableColumn id="1271" xr3:uid="{6167FE85-0066-4A17-9283-145AE68D75B6}" name="Column1240"/>
    <tableColumn id="1272" xr3:uid="{9F23894F-9AA6-4AE6-8BB8-133881C77251}" name="Column1241"/>
    <tableColumn id="1273" xr3:uid="{706F8789-6965-472E-967D-3712DBAEE2DF}" name="Column1242"/>
    <tableColumn id="1274" xr3:uid="{467F5BAF-AD53-4896-8DB7-CBDFE24408B3}" name="Column1243"/>
    <tableColumn id="1275" xr3:uid="{74F1FBB8-DA78-4891-96F8-43F54C7B9B8C}" name="Column1244"/>
    <tableColumn id="1276" xr3:uid="{927FB971-BEBE-4020-822B-0E7A60EB14DA}" name="Column1245"/>
    <tableColumn id="1277" xr3:uid="{78F4EC16-A59B-4302-B2FD-E03EE14FF732}" name="Column1246"/>
    <tableColumn id="1278" xr3:uid="{402BBD87-96F1-4F6A-A8E7-B7D2C75D52C5}" name="Column1247"/>
    <tableColumn id="1279" xr3:uid="{D48307CE-A786-48CD-8053-79691A0C14AD}" name="Column1248"/>
    <tableColumn id="1280" xr3:uid="{A0C48FF8-0D0C-4A3E-83BE-4B98380F15B0}" name="Column1249"/>
    <tableColumn id="1281" xr3:uid="{156E2700-5C2C-4BD4-B0A9-CA7EF50B1D9E}" name="Column1250"/>
    <tableColumn id="1282" xr3:uid="{7400327E-5FD9-41E9-BBEA-F019B6BFB40B}" name="Column1251"/>
    <tableColumn id="1283" xr3:uid="{247924EC-F7F9-44D3-9C1F-188FC81996B9}" name="Column1252"/>
    <tableColumn id="1284" xr3:uid="{65F80583-AE10-4D57-83AB-FC27F9B62EC0}" name="Column1253"/>
    <tableColumn id="1285" xr3:uid="{1050A785-04B1-405C-878C-331371372C91}" name="Column1254"/>
    <tableColumn id="1286" xr3:uid="{F26438E1-FE69-42EA-860F-800FF78A87DA}" name="Column1255"/>
    <tableColumn id="1287" xr3:uid="{46B3FD05-FF31-4394-B582-09998A5A6ACE}" name="Column1256"/>
    <tableColumn id="1288" xr3:uid="{40C60246-6CAB-46B2-8979-6362DD82A715}" name="Column1257"/>
    <tableColumn id="1289" xr3:uid="{87A089E6-FCC1-48BC-AFF6-1B1AD7E82A72}" name="Column1258"/>
    <tableColumn id="1290" xr3:uid="{54BE2FD3-CC7A-4065-889C-3A905D3A20DF}" name="Column1259"/>
    <tableColumn id="1291" xr3:uid="{56884B45-158E-4DF2-859B-514442A81472}" name="Column1260"/>
    <tableColumn id="1292" xr3:uid="{F609DF8D-AA7F-4001-A1DA-648378ADC674}" name="Column1261"/>
    <tableColumn id="1293" xr3:uid="{543F1E77-3DAA-4CFB-8F79-D76498E467D6}" name="Column1262"/>
    <tableColumn id="1294" xr3:uid="{680BD08C-184C-47C5-8704-9DB04E05D17F}" name="Column1263"/>
    <tableColumn id="1295" xr3:uid="{CC47F20F-876F-4E96-A4F7-CA42D5A8D08A}" name="Column1264"/>
    <tableColumn id="1296" xr3:uid="{7965B130-A30B-4544-9CB1-C89FCD284CC1}" name="Column1265"/>
    <tableColumn id="1297" xr3:uid="{FEF4C782-9A28-449B-89CF-B5D61A39E573}" name="Column1266"/>
    <tableColumn id="1298" xr3:uid="{A095ED84-DDC0-4D69-B8D2-21670F5D03F3}" name="Column1267"/>
    <tableColumn id="1299" xr3:uid="{003D7E70-3CF5-4B02-984C-B2F1F1E6DADA}" name="Column1268"/>
    <tableColumn id="1300" xr3:uid="{885804CE-60BB-4910-B3F3-29F53164A45D}" name="Column1269"/>
    <tableColumn id="1301" xr3:uid="{B1F776E6-BF83-4E92-A16A-908871950B59}" name="Column1270"/>
    <tableColumn id="1302" xr3:uid="{68903EF5-174E-49FA-B701-9C68A409BDFC}" name="Column1271"/>
    <tableColumn id="1303" xr3:uid="{84A12E20-4FE2-4C97-B042-5595E31298CB}" name="Column1272"/>
    <tableColumn id="1304" xr3:uid="{9DEF305E-92FA-4E10-B2CC-D6DD0145EA6C}" name="Column1273"/>
    <tableColumn id="1305" xr3:uid="{12055B01-ED28-4187-A3D3-8C230EE757C7}" name="Column1274"/>
    <tableColumn id="1306" xr3:uid="{FD4D6AC8-49DB-49AC-8C1F-664CE338A6B9}" name="Column1275"/>
    <tableColumn id="1307" xr3:uid="{816A71D7-F826-4EB5-B520-6B581F794027}" name="Column1276"/>
    <tableColumn id="1308" xr3:uid="{FEBCC91B-934F-4ADF-809A-554F9A060065}" name="Column1277"/>
    <tableColumn id="1309" xr3:uid="{8B9B8717-80C7-4B83-ACFC-3FACEA20584A}" name="Column1278"/>
    <tableColumn id="1310" xr3:uid="{504A9B6D-72A1-4D0C-A499-BF28FD22A2A7}" name="Column1279"/>
    <tableColumn id="1311" xr3:uid="{79B2F313-E1FB-43BD-8ACA-4ECEBF9C1B42}" name="Column1280"/>
    <tableColumn id="1312" xr3:uid="{DBF22B33-60BF-4DF9-88F0-D03F542C1BE1}" name="Column1281"/>
    <tableColumn id="1313" xr3:uid="{EB3A5AE1-5A42-45A0-B946-8FF55E616CCB}" name="Column1282"/>
    <tableColumn id="1314" xr3:uid="{160B4117-24F7-49C3-9CB8-12CD108BB604}" name="Column1283"/>
    <tableColumn id="1315" xr3:uid="{D774E252-CEED-45A7-BED1-BF3A8BD57501}" name="Column1284"/>
    <tableColumn id="1316" xr3:uid="{7EE8C234-6CC9-4281-98DF-2512AC4554CD}" name="Column1285"/>
    <tableColumn id="1317" xr3:uid="{E3BA4787-04E1-4096-A51A-464B900E6EE5}" name="Column1286"/>
    <tableColumn id="1318" xr3:uid="{4CD629C0-B7AA-4E44-AD1F-EDC802E6F574}" name="Column1287"/>
    <tableColumn id="1319" xr3:uid="{F6D0C5AD-E2B7-4457-A469-B6B51B4854B9}" name="Column1288"/>
    <tableColumn id="1320" xr3:uid="{62B68EF2-993D-467F-AE8C-01E46292B33D}" name="Column1289"/>
    <tableColumn id="1321" xr3:uid="{A1A763D5-6AD6-4EA3-9B89-F0A945B0C634}" name="Column1290"/>
    <tableColumn id="1322" xr3:uid="{61CF3116-518D-46FA-9D46-B05090A3E0EE}" name="Column1291"/>
    <tableColumn id="1323" xr3:uid="{612FECCD-0AA5-4A4A-8CA5-ACDDBE0B816B}" name="Column1292"/>
    <tableColumn id="1324" xr3:uid="{B5F970A8-7A13-45A9-B901-37A152AC8F13}" name="Column1293"/>
    <tableColumn id="1325" xr3:uid="{9BFB03D6-4C6B-4379-8553-41D0BC3E90D0}" name="Column1294"/>
    <tableColumn id="1326" xr3:uid="{E80898AD-7867-4689-A0DB-9F6B560F6FE6}" name="Column1295"/>
    <tableColumn id="1327" xr3:uid="{FCD3A083-1756-4B94-B5C1-5A2072211A57}" name="Column1296"/>
    <tableColumn id="1328" xr3:uid="{AF609DE3-61E3-439C-9C5F-D7C8AFF43ABA}" name="Column1297"/>
    <tableColumn id="1329" xr3:uid="{94B3DF1A-7740-4746-9542-97EE651F8658}" name="Column1298"/>
    <tableColumn id="1330" xr3:uid="{C3534928-C5ED-4B4E-ACB5-255CED78C6F7}" name="Column1299"/>
    <tableColumn id="1331" xr3:uid="{84A7DC6D-D1CE-4428-B2CA-15CB11B03553}" name="Column1300"/>
    <tableColumn id="1332" xr3:uid="{144B3BCF-17D3-4B35-B21A-5BF4412B0A2D}" name="Column1301"/>
    <tableColumn id="1333" xr3:uid="{2029E504-3114-49A2-AB53-1FF3A4767048}" name="Column1302"/>
    <tableColumn id="1334" xr3:uid="{CF47790C-E4D0-4259-9448-F8748F78CF60}" name="Column1303"/>
    <tableColumn id="1335" xr3:uid="{F254E1DC-C72C-4993-950C-8C8D6B836F95}" name="Column1304"/>
    <tableColumn id="1336" xr3:uid="{942888C8-691D-46BB-BF28-D02F78013679}" name="Column1305"/>
    <tableColumn id="1337" xr3:uid="{D58EAA2C-7C47-4CA7-8869-7F5F2F52A3A1}" name="Column1306"/>
    <tableColumn id="1338" xr3:uid="{FB1518DE-F286-41B1-8096-51504EABC38A}" name="Column1307"/>
    <tableColumn id="1339" xr3:uid="{141F28AD-457B-4406-95B7-2EE24184BEDA}" name="Column1308"/>
    <tableColumn id="1340" xr3:uid="{CC13518F-957B-4AC4-9A10-63665955DFBD}" name="Column1309"/>
    <tableColumn id="1341" xr3:uid="{B6CE8C16-04EF-4D9A-98F2-D1DDB362143D}" name="Column1310"/>
    <tableColumn id="1342" xr3:uid="{7F8B4F2C-A54C-4E77-90F3-A004DE662D26}" name="Column1311"/>
    <tableColumn id="1343" xr3:uid="{1EAFFDCF-CD09-4EDC-9CE3-54A30F1AFAC0}" name="Column1312"/>
    <tableColumn id="1344" xr3:uid="{53099639-3FAC-4229-86DD-88DDE3B7D9DA}" name="Column1313"/>
    <tableColumn id="1345" xr3:uid="{3E5EEDA8-2504-4960-B284-06695DEDDD00}" name="Column1314"/>
    <tableColumn id="1346" xr3:uid="{890E08EF-1F16-4E54-9D61-06900EBF68EE}" name="Column1315"/>
    <tableColumn id="1347" xr3:uid="{5AEEC476-9914-44F1-9923-E4026FB1C3DD}" name="Column1316"/>
    <tableColumn id="1348" xr3:uid="{42F19F62-3FD8-4FC0-A545-47AEF2E3E89D}" name="Column1317"/>
    <tableColumn id="1349" xr3:uid="{A31D907E-0DE1-4A3D-83F6-61BCF0F2A45B}" name="Column1318"/>
    <tableColumn id="1350" xr3:uid="{A470610B-246B-4485-9EDC-79C607F1FDCD}" name="Column1319"/>
    <tableColumn id="1351" xr3:uid="{FD411F98-93CC-4131-9091-4B57201DC433}" name="Column1320"/>
    <tableColumn id="1352" xr3:uid="{51EB9D10-66B9-40C7-9E17-F49AF1B00455}" name="Column1321"/>
    <tableColumn id="1353" xr3:uid="{D35BA41C-EBAE-4AB9-B133-E09B9914B5B5}" name="Column1322"/>
    <tableColumn id="1354" xr3:uid="{7C9281F8-3622-45FA-8888-222D730BCB38}" name="Column1323"/>
    <tableColumn id="1355" xr3:uid="{F4F3DE8C-FB55-4D3D-A47E-2AB9ED7678E9}" name="Column1324"/>
    <tableColumn id="1356" xr3:uid="{E219D9D2-4A31-4B02-8EA3-61827E0BED51}" name="Column1325"/>
    <tableColumn id="1357" xr3:uid="{121C4B19-9957-478A-951C-44E29BAC03DF}" name="Column1326"/>
    <tableColumn id="1358" xr3:uid="{9AB42383-5E25-487F-B115-131758C60ECE}" name="Column1327"/>
    <tableColumn id="1359" xr3:uid="{A1D23C7E-5557-428C-9191-153480AB9B07}" name="Column1328"/>
    <tableColumn id="1360" xr3:uid="{5054DE69-5F07-49C6-8064-8D18A1466B5C}" name="Column1329"/>
    <tableColumn id="1361" xr3:uid="{088CA3CE-68B2-4E0B-8BA8-2EFDDC49FB44}" name="Column1330"/>
    <tableColumn id="1362" xr3:uid="{47801C1E-5A95-450B-96FD-2ECC04267C1D}" name="Column1331"/>
    <tableColumn id="1363" xr3:uid="{DABCE837-7B84-48C1-82C5-7C0CA5E3B370}" name="Column1332"/>
    <tableColumn id="1364" xr3:uid="{0C8EE976-3E7D-4351-A7BA-763E9C06244B}" name="Column1333"/>
    <tableColumn id="1365" xr3:uid="{7C5FDF9E-E54D-468D-9ABE-562C24D1950E}" name="Column1334"/>
    <tableColumn id="1366" xr3:uid="{7D537DAB-B949-41EE-B291-C8B70DF75CD9}" name="Column1335"/>
    <tableColumn id="1367" xr3:uid="{0BD3346B-204D-40CC-8FEE-C37DF60598B3}" name="Column1336"/>
    <tableColumn id="1368" xr3:uid="{BB7CDD33-0702-4D6D-9B5D-4408CBAB72C5}" name="Column1337"/>
    <tableColumn id="1369" xr3:uid="{905D8721-F5BE-4FC2-81B7-740764BEBB47}" name="Column1338"/>
    <tableColumn id="1370" xr3:uid="{69DDB3E2-5C0B-43B8-A706-A4DD5555D9D2}" name="Column1339"/>
    <tableColumn id="1371" xr3:uid="{0F4F6C58-9F09-4A84-B017-C2182707A8B3}" name="Column1340"/>
    <tableColumn id="1372" xr3:uid="{DCEA04F0-5352-40E3-8916-DE416C412E3B}" name="Column1341"/>
    <tableColumn id="1373" xr3:uid="{186E5FCE-4868-4941-A8DF-2F5B66A64B0C}" name="Column1342"/>
    <tableColumn id="1374" xr3:uid="{72EC5A53-AF10-41B3-8B4F-D2D8159334F3}" name="Column1343"/>
    <tableColumn id="1375" xr3:uid="{D504ABE1-B16C-4A0C-9AD1-9AA6289C0CF3}" name="Column1344"/>
    <tableColumn id="1376" xr3:uid="{70C261A1-2D55-4DF1-9BEC-AF84248CEBC8}" name="Column1345"/>
    <tableColumn id="1377" xr3:uid="{08ECB1AB-548B-482A-AD27-60749C8D9E00}" name="Column1346"/>
    <tableColumn id="1378" xr3:uid="{EC3887DF-D23D-46E1-84AC-C3C4D6063F29}" name="Column1347"/>
    <tableColumn id="1379" xr3:uid="{607EDEA3-7EE6-488B-8260-0B49A0102EE0}" name="Column1348"/>
    <tableColumn id="1380" xr3:uid="{CF34CABE-1B53-42C6-950B-DC571D31DCF1}" name="Column1349"/>
    <tableColumn id="1381" xr3:uid="{EB4D94C7-26E6-43C1-A6A7-BE809D93FEBA}" name="Column1350"/>
    <tableColumn id="1382" xr3:uid="{7C249283-3DBD-4056-9DC4-805938B669BD}" name="Column1351"/>
    <tableColumn id="1383" xr3:uid="{593439CD-C9D1-4BE4-8D79-910798F2099A}" name="Column1352"/>
    <tableColumn id="1384" xr3:uid="{209F780D-7285-48B2-BF8B-B142FE8AD444}" name="Column1353"/>
    <tableColumn id="1385" xr3:uid="{04B8BFBE-FDAC-46A2-811E-0E7C65742055}" name="Column1354"/>
    <tableColumn id="1386" xr3:uid="{A96FFE5E-4D69-4883-BC74-56BDC6036F73}" name="Column1355"/>
    <tableColumn id="1387" xr3:uid="{B26693DC-6D22-4CE9-BA81-2687338A57B5}" name="Column1356"/>
    <tableColumn id="1388" xr3:uid="{890C9ACD-AD7C-463B-AF85-1A8715432016}" name="Column1357"/>
    <tableColumn id="1389" xr3:uid="{6FD535F1-22E7-4764-82EB-369F2A4B9CB9}" name="Column1358"/>
    <tableColumn id="1390" xr3:uid="{1C5D674C-9F42-4253-9CC9-3C9B02B1BBD1}" name="Column1359"/>
    <tableColumn id="1391" xr3:uid="{294FFE3F-F2E8-4D9F-8928-39442E189536}" name="Column1360"/>
    <tableColumn id="1392" xr3:uid="{4B3DCE94-5264-4503-B24B-73AB7B6E6056}" name="Column1361"/>
    <tableColumn id="1393" xr3:uid="{CEC18B3C-7EA8-45DB-97B3-CD4C92713139}" name="Column1362"/>
    <tableColumn id="1394" xr3:uid="{62EC247C-2221-482E-8E2E-F7D03F81B776}" name="Column1363"/>
    <tableColumn id="1395" xr3:uid="{CC2BBF7F-9F91-468B-8A82-C31C5645EAE0}" name="Column1364"/>
    <tableColumn id="1396" xr3:uid="{BDB2B84B-C5F5-4495-A814-E2A2B2154733}" name="Column1365"/>
    <tableColumn id="1397" xr3:uid="{9587690B-E1E5-432B-AF69-D668EEFAE0F9}" name="Column1366"/>
    <tableColumn id="1398" xr3:uid="{CFE85F02-7392-415B-88E3-F2D6DFE4D562}" name="Column1367"/>
    <tableColumn id="1399" xr3:uid="{E33DD67C-B26C-4E8C-892B-F9461DAD2DF0}" name="Column1368"/>
    <tableColumn id="1400" xr3:uid="{A232ECE3-DEB3-4CD8-93EC-E9E106733487}" name="Column1369"/>
    <tableColumn id="1401" xr3:uid="{24F232C2-8498-4499-BE97-66AFCDB81CF3}" name="Column1370"/>
    <tableColumn id="1402" xr3:uid="{574B4475-32D0-46E5-9741-DC6FD388F3CC}" name="Column1371"/>
    <tableColumn id="1403" xr3:uid="{F9795AF1-B213-4D4C-BD49-49EF2A52B2BF}" name="Column1372"/>
    <tableColumn id="1404" xr3:uid="{D27993C1-2827-4CEB-B824-F41C84FD3316}" name="Column1373"/>
    <tableColumn id="1405" xr3:uid="{ED61C2D4-6E46-44DF-9642-591FFC700826}" name="Column1374"/>
    <tableColumn id="1406" xr3:uid="{1F233864-2B2D-46DE-BF56-A6BB410DC804}" name="Column1375"/>
    <tableColumn id="1407" xr3:uid="{6BBCDCBD-F33A-48A2-B893-2F1AC36AB0A5}" name="Column1376"/>
    <tableColumn id="1408" xr3:uid="{2AC7A1B8-AE62-4966-99D0-B6D80510F3C3}" name="Column1377"/>
    <tableColumn id="1409" xr3:uid="{BB978D4C-0947-45C0-AEB1-CE69465EE8B0}" name="Column1378"/>
    <tableColumn id="1410" xr3:uid="{B9257597-12B7-4ADA-A3A2-0574E4DB4EBD}" name="Column1379"/>
    <tableColumn id="1411" xr3:uid="{E38FA868-53B3-4842-BCC7-07E2F4BC724D}" name="Column1380"/>
    <tableColumn id="1412" xr3:uid="{D823D33E-A937-4A0D-A63E-60CF40818959}" name="Column1381"/>
    <tableColumn id="1413" xr3:uid="{50464620-82E2-4190-AFD6-CA3EDBA8E449}" name="Column1382"/>
    <tableColumn id="1414" xr3:uid="{6AA774D0-89F7-40C1-B127-2B65A07D1CCF}" name="Column1383"/>
    <tableColumn id="1415" xr3:uid="{3C4D62B9-6E35-4FFB-807F-2A2CE568B69E}" name="Column1384"/>
    <tableColumn id="1416" xr3:uid="{50D9A846-571E-41AC-98F0-450117181DD9}" name="Column1385"/>
    <tableColumn id="1417" xr3:uid="{FFEC23D8-13A4-415F-A820-D50AE2DE85B0}" name="Column1386"/>
    <tableColumn id="1418" xr3:uid="{0BBCBAF6-BF1F-43EE-8C53-CE32DEFBEE83}" name="Column1387"/>
    <tableColumn id="1419" xr3:uid="{060C7DFE-5710-49E9-AECE-49FAEAACDFE3}" name="Column1388"/>
    <tableColumn id="1420" xr3:uid="{1A765E83-C002-4249-9AA6-18B36E396001}" name="Column1389"/>
    <tableColumn id="1421" xr3:uid="{C883F05F-3BCE-4A9A-867A-C796D2606396}" name="Column1390"/>
    <tableColumn id="1422" xr3:uid="{742BF135-DC6A-4944-A06B-B80429CEEBC6}" name="Column1391"/>
    <tableColumn id="1423" xr3:uid="{21858106-D6EA-48F3-8774-DEB6C7BF2148}" name="Column1392"/>
    <tableColumn id="1424" xr3:uid="{F4151C36-4502-4745-BA9B-8144F29A8A29}" name="Column1393"/>
    <tableColumn id="1425" xr3:uid="{66FF378E-5A9E-4100-982E-E4C0046E2487}" name="Column1394"/>
    <tableColumn id="1426" xr3:uid="{0421467A-613E-4966-9207-31F51A4D0273}" name="Column1395"/>
    <tableColumn id="1427" xr3:uid="{316E0AD2-5A93-4971-8A0B-5915D2FDCE84}" name="Column1396"/>
    <tableColumn id="1428" xr3:uid="{1621DBEF-6845-4339-BBE7-8CDA629F57E8}" name="Column1397"/>
    <tableColumn id="1429" xr3:uid="{52FC5872-4195-4C25-BC56-A33C4010A957}" name="Column1398"/>
    <tableColumn id="1430" xr3:uid="{FA416F9D-5925-44EB-8B67-2339D5D3869B}" name="Column1399"/>
    <tableColumn id="1431" xr3:uid="{FB710ECA-859B-4E49-A088-14C77A1E45B3}" name="Column1400"/>
    <tableColumn id="1432" xr3:uid="{9171A395-8877-4C12-8C5A-286F24B0AB2B}" name="Column1401"/>
    <tableColumn id="1433" xr3:uid="{82D1755E-952E-4999-808D-144BA1746B29}" name="Column1402"/>
    <tableColumn id="1434" xr3:uid="{1622A08C-D2D9-4377-BA37-642BF24CD0B8}" name="Column1403"/>
    <tableColumn id="1435" xr3:uid="{8D763105-DEFD-403D-AAF8-5CD999DD734F}" name="Column1404"/>
    <tableColumn id="1436" xr3:uid="{9B5B1270-39CE-4422-B93B-E39BD9D50554}" name="Column1405"/>
    <tableColumn id="1437" xr3:uid="{606AB93D-BB15-46AC-B746-762DC01307E8}" name="Column1406"/>
    <tableColumn id="1438" xr3:uid="{0AED2243-D4C9-451E-ABF0-658B528475E5}" name="Column1407"/>
    <tableColumn id="1439" xr3:uid="{A8064406-8AA1-4EF9-9646-6733C64D19CD}" name="Column1408"/>
    <tableColumn id="1440" xr3:uid="{37F05C15-CB09-44AD-AB15-8312E8952795}" name="Column1409"/>
    <tableColumn id="1441" xr3:uid="{170D38B0-4FC2-4BFA-8579-81C51F6C6858}" name="Column1410"/>
    <tableColumn id="1442" xr3:uid="{E97BC978-46CD-41DD-A616-B7FB0090715B}" name="Column1411"/>
    <tableColumn id="1443" xr3:uid="{1E340E7F-1A0F-4BC9-A776-EBB46392C11D}" name="Column1412"/>
    <tableColumn id="1444" xr3:uid="{34894F75-FD1D-4A2C-8EE4-DA13BC90EFD9}" name="Column1413"/>
    <tableColumn id="1445" xr3:uid="{F31B7ED4-4091-4068-A700-F8F761BFA730}" name="Column1414"/>
    <tableColumn id="1446" xr3:uid="{A84398FC-2840-4399-9C4A-B943D9392A89}" name="Column1415"/>
    <tableColumn id="1447" xr3:uid="{8FD24D1F-BF33-450D-8517-ED21773D2256}" name="Column1416"/>
    <tableColumn id="1448" xr3:uid="{BA7EFBFB-ED37-4303-9F31-5CC701E1C251}" name="Column1417"/>
    <tableColumn id="1449" xr3:uid="{8E9348F9-93F9-4336-A9AF-65675A415658}" name="Column1418"/>
    <tableColumn id="1450" xr3:uid="{B6A8DF91-234F-451A-879E-21115410D692}" name="Column1419"/>
    <tableColumn id="1451" xr3:uid="{138EF0E3-16FD-4511-A10F-87831DF4527E}" name="Column1420"/>
    <tableColumn id="1452" xr3:uid="{F0088A4E-0154-4C7D-9612-6C43862A6A87}" name="Column1421"/>
    <tableColumn id="1453" xr3:uid="{DCB01409-0FCB-4A36-8944-34F5F1BD1502}" name="Column1422"/>
    <tableColumn id="1454" xr3:uid="{D6D7D8C3-0505-4663-9236-D46149636E91}" name="Column1423"/>
    <tableColumn id="1455" xr3:uid="{9A8EF9ED-4EEA-43F9-A213-8EB6C9196968}" name="Column1424"/>
    <tableColumn id="1456" xr3:uid="{4DB73879-4003-4CFB-A2FE-10A7107DC972}" name="Column1425"/>
    <tableColumn id="1457" xr3:uid="{83D93F8D-8BA0-4CA0-BA15-D35DBAB94931}" name="Column1426"/>
    <tableColumn id="1458" xr3:uid="{BB8FBAD3-FB20-4D91-B520-05C0FC5340DF}" name="Column1427"/>
    <tableColumn id="1459" xr3:uid="{AF452555-778E-4B61-B664-C9AE750A6032}" name="Column1428"/>
    <tableColumn id="1460" xr3:uid="{DEF40810-7D94-4616-A2F7-2628477784F8}" name="Column1429"/>
    <tableColumn id="1461" xr3:uid="{0D6FC123-283A-4D3F-AD3D-F58C2DBFD51D}" name="Column1430"/>
    <tableColumn id="1462" xr3:uid="{468579A1-DE71-4630-BAF9-9C57C248644F}" name="Column1431"/>
    <tableColumn id="1463" xr3:uid="{AD393EBB-F78F-40AC-A954-DC38CED8A5C4}" name="Column1432"/>
    <tableColumn id="1464" xr3:uid="{807B8577-B8B4-40B7-8F06-A572EF41C6B0}" name="Column1433"/>
    <tableColumn id="1465" xr3:uid="{77C318A5-7146-4204-86A9-EAAD241AD337}" name="Column1434"/>
    <tableColumn id="1466" xr3:uid="{20F3F3B8-705C-4D19-8327-1CB0FC9B04F8}" name="Column1435"/>
    <tableColumn id="1467" xr3:uid="{F13881F4-BB48-493D-985F-D0DBEB00BA37}" name="Column1436"/>
    <tableColumn id="1468" xr3:uid="{B65EBF48-C8D1-4032-9744-DC86A09289B2}" name="Column1437"/>
    <tableColumn id="1469" xr3:uid="{B5DC0D80-830F-4396-A363-0CBEA77F65AD}" name="Column1438"/>
    <tableColumn id="1470" xr3:uid="{FA803C3E-C395-4101-B9E6-FD14AECA3DFE}" name="Column1439"/>
    <tableColumn id="1471" xr3:uid="{8D3E4694-8838-41C9-A75A-D88B88D7377D}" name="Column1440"/>
    <tableColumn id="1472" xr3:uid="{4D2E6EB5-8354-46D8-BC04-24E7DDEBB999}" name="Column1441"/>
    <tableColumn id="1473" xr3:uid="{28B6404E-5412-4E96-A047-BE5771BEE410}" name="Column1442"/>
    <tableColumn id="1474" xr3:uid="{AF740F98-CB38-49B2-9A1F-8B6FAA90254E}" name="Column1443"/>
    <tableColumn id="1475" xr3:uid="{D1AE3184-893C-463D-8C66-BA35CEADA96F}" name="Column1444"/>
    <tableColumn id="1476" xr3:uid="{72FD92B0-5357-4FFB-9C22-1D90BAE7F4B8}" name="Column1445"/>
    <tableColumn id="1477" xr3:uid="{AD50398D-09A4-4294-A5B4-D9C85D465175}" name="Column1446"/>
    <tableColumn id="1478" xr3:uid="{06444EFC-6493-48A5-842B-7D4F1B427029}" name="Column1447"/>
    <tableColumn id="1479" xr3:uid="{208105B1-1D08-4B05-8501-A86DF97BDFAB}" name="Column1448"/>
    <tableColumn id="1480" xr3:uid="{BA98E583-6684-4216-83CA-02D385F8B181}" name="Column1449"/>
    <tableColumn id="1481" xr3:uid="{468CFE40-C7AB-41F4-93BA-0192CBBBCED3}" name="Column1450"/>
    <tableColumn id="1482" xr3:uid="{FF883092-0A9A-46A0-BC08-068B8A5330F0}" name="Column1451"/>
    <tableColumn id="1483" xr3:uid="{FBA91CF6-1AF8-4EA5-BAB6-995976C86070}" name="Column1452"/>
    <tableColumn id="1484" xr3:uid="{9834097E-C197-47D6-AA82-8983CB9FEC95}" name="Column1453"/>
    <tableColumn id="1485" xr3:uid="{0CBDCA6A-FF9E-497F-8AB2-5BCA4EEE2E02}" name="Column1454"/>
    <tableColumn id="1486" xr3:uid="{95D0C918-B178-416A-AE35-667E096FA910}" name="Column1455"/>
    <tableColumn id="1487" xr3:uid="{1659F598-8439-452C-8369-C96C3ECE8A89}" name="Column1456"/>
    <tableColumn id="1488" xr3:uid="{B2EA7D80-A99B-4B1A-B5E0-AD504EA80601}" name="Column1457"/>
    <tableColumn id="1489" xr3:uid="{95F223D8-510D-4309-BAF2-3D26A9A6402D}" name="Column1458"/>
    <tableColumn id="1490" xr3:uid="{BF8DE913-9AF3-42C6-AA20-C8289453F92D}" name="Column1459"/>
    <tableColumn id="1491" xr3:uid="{37CC209F-9EAB-40E5-8591-0899CB98C1A4}" name="Column1460"/>
    <tableColumn id="1492" xr3:uid="{5FD33869-6B65-4AC6-A18B-DB87F2DEBE51}" name="Column1461"/>
    <tableColumn id="1493" xr3:uid="{30036C65-92E4-4AE6-BC42-8791CA607DBF}" name="Column1462"/>
    <tableColumn id="1494" xr3:uid="{F132B3D8-E90E-48DE-ADA0-8341060DB722}" name="Column1463"/>
    <tableColumn id="1495" xr3:uid="{1E718EB5-E8F8-4D9D-AA75-66541386E12A}" name="Column1464"/>
    <tableColumn id="1496" xr3:uid="{391FC35D-14E1-4AC0-901A-0A2B2FB6D488}" name="Column1465"/>
    <tableColumn id="1497" xr3:uid="{5B80FFC4-7ADB-4E54-BF28-9AC3045DC6BF}" name="Column1466"/>
    <tableColumn id="1498" xr3:uid="{A2DC6D7A-4487-4513-A714-A8DFFE9F422A}" name="Column1467"/>
    <tableColumn id="1499" xr3:uid="{0114B1BC-C63D-4FE0-BF42-B467D1CCCD7E}" name="Column1468"/>
    <tableColumn id="1500" xr3:uid="{0796406C-F3FB-4F31-817F-D40F9E79387C}" name="Column1469"/>
    <tableColumn id="1501" xr3:uid="{7948CB43-98C6-4B9B-9569-7AD39FF43F45}" name="Column1470"/>
    <tableColumn id="1502" xr3:uid="{473A7724-784B-4E27-ADE8-75C66E962E94}" name="Column1471"/>
    <tableColumn id="1503" xr3:uid="{8BB1B592-7F14-4F72-A03C-0DA29BB52936}" name="Column1472"/>
    <tableColumn id="1504" xr3:uid="{6A840B95-52D3-4066-98A8-7F4594802CE4}" name="Column1473"/>
    <tableColumn id="1505" xr3:uid="{FC535941-04B1-47D8-8E12-400303AE532E}" name="Column1474"/>
    <tableColumn id="1506" xr3:uid="{1D14EF5A-AB66-475D-9394-8448B31B5BDB}" name="Column1475"/>
    <tableColumn id="1507" xr3:uid="{CB973402-BDC2-4C45-ABBD-54C141A5D8F3}" name="Column1476"/>
    <tableColumn id="1508" xr3:uid="{793AA58B-8918-44F1-B54B-9626000D5F56}" name="Column1477"/>
    <tableColumn id="1509" xr3:uid="{56BC3F99-A9B7-4B64-8F55-A90219B70BDC}" name="Column1478"/>
    <tableColumn id="1510" xr3:uid="{EB4D6912-9BEC-47D8-BFD9-8D6B426576CA}" name="Column1479"/>
    <tableColumn id="1511" xr3:uid="{450DBBF6-C4F4-49AB-8C0F-42C42151D7A5}" name="Column1480"/>
    <tableColumn id="1512" xr3:uid="{D311D36D-B95D-4C7B-85E7-80CBB6BF2E5C}" name="Column1481"/>
    <tableColumn id="1513" xr3:uid="{10B0ABEE-C8F8-40F2-BFB5-6A2076FD4374}" name="Column1482"/>
    <tableColumn id="1514" xr3:uid="{5FA86480-098D-4C14-A3B5-E3B6CC032DA9}" name="Column1483"/>
    <tableColumn id="1515" xr3:uid="{29E5480A-9272-41BE-9594-23A34553CAE4}" name="Column1484"/>
    <tableColumn id="1516" xr3:uid="{88CBBB5F-7A9E-4778-934D-9443CFE861E2}" name="Column1485"/>
    <tableColumn id="1517" xr3:uid="{41794A3E-0028-4CD9-9A3F-A8B9C65A9F72}" name="Column1486"/>
    <tableColumn id="1518" xr3:uid="{A2781422-614E-41A6-B2A3-FE0179883483}" name="Column1487"/>
    <tableColumn id="1519" xr3:uid="{C961AB19-0F15-4109-B69F-248C08ABA141}" name="Column1488"/>
    <tableColumn id="1520" xr3:uid="{DF5BFF29-1D39-46C0-AD6F-117CDED96C46}" name="Column1489"/>
    <tableColumn id="1521" xr3:uid="{B1DDF52D-9440-4026-84EF-15ACF2597C04}" name="Column1490"/>
    <tableColumn id="1522" xr3:uid="{33F89CE1-48EE-4B1C-9604-422AB38B132F}" name="Column1491"/>
    <tableColumn id="1523" xr3:uid="{18F3DE63-0040-4429-8D0A-15C92F1BF433}" name="Column1492"/>
    <tableColumn id="1524" xr3:uid="{CE846279-31A9-424B-AF90-610F1883EB72}" name="Column1493"/>
    <tableColumn id="1525" xr3:uid="{F2A52FD4-A6F9-4536-BEB2-A60B0D0363C5}" name="Column1494"/>
    <tableColumn id="1526" xr3:uid="{98A2913E-D542-4D4A-803E-C82B989785D6}" name="Column1495"/>
    <tableColumn id="1527" xr3:uid="{0FE80E99-9C27-4691-B934-D7E1446DC9E8}" name="Column1496"/>
    <tableColumn id="1528" xr3:uid="{174F819C-0650-42FC-B725-527148AB5558}" name="Column1497"/>
    <tableColumn id="1529" xr3:uid="{ED7304EE-DC64-472F-86FA-F77938231C7B}" name="Column1498"/>
    <tableColumn id="1530" xr3:uid="{8C406CEC-7167-4929-899F-A54C81E8FA38}" name="Column1499"/>
    <tableColumn id="1531" xr3:uid="{901AB3F3-457E-4473-BCC4-C2F722027591}" name="Column1500"/>
    <tableColumn id="1532" xr3:uid="{9B327756-B545-4E81-8558-9D3732B467CA}" name="Column1501"/>
    <tableColumn id="1533" xr3:uid="{787AA57A-296D-410E-B791-108E9078E0A3}" name="Column1502"/>
    <tableColumn id="1534" xr3:uid="{3F9FDE88-0305-4347-8450-E62FEF5DE042}" name="Column1503"/>
    <tableColumn id="1535" xr3:uid="{F33C5403-6118-4403-BB6F-01FA5E9132EA}" name="Column1504"/>
    <tableColumn id="1536" xr3:uid="{CBAD80EE-8F34-4E41-853C-95F6E64E4B44}" name="Column1505"/>
    <tableColumn id="1537" xr3:uid="{20522EF7-34E0-4478-AD8E-C382AF75E2E5}" name="Column1506"/>
    <tableColumn id="1538" xr3:uid="{6A4C07A8-F5BA-4A19-8459-824B3BF7D523}" name="Column1507"/>
    <tableColumn id="1539" xr3:uid="{0795209E-7D9A-433A-8217-092C6B4AF72D}" name="Column1508"/>
    <tableColumn id="1540" xr3:uid="{9E1C7EB3-7900-426E-B48F-2277B23F1C57}" name="Column1509"/>
    <tableColumn id="1541" xr3:uid="{2C24E1B0-1B96-42A7-927E-9A5DA592E2DE}" name="Column1510"/>
    <tableColumn id="1542" xr3:uid="{742712C8-7EB9-497C-B850-E30109C8F892}" name="Column1511"/>
    <tableColumn id="1543" xr3:uid="{B26419C6-6335-403B-84A2-3BEAB852B363}" name="Column1512"/>
    <tableColumn id="1544" xr3:uid="{B30C972F-F9C4-45C3-93B0-594210F00E50}" name="Column1513"/>
    <tableColumn id="1545" xr3:uid="{5EBBEA15-A9D2-48C9-A0FA-1A4175A09B72}" name="Column1514"/>
    <tableColumn id="1546" xr3:uid="{9B72EAD6-4BCC-4CA0-B01F-CA1051121C95}" name="Column1515"/>
    <tableColumn id="1547" xr3:uid="{207CB3BC-3F72-4D74-97E3-13D29D4B509A}" name="Column1516"/>
    <tableColumn id="1548" xr3:uid="{97427422-F52B-4BC9-9C33-51FA4CD7BE88}" name="Column1517"/>
    <tableColumn id="1549" xr3:uid="{B8AF7FC4-77BB-4F0A-B9C8-E1950C0C5710}" name="Column1518"/>
    <tableColumn id="1550" xr3:uid="{1AFD26C3-364D-4CF5-BC68-2CBCF4314F1E}" name="Column1519"/>
    <tableColumn id="1551" xr3:uid="{5C83E379-C28A-440E-BB76-5116A0CE8EEA}" name="Column1520"/>
    <tableColumn id="1552" xr3:uid="{72D3D829-9EF1-4074-8BBB-1C76C091DE54}" name="Column1521"/>
    <tableColumn id="1553" xr3:uid="{57417015-B223-4333-B67E-6B243B1EB84A}" name="Column1522"/>
    <tableColumn id="1554" xr3:uid="{1550A76E-1F41-4EF0-B7C6-84D1423D6007}" name="Column1523"/>
    <tableColumn id="1555" xr3:uid="{0E9F6C19-2D03-4C40-B3C2-4C7D2E968BFA}" name="Column1524"/>
    <tableColumn id="1556" xr3:uid="{52B41AE6-6B21-406D-8D02-F57846B11B8F}" name="Column1525"/>
    <tableColumn id="1557" xr3:uid="{07CEACD3-6E85-49D7-8BD7-7B3E6DC12462}" name="Column1526"/>
    <tableColumn id="1558" xr3:uid="{C6EB9A89-9BC1-431B-8EA6-95F6C43D7431}" name="Column1527"/>
    <tableColumn id="1559" xr3:uid="{4F5C9964-2AB9-4C09-AB71-C6D503AED269}" name="Column1528"/>
    <tableColumn id="1560" xr3:uid="{0C85E693-B868-4E45-B0F9-90F030F60AB1}" name="Column1529"/>
    <tableColumn id="1561" xr3:uid="{C1E04E55-1AD5-46F3-B6DF-ED0A0A4E1C7D}" name="Column1530"/>
    <tableColumn id="1562" xr3:uid="{11443128-BE68-4915-B666-54409AB8BF17}" name="Column1531"/>
    <tableColumn id="1563" xr3:uid="{056538E8-5270-4491-86E1-A581303DEB84}" name="Column1532"/>
    <tableColumn id="1564" xr3:uid="{56FB5670-9419-4280-9242-FD8D6E7FFFFF}" name="Column1533"/>
    <tableColumn id="1565" xr3:uid="{81DDF886-F88C-4746-B330-58A3FC46650C}" name="Column1534"/>
    <tableColumn id="1566" xr3:uid="{4EF3D147-DFB2-4DB5-A6B0-FDEBB763C395}" name="Column1535"/>
    <tableColumn id="1567" xr3:uid="{C40CE9DC-660A-411E-9DF0-599CA4503FD1}" name="Column1536"/>
    <tableColumn id="1568" xr3:uid="{DCB57211-B31B-46A0-90B1-4DA68BDE3583}" name="Column1537"/>
    <tableColumn id="1569" xr3:uid="{CF865908-17BE-467F-9272-30CC7315BB26}" name="Column1538"/>
    <tableColumn id="1570" xr3:uid="{1F12EF7D-AF3B-4496-90B7-D75EE60DCDB3}" name="Column1539"/>
    <tableColumn id="1571" xr3:uid="{898DF1EF-131F-464B-9801-CAC715DA0416}" name="Column1540"/>
    <tableColumn id="1572" xr3:uid="{F07376FF-E393-4E92-ADF0-4DE867C99F7E}" name="Column1541"/>
    <tableColumn id="1573" xr3:uid="{102D284D-DE71-48C0-AFFE-B3D2789DD23D}" name="Column1542"/>
    <tableColumn id="1574" xr3:uid="{9EAD7056-B86E-4EE7-BA50-DF605BC4E06E}" name="Column1543"/>
    <tableColumn id="1575" xr3:uid="{B4AC8860-2A28-45AB-A76C-91A8C55E86C5}" name="Column1544"/>
    <tableColumn id="1576" xr3:uid="{DADAC5D4-1E9B-49E4-975D-4066EDE699B6}" name="Column1545"/>
    <tableColumn id="1577" xr3:uid="{C23C766E-3B29-4F8E-8282-11B7A9F33434}" name="Column1546"/>
    <tableColumn id="1578" xr3:uid="{362B84C7-84A7-42E8-8968-DD8CC10C1452}" name="Column1547"/>
    <tableColumn id="1579" xr3:uid="{E23D0424-3B2E-4C10-A734-1621ECDD65E8}" name="Column1548"/>
    <tableColumn id="1580" xr3:uid="{EF5A8DAC-E241-40F3-AD5D-7DEBD67F533D}" name="Column1549"/>
    <tableColumn id="1581" xr3:uid="{FB1864EF-EA37-45EE-AB56-DC4983A0E7BB}" name="Column1550"/>
    <tableColumn id="1582" xr3:uid="{63D3A20A-64A0-40B8-95F9-5FDF2B2FF289}" name="Column1551"/>
    <tableColumn id="1583" xr3:uid="{D7C673D3-6621-41EF-B32C-D93619659C16}" name="Column1552"/>
    <tableColumn id="1584" xr3:uid="{89BCA7C4-7F0A-43B0-A47B-4FD026C5AC4D}" name="Column1553"/>
    <tableColumn id="1585" xr3:uid="{41394E44-E178-4AC3-9604-AD9A5B8EE916}" name="Column1554"/>
    <tableColumn id="1586" xr3:uid="{BCDDE265-3DBA-4B6E-A480-E2F6FD2278B2}" name="Column1555"/>
    <tableColumn id="1587" xr3:uid="{A897611C-418E-4BFB-B442-83C7DA7AF5A2}" name="Column1556"/>
    <tableColumn id="1588" xr3:uid="{102543FC-BA04-4B4E-A65A-9B6253F80D0F}" name="Column1557"/>
    <tableColumn id="1589" xr3:uid="{6BF20D87-9072-4662-BD11-8758C5FE56A5}" name="Column1558"/>
    <tableColumn id="1590" xr3:uid="{22D038D3-B183-4AD6-A2F9-1432F943737F}" name="Column1559"/>
    <tableColumn id="1591" xr3:uid="{54C05ED1-2EB2-4566-9898-8C24DC500D11}" name="Column1560"/>
    <tableColumn id="1592" xr3:uid="{B1DA207A-B235-45E0-8F6C-12858CD828D8}" name="Column1561"/>
    <tableColumn id="1593" xr3:uid="{53FC5B75-5E3B-47B0-A166-7157B8222078}" name="Column1562"/>
    <tableColumn id="1594" xr3:uid="{B5272E77-129B-4729-BAB2-16660CBE101E}" name="Column1563"/>
    <tableColumn id="1595" xr3:uid="{75F01ED4-4DAC-4532-8983-1A516E82A0CE}" name="Column1564"/>
    <tableColumn id="1596" xr3:uid="{2DD968DA-2211-4535-AA5E-424F4F75284F}" name="Column1565"/>
    <tableColumn id="1597" xr3:uid="{9674F028-2C98-405B-A591-B32D1E64E21A}" name="Column1566"/>
    <tableColumn id="1598" xr3:uid="{B3971309-A8C8-4CD7-9527-61656782F4F8}" name="Column1567"/>
    <tableColumn id="1599" xr3:uid="{13227414-A70D-4ECD-B045-829F19522D64}" name="Column1568"/>
    <tableColumn id="1600" xr3:uid="{BF14F198-B6CA-419A-8462-300182FCB256}" name="Column1569"/>
    <tableColumn id="1601" xr3:uid="{8F5927F9-92BC-439C-B2BA-97165E2CD025}" name="Column1570"/>
    <tableColumn id="1602" xr3:uid="{18793A6C-E3A6-412C-8FD1-7E6CEA530428}" name="Column1571"/>
    <tableColumn id="1603" xr3:uid="{857BDDE7-96FA-4D1A-8096-9F9D9B39FEBD}" name="Column1572"/>
    <tableColumn id="1604" xr3:uid="{7EBF4918-A4E7-42CC-B7B9-2BFC6F0299E9}" name="Column1573"/>
    <tableColumn id="1605" xr3:uid="{73947008-069D-401A-9B32-66F98F3BDD4D}" name="Column1574"/>
    <tableColumn id="1606" xr3:uid="{31DF87CC-F09F-4423-9297-811B47FF5AFD}" name="Column1575"/>
    <tableColumn id="1607" xr3:uid="{9AEB3F54-7176-4660-BAF1-DE2C5D9DD761}" name="Column1576"/>
    <tableColumn id="1608" xr3:uid="{5A5612BE-8EFD-44AA-B918-02B9B9D8D889}" name="Column1577"/>
    <tableColumn id="1609" xr3:uid="{E13F2040-0F9A-410A-97C4-0B40C2FBF472}" name="Column1578"/>
    <tableColumn id="1610" xr3:uid="{4F5D8F92-B160-4588-AE01-3AA287C19834}" name="Column1579"/>
    <tableColumn id="1611" xr3:uid="{8FF8A884-B716-41B8-BE59-179E9B5667D0}" name="Column1580"/>
    <tableColumn id="1612" xr3:uid="{86E799DF-BCB7-49C9-864B-29FAF1738285}" name="Column1581"/>
    <tableColumn id="1613" xr3:uid="{78D28D54-52AE-471E-94DA-CE60DFAC9E48}" name="Column1582"/>
    <tableColumn id="1614" xr3:uid="{B9AA8F95-94B7-40E6-97A5-8E70C5461407}" name="Column1583"/>
    <tableColumn id="1615" xr3:uid="{F9AB4E0E-5485-4C9C-9FFF-EAD042B07DC4}" name="Column1584"/>
    <tableColumn id="1616" xr3:uid="{9D438FE1-D341-408B-B207-E0049D78CF27}" name="Column1585"/>
    <tableColumn id="1617" xr3:uid="{7BE80315-E06F-405E-9E81-7F9C283D1B57}" name="Column1586"/>
    <tableColumn id="1618" xr3:uid="{7FA5D6E5-29B4-4C27-9CFF-C0B3EA7633AD}" name="Column1587"/>
    <tableColumn id="1619" xr3:uid="{FC75AA42-238D-40AD-8F61-02B8915B81A0}" name="Column1588"/>
    <tableColumn id="1620" xr3:uid="{270FD58E-3A77-4BF4-9646-CA611A320844}" name="Column1589"/>
    <tableColumn id="1621" xr3:uid="{13A3D606-31E0-490F-ADE1-48451BC9902A}" name="Column1590"/>
    <tableColumn id="1622" xr3:uid="{E7DDDF18-8BE2-454B-99F3-10BA77194420}" name="Column1591"/>
    <tableColumn id="1623" xr3:uid="{6DD18C26-10AF-4C32-A326-92FB261A2EAF}" name="Column1592"/>
    <tableColumn id="1624" xr3:uid="{2D6DF721-B4A6-47F5-BDB3-1FEFA0998464}" name="Column1593"/>
    <tableColumn id="1625" xr3:uid="{BDE79914-C482-4FBD-9E7B-4B09DF2FF49F}" name="Column1594"/>
    <tableColumn id="1626" xr3:uid="{D2A7754D-2F54-4689-B6BF-3A7CAFA15A89}" name="Column1595"/>
    <tableColumn id="1627" xr3:uid="{16A93145-488E-4964-9E08-631D9FDEFBF4}" name="Column1596"/>
    <tableColumn id="1628" xr3:uid="{F76E47D3-C311-4036-85EE-A145E36726A4}" name="Column1597"/>
    <tableColumn id="1629" xr3:uid="{AD7549EB-08B6-4387-8A00-C02523486336}" name="Column1598"/>
    <tableColumn id="1630" xr3:uid="{FB01780C-FA25-4883-9B8A-276DDE80B628}" name="Column1599"/>
    <tableColumn id="1631" xr3:uid="{886BD60F-A662-46C7-AAE8-610F4F7CF85B}" name="Column1600"/>
    <tableColumn id="1632" xr3:uid="{5B5DEA77-1AD8-454B-8527-0EC7CB01F301}" name="Column1601"/>
    <tableColumn id="1633" xr3:uid="{F0196E19-9F2E-4C1C-AA6B-C525F90B36EA}" name="Column1602"/>
    <tableColumn id="1634" xr3:uid="{4ADFA648-8036-4913-88B1-A639DAC8C47C}" name="Column1603"/>
    <tableColumn id="1635" xr3:uid="{5B7B19B0-555C-471B-A4EB-D854C5479A91}" name="Column1604"/>
    <tableColumn id="1636" xr3:uid="{F536409B-7C07-4D0F-86B5-2F3C187440E1}" name="Column1605"/>
    <tableColumn id="1637" xr3:uid="{95228F81-45A4-4395-9C84-8B638347AD4E}" name="Column1606"/>
    <tableColumn id="1638" xr3:uid="{AF3A9CCC-BEAA-4FFF-BC32-EF353C518315}" name="Column1607"/>
    <tableColumn id="1639" xr3:uid="{F3F591D8-1B46-472C-94C4-20FDF1603624}" name="Column1608"/>
    <tableColumn id="1640" xr3:uid="{14921751-CCBF-462F-BBC3-20A9E38100B8}" name="Column1609"/>
    <tableColumn id="1641" xr3:uid="{C7A2426B-3244-4B0E-9C60-ECC4759E8E71}" name="Column1610"/>
    <tableColumn id="1642" xr3:uid="{8FBED8FD-234F-4652-A832-10FF9CFA8E10}" name="Column1611"/>
    <tableColumn id="1643" xr3:uid="{6C4B741B-304A-4CF3-9B95-7E622654F97B}" name="Column1612"/>
    <tableColumn id="1644" xr3:uid="{D4B617D0-48FB-4BED-B234-2FCBD0585FB9}" name="Column1613"/>
    <tableColumn id="1645" xr3:uid="{92ABEA21-1EFD-46F4-8861-95B5A275ED87}" name="Column1614"/>
    <tableColumn id="1646" xr3:uid="{7BA7BB2D-4BD0-490D-9BDA-58B412CB7B72}" name="Column1615"/>
    <tableColumn id="1647" xr3:uid="{2A7E19AC-4825-46D4-9E54-16AD19B2A031}" name="Column1616"/>
    <tableColumn id="1648" xr3:uid="{22C00A45-8237-40F6-9545-D862D7F92CD5}" name="Column1617"/>
    <tableColumn id="1649" xr3:uid="{B401767B-3A13-47A3-A414-23192E61341A}" name="Column1618"/>
    <tableColumn id="1650" xr3:uid="{12971537-C305-4EDD-9813-56A7A49B6956}" name="Column1619"/>
    <tableColumn id="1651" xr3:uid="{E5FF33EF-0969-4E9A-A756-48B6C4332081}" name="Column1620"/>
    <tableColumn id="1652" xr3:uid="{790FFC5C-E554-4C92-9846-96FBBEB7BE67}" name="Column1621"/>
    <tableColumn id="1653" xr3:uid="{D4BE59EC-E622-4A03-B63D-41EA13159EC1}" name="Column1622"/>
    <tableColumn id="1654" xr3:uid="{31008A60-A4AC-4189-8B30-04D204C041C7}" name="Column1623"/>
    <tableColumn id="1655" xr3:uid="{F3D64B2F-B17C-467F-B15F-518D2959B9C0}" name="Column1624"/>
    <tableColumn id="1656" xr3:uid="{E32D5A6D-A0A8-4BDF-946A-02B2B94D130D}" name="Column1625"/>
    <tableColumn id="1657" xr3:uid="{FBDB27C2-4097-4A38-92E3-2E3BC25B78E5}" name="Column1626"/>
    <tableColumn id="1658" xr3:uid="{33B5D723-601B-4D0E-A629-6B9326F73CB7}" name="Column1627"/>
    <tableColumn id="1659" xr3:uid="{20151AC7-BF5D-4C54-9C49-6D9A4B13F2D3}" name="Column1628"/>
    <tableColumn id="1660" xr3:uid="{880F6BBA-4811-4D4C-9949-B9C5B7BB84B9}" name="Column1629"/>
    <tableColumn id="1661" xr3:uid="{EE7FB1F4-17BA-4016-936D-5067B99CEE03}" name="Column1630"/>
    <tableColumn id="1662" xr3:uid="{A595DC0E-28F1-411C-A753-A18C12037EA0}" name="Column1631"/>
    <tableColumn id="1663" xr3:uid="{5406F819-FD60-4FBD-912D-517D43C44EF8}" name="Column1632"/>
    <tableColumn id="1664" xr3:uid="{24A8A969-65F9-4DCE-8877-DD9D51F191FF}" name="Column1633"/>
    <tableColumn id="1665" xr3:uid="{372009A3-CB42-43F1-8B1E-C1F2D37F9D9D}" name="Column1634"/>
    <tableColumn id="1666" xr3:uid="{89EFF16D-23D4-4744-8210-E4A8C90F6D6E}" name="Column1635"/>
    <tableColumn id="1667" xr3:uid="{735E3941-2860-4C4B-80DC-26DBDEE9378F}" name="Column1636"/>
    <tableColumn id="1668" xr3:uid="{1DADFD59-73A3-4399-8335-47871B67D9BC}" name="Column1637"/>
    <tableColumn id="1669" xr3:uid="{1015F163-2496-4D2C-A6EB-C4FE7890E680}" name="Column1638"/>
    <tableColumn id="1670" xr3:uid="{2D14688F-8668-466F-B310-6D13FEB4BCEC}" name="Column1639"/>
    <tableColumn id="1671" xr3:uid="{E4B48BA5-5D18-4724-90AD-C67E22AFBAF9}" name="Column1640"/>
    <tableColumn id="1672" xr3:uid="{70AE0C23-E2F6-4AC8-8E61-A2911331FE5C}" name="Column1641"/>
    <tableColumn id="1673" xr3:uid="{A30F999F-8C2E-4223-A160-95967A31E774}" name="Column1642"/>
    <tableColumn id="1674" xr3:uid="{BFCC9C52-EBC2-4F1D-A589-99347EA528F6}" name="Column1643"/>
    <tableColumn id="1675" xr3:uid="{2683995A-FE66-4F3C-849D-0F5A6ED3A3AD}" name="Column1644"/>
    <tableColumn id="1676" xr3:uid="{5C474877-12EB-47A2-951E-F4BBCB2978E2}" name="Column1645"/>
    <tableColumn id="1677" xr3:uid="{5BBEF064-8571-49FA-9366-B10D8D9AFAC0}" name="Column1646"/>
    <tableColumn id="1678" xr3:uid="{3EEE47BC-1E27-4127-80EA-81AA1B70AD58}" name="Column1647"/>
    <tableColumn id="1679" xr3:uid="{28950F2A-EA90-4BAF-A13F-C52473606DE6}" name="Column1648"/>
    <tableColumn id="1680" xr3:uid="{948630CF-51BA-4597-A8D0-C363784DDEF3}" name="Column1649"/>
    <tableColumn id="1681" xr3:uid="{19FF335F-C6CF-48D5-B119-42CCE7EC813E}" name="Column1650"/>
    <tableColumn id="1682" xr3:uid="{F6DABB43-D650-4B3B-95BF-C1461ACBD781}" name="Column1651"/>
    <tableColumn id="1683" xr3:uid="{FFDEA44C-7A01-478D-89FE-B81E934BA2F2}" name="Column1652"/>
    <tableColumn id="1684" xr3:uid="{52C89B05-0127-4FFB-B1CA-64EBF9F3FCF8}" name="Column1653"/>
    <tableColumn id="1685" xr3:uid="{9D9B90D3-C638-4304-B347-9189C074060C}" name="Column1654"/>
    <tableColumn id="1686" xr3:uid="{58D3E140-3B80-4087-B814-F7D0AF8F68B3}" name="Column1655"/>
    <tableColumn id="1687" xr3:uid="{773C6EE0-A051-4831-B643-7E33D35BD996}" name="Column1656"/>
    <tableColumn id="1688" xr3:uid="{B8CE15C1-A3E9-4A9E-96F5-61C3D022C52B}" name="Column1657"/>
    <tableColumn id="1689" xr3:uid="{643E1E23-2246-4BC5-8803-7C42A7B66A43}" name="Column1658"/>
    <tableColumn id="1690" xr3:uid="{F1A23571-7BAF-419B-B174-D6F1D3BCC46A}" name="Column1659"/>
    <tableColumn id="1691" xr3:uid="{A786E599-D431-4601-8CAB-E4615A64C4E4}" name="Column1660"/>
    <tableColumn id="1692" xr3:uid="{B6DD08ED-F191-4358-A7DA-39DE810BDF52}" name="Column1661"/>
    <tableColumn id="1693" xr3:uid="{8F3D6D29-7E50-46F0-913A-9EEE5B5F2F24}" name="Column1662"/>
    <tableColumn id="1694" xr3:uid="{DD51F658-55D3-4658-92F2-715359577401}" name="Column1663"/>
    <tableColumn id="1695" xr3:uid="{DE7E458C-9DBF-448F-88AD-F497C166C8FA}" name="Column1664"/>
    <tableColumn id="1696" xr3:uid="{EB92C258-8DD2-49C2-8BEB-2DE6A63B48D3}" name="Column1665"/>
    <tableColumn id="1697" xr3:uid="{F5E9DF5D-986C-4DBF-B463-FD6F37A52483}" name="Column1666"/>
    <tableColumn id="1698" xr3:uid="{A4BFDD48-1C36-4F77-9105-A23339525367}" name="Column1667"/>
    <tableColumn id="1699" xr3:uid="{AB0FFFA3-41F5-4619-B643-0319C2DE0743}" name="Column1668"/>
    <tableColumn id="1700" xr3:uid="{624F377B-10CD-4F33-99E4-5704D549A198}" name="Column1669"/>
    <tableColumn id="1701" xr3:uid="{E7F86A8E-0B2E-4D0A-9547-F7580BB3C468}" name="Column1670"/>
    <tableColumn id="1702" xr3:uid="{27644702-30B2-4474-9600-BE8B8CDA52F7}" name="Column1671"/>
    <tableColumn id="1703" xr3:uid="{EA4FE865-3ED4-4B80-8CDC-60F92EA0829C}" name="Column1672"/>
    <tableColumn id="1704" xr3:uid="{A774D12E-4CC1-4772-B5CF-8B12E868183D}" name="Column1673"/>
    <tableColumn id="1705" xr3:uid="{C05FF60D-FD7E-4DEE-9FA0-54019B63ADF2}" name="Column1674"/>
    <tableColumn id="1706" xr3:uid="{3E3C3C9E-7672-4AA9-B37D-B247F58B916E}" name="Column1675"/>
    <tableColumn id="1707" xr3:uid="{75CB427D-A35A-448B-9BCB-C4B55925D7AC}" name="Column1676"/>
    <tableColumn id="1708" xr3:uid="{7FE98283-DC9D-493B-AD37-8A1B1E969D95}" name="Column1677"/>
    <tableColumn id="1709" xr3:uid="{DE40097D-0045-4004-AE9E-326953DA2451}" name="Column1678"/>
    <tableColumn id="1710" xr3:uid="{D59851E7-2C62-4EA5-8F76-80EBB453BA9D}" name="Column1679"/>
    <tableColumn id="1711" xr3:uid="{5A5D870E-C013-4191-A29E-E47C952E613A}" name="Column1680"/>
    <tableColumn id="1712" xr3:uid="{3FDFB274-4322-4668-BCB8-332E7E5319AF}" name="Column1681"/>
    <tableColumn id="1713" xr3:uid="{D1DEA193-BD57-40E8-881A-3A338F94AB80}" name="Column1682"/>
    <tableColumn id="1714" xr3:uid="{B507D34D-5D80-417E-A961-6DE08E79618B}" name="Column1683"/>
    <tableColumn id="1715" xr3:uid="{10466DA8-85AB-4B99-8221-E64A1BBD07FF}" name="Column1684"/>
    <tableColumn id="1716" xr3:uid="{C24B2B50-6FD4-43D9-93CA-DCFEB285AAA6}" name="Column1685"/>
    <tableColumn id="1717" xr3:uid="{1D30A77D-7861-4BF3-BDC7-6F6460AF3720}" name="Column1686"/>
    <tableColumn id="1718" xr3:uid="{3BF774AB-E641-4449-A25D-7AF1D210EC26}" name="Column1687"/>
    <tableColumn id="1719" xr3:uid="{3825F1F7-63C7-4333-82B5-6711A074D552}" name="Column1688"/>
    <tableColumn id="1720" xr3:uid="{23319285-61D3-4621-896E-C4989DCA650E}" name="Column1689"/>
    <tableColumn id="1721" xr3:uid="{F004EEF9-9EE6-4D68-A0CE-9D0F2F5A4E12}" name="Column1690"/>
    <tableColumn id="1722" xr3:uid="{5DD04838-4D61-4969-B33D-AA0C69459D12}" name="Column1691"/>
    <tableColumn id="1723" xr3:uid="{5104FB98-73CD-4D05-A030-FA85D05EE0A8}" name="Column1692"/>
    <tableColumn id="1724" xr3:uid="{F6C73BA1-B846-4D41-B55F-AE06F12C21A0}" name="Column1693"/>
    <tableColumn id="1725" xr3:uid="{082E21D4-8C8A-43A6-A277-12A280A01D39}" name="Column1694"/>
    <tableColumn id="1726" xr3:uid="{9BEA983B-1157-4176-9019-C52CC61F6206}" name="Column1695"/>
    <tableColumn id="1727" xr3:uid="{B2D6E2BB-C008-40F8-A520-D72BF8F82F77}" name="Column1696"/>
    <tableColumn id="1728" xr3:uid="{BF9A6D3A-AF6D-42B5-AD7D-008B9F347274}" name="Column1697"/>
    <tableColumn id="1729" xr3:uid="{3EB128B4-1D19-468B-B94C-57D345DB88CC}" name="Column1698"/>
    <tableColumn id="1730" xr3:uid="{A98571E6-E36D-4B68-916E-31E839596B6A}" name="Column1699"/>
    <tableColumn id="1731" xr3:uid="{7AFE0220-B92D-4FAB-8E84-BF43D05D2A45}" name="Column1700"/>
    <tableColumn id="1732" xr3:uid="{2E56B091-9F5B-44EF-8F45-CA602FEE876D}" name="Column1701"/>
    <tableColumn id="1733" xr3:uid="{E52F15DA-6A4D-46F2-84CF-2D88F53ABB17}" name="Column1702"/>
    <tableColumn id="1734" xr3:uid="{BE1B0C15-788D-455C-8E13-4AD88E78EDCD}" name="Column1703"/>
    <tableColumn id="1735" xr3:uid="{E2A5B16C-6F8A-4F98-BADC-A1E60707FD73}" name="Column1704"/>
    <tableColumn id="1736" xr3:uid="{E8EC5594-C8E8-4F1C-BBAF-96EDB474960E}" name="Column1705"/>
    <tableColumn id="1737" xr3:uid="{C2E662EF-305C-442A-BE55-3DB69C7B9E3E}" name="Column1706"/>
    <tableColumn id="1738" xr3:uid="{70CD1916-7583-469F-9A25-0685E18ECA2D}" name="Column1707"/>
    <tableColumn id="1739" xr3:uid="{4A8813B8-21F2-4087-A11C-F87E11A0EE1E}" name="Column1708"/>
    <tableColumn id="1740" xr3:uid="{3354A4F8-9ACC-4149-9152-F4314CA4BD0C}" name="Column1709"/>
    <tableColumn id="1741" xr3:uid="{65918D2E-2D65-480B-9362-2240544F7E40}" name="Column1710"/>
    <tableColumn id="1742" xr3:uid="{0ECE6992-0B10-41D3-A86D-C22C847F1686}" name="Column1711"/>
    <tableColumn id="1743" xr3:uid="{37BBD126-2300-4A85-8B0D-7CD21652A617}" name="Column1712"/>
    <tableColumn id="1744" xr3:uid="{E83D9C93-C2F8-424B-9E2B-829072866E45}" name="Column1713"/>
    <tableColumn id="1745" xr3:uid="{89FFBDC4-50FE-4059-8664-3D924152B8C3}" name="Column1714"/>
    <tableColumn id="1746" xr3:uid="{15502ACD-3ECC-40E0-927D-DD3E40E7BEBA}" name="Column1715"/>
    <tableColumn id="1747" xr3:uid="{E8CF92E8-3444-4C45-804C-5C0C663184BB}" name="Column1716"/>
    <tableColumn id="1748" xr3:uid="{A7352D5C-C88B-461F-9DF7-3F7FB768BDBF}" name="Column1717"/>
    <tableColumn id="1749" xr3:uid="{B3C4CAB4-4375-4CB7-8E96-8C48CAFD4DD6}" name="Column1718"/>
    <tableColumn id="1750" xr3:uid="{A77EA1C6-3F81-4272-8CE1-D8F4AC346413}" name="Column1719"/>
    <tableColumn id="1751" xr3:uid="{E7F88C17-6F89-4543-A6D3-1C737A97BC3A}" name="Column1720"/>
    <tableColumn id="1752" xr3:uid="{35ED72D6-758A-43C8-A550-59A3A077829B}" name="Column1721"/>
    <tableColumn id="1753" xr3:uid="{926450AE-35A5-41C7-A46C-8F15AC9D0C99}" name="Column1722"/>
    <tableColumn id="1754" xr3:uid="{3005BED8-AB81-42A7-A636-A4EA89F20661}" name="Column1723"/>
    <tableColumn id="1755" xr3:uid="{0D025ACE-BADB-4A1A-A7E8-BBAFF7E7FDBA}" name="Column1724"/>
    <tableColumn id="1756" xr3:uid="{3E9E127C-E96C-4CDF-B463-544E8480262C}" name="Column1725"/>
    <tableColumn id="1757" xr3:uid="{30641458-FBD6-41EE-B5D5-F22090DEFC2B}" name="Column1726"/>
    <tableColumn id="1758" xr3:uid="{1E56BC3B-ED75-4D8A-B329-DBC0947A9DF9}" name="Column1727"/>
    <tableColumn id="1759" xr3:uid="{CBF9C14E-B318-4F55-A28B-49D693AFD1D0}" name="Column1728"/>
    <tableColumn id="1760" xr3:uid="{65CF71BC-0641-4554-A23E-843827536250}" name="Column1729"/>
    <tableColumn id="1761" xr3:uid="{DCFC0F92-1CF1-473D-A610-36DD6302898B}" name="Column1730"/>
    <tableColumn id="1762" xr3:uid="{82ABE0CB-8C4D-4128-AACB-D66D920EBAF1}" name="Column1731"/>
    <tableColumn id="1763" xr3:uid="{43982F01-2381-472E-BA14-2A016F011FDA}" name="Column1732"/>
    <tableColumn id="1764" xr3:uid="{757435C2-9F3A-4193-B64C-7602C463893B}" name="Column1733"/>
    <tableColumn id="1765" xr3:uid="{B345A790-E8BA-4FD7-84B4-D27A3612A931}" name="Column1734"/>
    <tableColumn id="1766" xr3:uid="{E30C8231-6DCC-403A-BDE9-D4792A4A9C64}" name="Column1735"/>
    <tableColumn id="1767" xr3:uid="{CB7AA0FA-3AF0-4C73-ABCC-72A78B3AAB16}" name="Column1736"/>
    <tableColumn id="1768" xr3:uid="{0BAD53C6-DED8-4B0C-A647-D6E56EBB527A}" name="Column1737"/>
    <tableColumn id="1769" xr3:uid="{27712A65-7341-4610-829B-09BF010E3873}" name="Column1738"/>
    <tableColumn id="1770" xr3:uid="{4C480D7F-050D-4569-8119-2E13C0955D34}" name="Column1739"/>
    <tableColumn id="1771" xr3:uid="{C1BA3EFC-B336-4FC0-8A2F-5F2807A6B3F6}" name="Column1740"/>
    <tableColumn id="1772" xr3:uid="{D5122DE1-0619-4B2D-8FFE-AC540F42330D}" name="Column1741"/>
    <tableColumn id="1773" xr3:uid="{C0DC355C-D3F2-488D-A0C4-4B24F132EB34}" name="Column1742"/>
    <tableColumn id="1774" xr3:uid="{D6D4430D-7F4E-49C3-9437-8F5C7BB80C85}" name="Column1743"/>
    <tableColumn id="1775" xr3:uid="{47E9F234-586A-4D55-AF55-3096E9FE0A12}" name="Column1744"/>
    <tableColumn id="1776" xr3:uid="{60E5FA66-24D8-464C-A5D9-99796CDB275F}" name="Column1745"/>
    <tableColumn id="1777" xr3:uid="{3C2E7C41-0F3A-4867-B264-06E7D095BCEB}" name="Column1746"/>
    <tableColumn id="1778" xr3:uid="{706F5EC4-FC0C-456A-A3AE-79C53F189D48}" name="Column1747"/>
    <tableColumn id="1779" xr3:uid="{62ACD3DD-9FD4-4EAB-85EE-05A180F98C2A}" name="Column1748"/>
    <tableColumn id="1780" xr3:uid="{7AF97063-CABA-468C-ADC8-34895ABAB41F}" name="Column1749"/>
    <tableColumn id="1781" xr3:uid="{B415FB26-5DC4-4AF7-B05B-E90F3228EC44}" name="Column1750"/>
    <tableColumn id="1782" xr3:uid="{9D851C4A-E26F-4981-BFD4-1F7D3980B403}" name="Column1751"/>
    <tableColumn id="1783" xr3:uid="{ECAB6F5A-82A2-4216-AEFC-4718D8C3EACB}" name="Column1752"/>
    <tableColumn id="1784" xr3:uid="{E4F8EB92-66D5-495A-96ED-3E51718822B9}" name="Column1753"/>
    <tableColumn id="1785" xr3:uid="{37DD0DE3-3184-44D0-8A71-C79C22C386A7}" name="Column1754"/>
    <tableColumn id="1786" xr3:uid="{5245E21A-0AA9-4819-9BA4-C6B604209240}" name="Column1755"/>
    <tableColumn id="1787" xr3:uid="{47DBE3F0-630A-4C84-98DB-D5A05B4729E4}" name="Column1756"/>
    <tableColumn id="1788" xr3:uid="{3B9A565C-C754-4EA4-9AC2-AECFD24C1261}" name="Column1757"/>
    <tableColumn id="1789" xr3:uid="{4ED1D1B2-A2B7-449B-96EA-7B80351A3B43}" name="Column1758"/>
    <tableColumn id="1790" xr3:uid="{95230EEA-0144-483C-9F6A-F7F4BD21FBF0}" name="Column1759"/>
    <tableColumn id="1791" xr3:uid="{DD3543BE-00AB-4945-93C0-E6FA4D10D191}" name="Column1760"/>
    <tableColumn id="1792" xr3:uid="{AB547880-A3F9-42FD-AE9A-B44533D2E2C1}" name="Column1761"/>
    <tableColumn id="1793" xr3:uid="{5BC4AAF0-B862-4E78-A43B-4C2D0E379467}" name="Column1762"/>
    <tableColumn id="1794" xr3:uid="{ADB6831E-3B19-4AFE-843E-81D4C92BC1F3}" name="Column1763"/>
    <tableColumn id="1795" xr3:uid="{5C7FADE2-3090-486E-A137-82954A55E939}" name="Column1764"/>
    <tableColumn id="1796" xr3:uid="{13B42CCB-295E-44F6-AB9B-50EDF9F27371}" name="Column1765"/>
    <tableColumn id="1797" xr3:uid="{EB1E31EE-CDAB-4CC4-AF9D-FEA8AE3C1308}" name="Column1766"/>
    <tableColumn id="1798" xr3:uid="{08A93556-1FCC-4F69-9074-4718C39CAF0E}" name="Column1767"/>
    <tableColumn id="1799" xr3:uid="{8095E29B-8A35-4A44-97B0-1453F17A3D62}" name="Column1768"/>
    <tableColumn id="1800" xr3:uid="{8F5AF9DA-35B0-4BD1-B75D-81CC14BBF78A}" name="Column1769"/>
    <tableColumn id="1801" xr3:uid="{90DBC51B-0F37-4223-AEF2-812F83229401}" name="Column1770"/>
    <tableColumn id="1802" xr3:uid="{A2417BD0-571E-4070-A760-95AFA3AAF70F}" name="Column1771"/>
    <tableColumn id="1803" xr3:uid="{842F4774-3FA5-4D14-824F-54AB5F76897C}" name="Column1772"/>
    <tableColumn id="1804" xr3:uid="{63CC4A32-8EEE-4FE7-A690-24759F30DC39}" name="Column1773"/>
    <tableColumn id="1805" xr3:uid="{AF83FBA2-852D-4356-B2AE-2A2C4504424D}" name="Column1774"/>
    <tableColumn id="1806" xr3:uid="{70C8CC6C-623C-4897-88C9-3D16E2B17D62}" name="Column1775"/>
    <tableColumn id="1807" xr3:uid="{B8B85DF1-C8E1-44C9-9C42-4B7A8E2C4D92}" name="Column1776"/>
    <tableColumn id="1808" xr3:uid="{860D8041-D0F4-426B-9C21-A632CD1B001B}" name="Column1777"/>
    <tableColumn id="1809" xr3:uid="{BD81AC29-8C14-4AF4-9078-E5416CBE5EE6}" name="Column1778"/>
    <tableColumn id="1810" xr3:uid="{5CA891B0-8ED6-4A06-995D-68A9FE9C6741}" name="Column1779"/>
    <tableColumn id="1811" xr3:uid="{775AA472-4DC6-4D9C-9567-73C2F6B0B145}" name="Column1780"/>
    <tableColumn id="1812" xr3:uid="{B6EC0831-90FF-4070-92BE-49403B15A281}" name="Column1781"/>
    <tableColumn id="1813" xr3:uid="{382FF01B-5F8B-4EB5-A039-2EC60D85FEA6}" name="Column1782"/>
    <tableColumn id="1814" xr3:uid="{0678C24D-2D0D-46AE-9A28-E4F837BBCAEC}" name="Column1783"/>
    <tableColumn id="1815" xr3:uid="{1ACDF45D-BAEE-4D2A-99B5-50C3A5B10171}" name="Column1784"/>
    <tableColumn id="1816" xr3:uid="{226FF676-2221-436E-AE88-89756C18B5E3}" name="Column1785"/>
    <tableColumn id="1817" xr3:uid="{928E4A50-9281-4E1D-87B3-901A04CF8E33}" name="Column1786"/>
    <tableColumn id="1818" xr3:uid="{61D0A7C0-2CE4-4104-AF15-6E5158668EBD}" name="Column1787"/>
    <tableColumn id="1819" xr3:uid="{D6B8A87A-165F-4E84-87F5-05EAFC867A70}" name="Column1788"/>
    <tableColumn id="1820" xr3:uid="{2C0F7B5C-5A73-4DEE-A1EF-A6A1E6EFACE5}" name="Column1789"/>
    <tableColumn id="1821" xr3:uid="{53772DC3-7D2C-4FEE-ABA1-F7DAEA39A996}" name="Column1790"/>
    <tableColumn id="1822" xr3:uid="{03F5E4A0-0339-4E3B-B30D-E23131F27C44}" name="Column1791"/>
    <tableColumn id="1823" xr3:uid="{4367A78C-AE17-4739-8390-67C882597A74}" name="Column1792"/>
    <tableColumn id="1824" xr3:uid="{A7AE879A-4566-4CE0-933F-4CD447B072FF}" name="Column1793"/>
    <tableColumn id="1825" xr3:uid="{E0588420-07DC-4869-8CB9-A23589F79872}" name="Column1794"/>
    <tableColumn id="1826" xr3:uid="{F422E257-93C7-41AE-961F-220A17CFF136}" name="Column1795"/>
    <tableColumn id="1827" xr3:uid="{5FDFCEDC-CE4C-4FE1-8496-72CC8E43815B}" name="Column1796"/>
    <tableColumn id="1828" xr3:uid="{79479B99-19C4-41E6-AF13-CDC0203A0D11}" name="Column1797"/>
    <tableColumn id="1829" xr3:uid="{9D969302-8A51-4F5A-82C7-53F0E5A2FCB9}" name="Column1798"/>
    <tableColumn id="1830" xr3:uid="{18DD5E3F-32BF-4127-9766-3695E5E3403D}" name="Column1799"/>
    <tableColumn id="1831" xr3:uid="{12D6B54A-E4C9-442C-A63E-601C26640C23}" name="Column1800"/>
    <tableColumn id="1832" xr3:uid="{F4E1184A-54E6-4CC3-814F-56937A6CC5EA}" name="Column1801"/>
    <tableColumn id="1833" xr3:uid="{82A7D0C1-6C97-4C45-BDFE-5D34C6FE6626}" name="Column1802"/>
    <tableColumn id="1834" xr3:uid="{917AA142-E63F-492A-A785-E1F4A1D21274}" name="Column1803"/>
    <tableColumn id="1835" xr3:uid="{A79F890E-BB46-4E42-AD76-33ABF6CA7D29}" name="Column1804"/>
    <tableColumn id="1836" xr3:uid="{271D20F4-C2BC-48F3-A9AE-F71380072971}" name="Column1805"/>
    <tableColumn id="1837" xr3:uid="{CB186196-7B19-48BA-B0B8-334856EE3B96}" name="Column1806"/>
    <tableColumn id="1838" xr3:uid="{A7132D36-79BF-461C-A007-81D3E379BE5E}" name="Column1807"/>
    <tableColumn id="1839" xr3:uid="{16DC9A1D-08BD-4C64-9C82-E4111AE91100}" name="Column1808"/>
    <tableColumn id="1840" xr3:uid="{68F68B7F-ACA5-430E-9865-B732573922F8}" name="Column1809"/>
    <tableColumn id="1841" xr3:uid="{3257B6B3-313C-42C8-8C52-E2FA32181F06}" name="Column1810"/>
    <tableColumn id="1842" xr3:uid="{CA3725D1-143D-49CD-A3AA-9A4AE1CE0FA2}" name="Column1811"/>
    <tableColumn id="1843" xr3:uid="{DE4CDCA8-FF67-4535-A29D-C4A0DBDCE48C}" name="Column1812"/>
    <tableColumn id="1844" xr3:uid="{DB2B4ABF-1F66-42AC-8729-9C7D83560CFC}" name="Column1813"/>
    <tableColumn id="1845" xr3:uid="{0105079C-1AAE-4926-925C-9015BD59A094}" name="Column1814"/>
    <tableColumn id="1846" xr3:uid="{04ECE762-3175-4D15-8B03-07C4BCD364A0}" name="Column1815"/>
    <tableColumn id="1847" xr3:uid="{F5B5BC7A-2484-4343-A82A-D02DF9425FAE}" name="Column1816"/>
    <tableColumn id="1848" xr3:uid="{6ABB4113-54C3-43E8-9BFA-9184B614B49C}" name="Column1817"/>
    <tableColumn id="1849" xr3:uid="{D64E6AFA-764A-41E2-9961-12E5B6916D12}" name="Column1818"/>
    <tableColumn id="1850" xr3:uid="{1E4632C5-EF24-40E6-8B67-AE51FB5EDDD1}" name="Column1819"/>
    <tableColumn id="1851" xr3:uid="{655A7F4D-6932-449A-9912-4D13594E764D}" name="Column1820"/>
    <tableColumn id="1852" xr3:uid="{5C6B887D-CC55-4716-9AF0-10630C852B38}" name="Column1821"/>
    <tableColumn id="1853" xr3:uid="{72C25C7E-201E-482B-806A-9C53C50F7B96}" name="Column1822"/>
    <tableColumn id="1854" xr3:uid="{3FA0A0F4-DE1A-44A3-AD74-414AFF8EC618}" name="Column1823"/>
    <tableColumn id="1855" xr3:uid="{534B2521-1B66-4B93-AC52-F3DD5F9366E1}" name="Column1824"/>
    <tableColumn id="1856" xr3:uid="{439B2383-31EB-4CC2-B87B-63BB0F602B26}" name="Column1825"/>
    <tableColumn id="1857" xr3:uid="{B0089486-1204-4D15-AD04-401A45215677}" name="Column1826"/>
    <tableColumn id="1858" xr3:uid="{5446A110-CC81-4D8F-99F4-DE0EE6BC62C3}" name="Column1827"/>
    <tableColumn id="1859" xr3:uid="{BA417548-C7DF-488C-B126-92EFBF39C5C4}" name="Column1828"/>
    <tableColumn id="1860" xr3:uid="{01D19B75-7E2B-4AD7-AC15-C1D491162AD7}" name="Column1829"/>
    <tableColumn id="1861" xr3:uid="{F35B4A3B-AA44-4347-8857-7E2331AC26FE}" name="Column1830"/>
    <tableColumn id="1862" xr3:uid="{2D54291A-0AC6-4745-AB78-025155408930}" name="Column1831"/>
    <tableColumn id="1863" xr3:uid="{4BB77729-89C3-4707-AF06-379860799BA9}" name="Column1832"/>
    <tableColumn id="1864" xr3:uid="{ABB99C29-01CE-4A7D-9270-2D6DED6D1D60}" name="Column1833"/>
    <tableColumn id="1865" xr3:uid="{906A3923-011B-4291-8A27-848451B63259}" name="Column1834"/>
    <tableColumn id="1866" xr3:uid="{2AF7D508-E71B-4F44-BD4F-A55A4FA9EA39}" name="Column1835"/>
    <tableColumn id="1867" xr3:uid="{72CB0D59-1F31-4108-A105-F36FA6F2E2E9}" name="Column1836"/>
    <tableColumn id="1868" xr3:uid="{90EA28E6-9FD4-4F92-A6B2-A8BF4367878A}" name="Column1837"/>
    <tableColumn id="1869" xr3:uid="{82F5064A-72E7-47F3-8AC4-BF4932A86AEC}" name="Column1838"/>
    <tableColumn id="1870" xr3:uid="{49533B4E-0B93-4DD6-A8CD-D9BCD3AA527F}" name="Column1839"/>
    <tableColumn id="1871" xr3:uid="{224C9995-FDB6-43E2-A48D-5FE7389A0FC0}" name="Column1840"/>
    <tableColumn id="1872" xr3:uid="{7589C92F-6AD9-4B4F-A591-5AB95D041707}" name="Column1841"/>
    <tableColumn id="1873" xr3:uid="{51397F91-42B4-4B4B-9236-B31E01561D3B}" name="Column1842"/>
    <tableColumn id="1874" xr3:uid="{616E5DE8-A483-486B-AFF3-F9177F6EC25C}" name="Column1843"/>
    <tableColumn id="1875" xr3:uid="{E01EA4E2-8098-4EEA-8427-07FB73DAF3DB}" name="Column1844"/>
    <tableColumn id="1876" xr3:uid="{A2F39D04-69DA-4E15-BBC0-A4C2AE7BC9EC}" name="Column1845"/>
    <tableColumn id="1877" xr3:uid="{6155AF5D-BD7A-4D7E-913A-B6460E324577}" name="Column1846"/>
    <tableColumn id="1878" xr3:uid="{3898BC3D-C832-41B0-92C2-C3C8DFC8D1D1}" name="Column1847"/>
    <tableColumn id="1879" xr3:uid="{B927BA43-C325-493C-95EE-9B6B39E142DF}" name="Column1848"/>
    <tableColumn id="1880" xr3:uid="{04FA2E91-84FB-4A91-8ABA-713CCF635BBF}" name="Column1849"/>
    <tableColumn id="1881" xr3:uid="{E8825ECA-48F3-4AF7-9296-57314B456D1A}" name="Column1850"/>
    <tableColumn id="1882" xr3:uid="{398F462E-C598-4A0E-88BF-E5A3FCD756AD}" name="Column1851"/>
    <tableColumn id="1883" xr3:uid="{43320E68-649C-4EA5-BCE8-ADB1FBD66F09}" name="Column1852"/>
    <tableColumn id="1884" xr3:uid="{AA1B40C5-42D2-4A9C-B340-536CE788C061}" name="Column1853"/>
    <tableColumn id="1885" xr3:uid="{3FCF03B6-A6C6-4603-850C-AB383ADCA83C}" name="Column1854"/>
    <tableColumn id="1886" xr3:uid="{6D771D70-3E29-4ACE-9A77-1DBAE94DE2F7}" name="Column1855"/>
    <tableColumn id="1887" xr3:uid="{18EC342B-EA8E-4A8C-A9A4-19A25D0E6B37}" name="Column1856"/>
    <tableColumn id="1888" xr3:uid="{094B7FF3-609D-46CF-951A-BD83DBD48974}" name="Column1857"/>
    <tableColumn id="1889" xr3:uid="{A1752131-1C03-416E-97AC-9DE1C38E36E7}" name="Column1858"/>
    <tableColumn id="1890" xr3:uid="{55C567B6-9E5B-43C7-A544-452704F7BA43}" name="Column1859"/>
    <tableColumn id="1891" xr3:uid="{76FD8820-DFAB-4786-A0DD-CAF8C2AE4730}" name="Column1860"/>
    <tableColumn id="1892" xr3:uid="{099748D9-5F38-4293-9459-B42F4E4BACF2}" name="Column1861"/>
    <tableColumn id="1893" xr3:uid="{72E8E915-8FE9-4030-943C-71C715EABE28}" name="Column1862"/>
    <tableColumn id="1894" xr3:uid="{7D916FB7-2DB9-42AF-BEFA-6A8105894F71}" name="Column1863"/>
    <tableColumn id="1895" xr3:uid="{B0872FB8-E076-40B4-BFAA-00D050769083}" name="Column1864"/>
    <tableColumn id="1896" xr3:uid="{2AD01BF6-8C27-429D-B721-C75250EA353A}" name="Column1865"/>
    <tableColumn id="1897" xr3:uid="{803737D7-2A10-4645-8736-7D52D9A71A9C}" name="Column1866"/>
    <tableColumn id="1898" xr3:uid="{E1B8E41F-2BF4-48F3-81D0-E2A200A6F2A9}" name="Column1867"/>
    <tableColumn id="1899" xr3:uid="{DE281930-8147-4BA2-AA28-C2FC5C2103CD}" name="Column1868"/>
    <tableColumn id="1900" xr3:uid="{D5A003DF-6865-4139-AA6A-08BDE72E7B3A}" name="Column1869"/>
    <tableColumn id="1901" xr3:uid="{3639C965-F7A4-435A-9E5E-792B28FBE987}" name="Column1870"/>
    <tableColumn id="1902" xr3:uid="{607D748C-B287-4134-BFD7-BBF0FF64D97C}" name="Column1871"/>
    <tableColumn id="1903" xr3:uid="{01A638CE-0EEC-4E91-ABBB-D55D680D04AD}" name="Column1872"/>
    <tableColumn id="1904" xr3:uid="{01C88AA6-6D52-40E6-8152-810FC233A63C}" name="Column1873"/>
    <tableColumn id="1905" xr3:uid="{79A0F497-5DC4-4B01-9A40-044D6B58CFE3}" name="Column1874"/>
    <tableColumn id="1906" xr3:uid="{ECF94821-8C5D-4456-B37A-49E4E70765E9}" name="Column1875"/>
    <tableColumn id="1907" xr3:uid="{8BFCF269-512C-48F7-8A74-3ABB52AFF1D7}" name="Column1876"/>
    <tableColumn id="1908" xr3:uid="{DC1FD320-27A1-45AB-AF26-23CEE914E200}" name="Column1877"/>
    <tableColumn id="1909" xr3:uid="{718C3863-B219-4824-8DF3-11F59236816C}" name="Column1878"/>
    <tableColumn id="1910" xr3:uid="{65AA3712-CE9B-42DB-8B18-13CA8DABBC93}" name="Column1879"/>
    <tableColumn id="1911" xr3:uid="{BF5CE356-50E0-4975-BCB9-99A6D542E066}" name="Column1880"/>
    <tableColumn id="1912" xr3:uid="{96B1C868-ECC2-4E3F-9553-D4AD18D4D83E}" name="Column1881"/>
    <tableColumn id="1913" xr3:uid="{A56A3C8D-014C-4A87-B98F-CF92D8DF7E08}" name="Column1882"/>
    <tableColumn id="1914" xr3:uid="{B6AFEC27-2F36-4F53-B96D-AB0B620C2D5E}" name="Column1883"/>
    <tableColumn id="1915" xr3:uid="{E6164AB3-0E29-4DF3-80ED-0581BC5E2FE2}" name="Column1884"/>
    <tableColumn id="1916" xr3:uid="{7A45285B-48FF-493D-BB79-EE34BD81A577}" name="Column1885"/>
    <tableColumn id="1917" xr3:uid="{8B831B12-0114-4081-8F00-F4EF4722FCBE}" name="Column1886"/>
    <tableColumn id="1918" xr3:uid="{6E4A4815-C588-4518-A2F2-D10DA4F05549}" name="Column1887"/>
    <tableColumn id="1919" xr3:uid="{1238A12A-295F-40FA-B42B-82115E31E228}" name="Column1888"/>
    <tableColumn id="1920" xr3:uid="{8B498BFD-8CBF-49B2-B513-1E57D4B875FE}" name="Column1889"/>
    <tableColumn id="1921" xr3:uid="{90DF4587-193A-4CDA-9E2A-9C696A77246E}" name="Column1890"/>
    <tableColumn id="1922" xr3:uid="{51F51078-D114-4078-AA2D-9A9E4371285F}" name="Column1891"/>
    <tableColumn id="1923" xr3:uid="{3798CECF-1529-4720-9DBD-8D5FB8171E36}" name="Column1892"/>
    <tableColumn id="1924" xr3:uid="{8EF67AD2-B9CA-4931-8565-495515C47557}" name="Column1893"/>
    <tableColumn id="1925" xr3:uid="{3BCCD6C3-89D8-49DC-B858-FD295A45175B}" name="Column1894"/>
    <tableColumn id="1926" xr3:uid="{4A2E3D31-966F-417A-8533-F17B1EEB3440}" name="Column1895"/>
    <tableColumn id="1927" xr3:uid="{12D8122F-D604-443A-B667-C2ABBBB9E5E1}" name="Column1896"/>
    <tableColumn id="1928" xr3:uid="{F8C3F092-83F3-4C53-A69C-B7A7EE669DF4}" name="Column1897"/>
    <tableColumn id="1929" xr3:uid="{B1C7D7B3-0C77-4AF5-9735-35A2E0265FB8}" name="Column1898"/>
    <tableColumn id="1930" xr3:uid="{4D67F10E-E603-446E-B43B-9271A0A06344}" name="Column1899"/>
    <tableColumn id="1931" xr3:uid="{074B5E77-0AAE-4F4D-85CF-1CDAC53F1961}" name="Column1900"/>
    <tableColumn id="1932" xr3:uid="{9B800D2F-0EB9-4BCB-BB8C-25B354E0DED3}" name="Column1901"/>
    <tableColumn id="1933" xr3:uid="{733DC7FB-198A-4C9A-84B7-D17A8981EF46}" name="Column1902"/>
    <tableColumn id="1934" xr3:uid="{6E5C23B0-E749-4CD9-8F25-20602189234A}" name="Column1903"/>
    <tableColumn id="1935" xr3:uid="{4B058B23-D38D-4426-83FB-6C40C9B0F814}" name="Column1904"/>
    <tableColumn id="1936" xr3:uid="{4D7ACBAA-1C3C-42BA-A8C3-764F711A7025}" name="Column1905"/>
    <tableColumn id="1937" xr3:uid="{B3721BF8-1562-4587-B0B9-26DC1569086C}" name="Column1906"/>
    <tableColumn id="1938" xr3:uid="{B448FF06-4765-47FE-A814-DE719ACA7817}" name="Column1907"/>
    <tableColumn id="1939" xr3:uid="{23FC224B-5100-4E8C-8564-81997CB196D0}" name="Column1908"/>
    <tableColumn id="1940" xr3:uid="{88CE2B5C-A7B1-46EA-B628-290F0C1E93F0}" name="Column1909"/>
    <tableColumn id="1941" xr3:uid="{321B2203-2D98-445A-BF6A-7EC6C5B24EA7}" name="Column1910"/>
    <tableColumn id="1942" xr3:uid="{82BBCA0E-C7CA-49D1-87EF-1C121C24E670}" name="Column1911"/>
    <tableColumn id="1943" xr3:uid="{4D915C61-77FC-4A9D-A71D-B35E01B700A3}" name="Column1912"/>
    <tableColumn id="1944" xr3:uid="{DEE04BE3-F88A-4091-88D8-AADD9576B69F}" name="Column1913"/>
    <tableColumn id="1945" xr3:uid="{EBB74E12-6767-4F83-9CA6-7A862273A4BA}" name="Column1914"/>
    <tableColumn id="1946" xr3:uid="{1E213FFB-FD20-49BA-B150-EA769B6733BD}" name="Column1915"/>
    <tableColumn id="1947" xr3:uid="{6B956A19-7CF9-4F41-A4A2-18659CB9CE77}" name="Column1916"/>
    <tableColumn id="1948" xr3:uid="{53B00485-3CDB-40E9-93D5-185ED8164D12}" name="Column1917"/>
    <tableColumn id="1949" xr3:uid="{1EB465E7-457F-48DD-B1AF-9D840D1642C2}" name="Column1918"/>
    <tableColumn id="1950" xr3:uid="{24CFCAAF-5ED4-4965-A844-15A9A8B1676C}" name="Column1919"/>
    <tableColumn id="1951" xr3:uid="{7A1D2AF8-BFFD-4ADB-87EE-77C62EC1008F}" name="Column1920"/>
    <tableColumn id="1952" xr3:uid="{FD5EC964-5475-4673-8158-904EC0302DA0}" name="Column1921"/>
    <tableColumn id="1953" xr3:uid="{92C63F5E-4709-4896-A22C-2654CDE5B8FA}" name="Column1922"/>
    <tableColumn id="1954" xr3:uid="{69DFFC4C-46DA-4227-BCCD-69CCF747FB7B}" name="Column1923"/>
    <tableColumn id="1955" xr3:uid="{BAA20957-D849-448E-85F1-123454E24269}" name="Column1924"/>
    <tableColumn id="1956" xr3:uid="{2719DECD-2EEB-4D6D-A9D6-5AA6FDB694A3}" name="Column1925"/>
    <tableColumn id="1957" xr3:uid="{54B46F18-0009-49E3-82BE-E27BCDA2690B}" name="Column1926"/>
    <tableColumn id="1958" xr3:uid="{E6A48397-DFB3-42AE-AEF2-30C06CDCD8BC}" name="Column1927"/>
    <tableColumn id="1959" xr3:uid="{AF9055DF-F1FA-4D1A-914C-D40565BEBF13}" name="Column1928"/>
    <tableColumn id="1960" xr3:uid="{CDCFD0E6-811F-43CA-8F82-672F476BCA84}" name="Column1929"/>
    <tableColumn id="1961" xr3:uid="{7B47C296-B145-44AA-A3DD-1484CC3F4A2D}" name="Column1930"/>
    <tableColumn id="1962" xr3:uid="{BA5CD74E-4812-45E6-92DC-7CB2B7BAB661}" name="Column1931"/>
    <tableColumn id="1963" xr3:uid="{B57CCE04-EECE-477E-BC10-4F56BEBA4AD2}" name="Column1932"/>
    <tableColumn id="1964" xr3:uid="{7AB943D5-8571-4824-85F7-EFF53B2102B1}" name="Column1933"/>
    <tableColumn id="1965" xr3:uid="{82BB7890-0DA3-4CAB-A31A-DA469FB7E05C}" name="Column1934"/>
    <tableColumn id="1966" xr3:uid="{6CE7723E-DE1B-4FB6-8CE9-5B313303DF86}" name="Column1935"/>
    <tableColumn id="1967" xr3:uid="{3F7489D8-DFE9-4606-913C-DED5860CA45B}" name="Column1936"/>
    <tableColumn id="1968" xr3:uid="{29A20FE6-0085-4B97-8456-F5D2386742AB}" name="Column1937"/>
    <tableColumn id="1969" xr3:uid="{EDA92181-4863-47C1-9DF7-F997FF95F5E4}" name="Column1938"/>
    <tableColumn id="1970" xr3:uid="{EED1AEC9-7BAA-4DB5-AE42-CAC28754269C}" name="Column1939"/>
    <tableColumn id="1971" xr3:uid="{CD3A45A0-FA31-4187-B3B9-6A6DDAB1D34B}" name="Column1940"/>
    <tableColumn id="1972" xr3:uid="{44822F81-41EB-4384-988A-D0CD9F87C7FE}" name="Column1941"/>
    <tableColumn id="1973" xr3:uid="{53F806D8-4480-4579-AF68-033ADB62A3DB}" name="Column1942"/>
    <tableColumn id="1974" xr3:uid="{F4912513-84A4-497F-BFE2-356AB27F43C3}" name="Column1943"/>
    <tableColumn id="1975" xr3:uid="{51D7C37E-5E3D-4021-9F8E-F75CC9CB9354}" name="Column1944"/>
    <tableColumn id="1976" xr3:uid="{11D93181-D299-47FD-9BC4-5A04D4823B32}" name="Column1945"/>
    <tableColumn id="1977" xr3:uid="{43547A75-5A1B-4C12-8C3F-7AA338D9C200}" name="Column1946"/>
    <tableColumn id="1978" xr3:uid="{33665B3E-8F78-4A2B-82BD-780B2BCDF162}" name="Column1947"/>
    <tableColumn id="1979" xr3:uid="{E404CF68-D029-4E13-8547-0E61FE0CCF94}" name="Column1948"/>
    <tableColumn id="1980" xr3:uid="{EE8168AB-9FA5-446D-B901-8F492385DF5F}" name="Column1949"/>
    <tableColumn id="1981" xr3:uid="{572487EF-7957-41A6-899B-6123A4E739F9}" name="Column1950"/>
    <tableColumn id="1982" xr3:uid="{B89317A6-F85E-4576-87DF-F480E111FDFC}" name="Column1951"/>
    <tableColumn id="1983" xr3:uid="{FE969A48-0D4D-45D0-81A5-391E8C65144A}" name="Column1952"/>
    <tableColumn id="1984" xr3:uid="{B4CA5B33-3785-42B3-86CB-41221A9531D1}" name="Column1953"/>
    <tableColumn id="1985" xr3:uid="{3CB89932-A67F-4248-9937-335A6C45F1C1}" name="Column1954"/>
    <tableColumn id="1986" xr3:uid="{51312104-71FB-4434-A5B0-CE67D4F8C6F2}" name="Column1955"/>
    <tableColumn id="1987" xr3:uid="{690BD2C4-1C6D-4680-BC8C-F53FB3F635B9}" name="Column1956"/>
    <tableColumn id="1988" xr3:uid="{9E071FC2-D6ED-40B3-8C90-F68FBF7A98D1}" name="Column1957"/>
    <tableColumn id="1989" xr3:uid="{8CFBDCFA-D81A-492C-8CA6-36B3EC81B9D0}" name="Column1958"/>
    <tableColumn id="1990" xr3:uid="{6A15EE99-6EDA-40F6-B8BF-33D0EA514C6A}" name="Column1959"/>
    <tableColumn id="1991" xr3:uid="{BB48B495-3E0A-4364-B126-87AAFAC435ED}" name="Column1960"/>
    <tableColumn id="1992" xr3:uid="{86019906-6B15-4A88-95AA-D1D3DA3E7766}" name="Column1961"/>
    <tableColumn id="1993" xr3:uid="{AAF1921B-B420-46B9-BF5D-08782A610A93}" name="Column1962"/>
    <tableColumn id="1994" xr3:uid="{3BE1FEB7-4A61-4AF0-812E-01FDA9C2ED01}" name="Column1963"/>
    <tableColumn id="1995" xr3:uid="{EA08E48B-F822-4EEE-833E-C776AA89ADDB}" name="Column1964"/>
    <tableColumn id="1996" xr3:uid="{196B415E-B86B-4F17-A823-1115213CB56C}" name="Column1965"/>
    <tableColumn id="1997" xr3:uid="{E8C11830-9862-4CD7-9C06-6A1D2AFC329E}" name="Column1966"/>
    <tableColumn id="1998" xr3:uid="{DB1C3382-0CDA-4654-95A9-1DE7E32FACEA}" name="Column1967"/>
    <tableColumn id="1999" xr3:uid="{4EF6C7DB-63E9-44AC-BB97-A9FDE7345664}" name="Column1968"/>
    <tableColumn id="2000" xr3:uid="{FDF1B5AA-3ABD-427E-A670-AECE91542993}" name="Column1969"/>
    <tableColumn id="2001" xr3:uid="{445232E5-6525-4156-B523-C06483C3B954}" name="Column1970"/>
    <tableColumn id="2002" xr3:uid="{29C1E2AF-C62A-4B0A-82C2-35FDED5C4F8B}" name="Column1971"/>
    <tableColumn id="2003" xr3:uid="{E42888D6-9312-4A73-9684-7867FEB38368}" name="Column1972"/>
    <tableColumn id="2004" xr3:uid="{5871FB53-E985-4E73-AEC7-50385A267ADD}" name="Column1973"/>
    <tableColumn id="2005" xr3:uid="{477A2A8C-2B12-4417-A44D-CA251D94D322}" name="Column1974"/>
    <tableColumn id="2006" xr3:uid="{1F372D87-D2B8-46A4-A5D9-DF667B76FA42}" name="Column1975"/>
    <tableColumn id="2007" xr3:uid="{E38D522A-03A4-4990-BAAE-D73A67EAAE3E}" name="Column1976"/>
    <tableColumn id="2008" xr3:uid="{A9ED3219-3515-4E2B-A7FB-F9F1CEDEC649}" name="Column1977"/>
    <tableColumn id="2009" xr3:uid="{70B91F51-FA1A-4268-ADA5-23B4A40C3B29}" name="Column1978"/>
    <tableColumn id="2010" xr3:uid="{921505F1-CFE6-4981-A155-8821B669501A}" name="Column1979"/>
    <tableColumn id="2011" xr3:uid="{90457A7B-0E94-4FDF-B8F1-DC0D13A12900}" name="Column1980"/>
    <tableColumn id="2012" xr3:uid="{DF3CC57A-08BE-47D7-83E2-3963F0A52723}" name="Column1981"/>
    <tableColumn id="2013" xr3:uid="{78CFF621-58D6-4C9F-B4C1-796CD8D42C59}" name="Column1982"/>
    <tableColumn id="2014" xr3:uid="{A251D695-8C9B-4D0B-8CEA-F4EB1390F8A3}" name="Column1983"/>
    <tableColumn id="2015" xr3:uid="{24B1BCA8-144E-4D3B-9820-C4CF7145FA4C}" name="Column1984"/>
    <tableColumn id="2016" xr3:uid="{A2B4BDE9-B81D-4073-89AE-DDC5A0DCC6AD}" name="Column1985"/>
    <tableColumn id="2017" xr3:uid="{FC135C8C-5AB6-448F-9DEB-988E778B26CD}" name="Column1986"/>
    <tableColumn id="2018" xr3:uid="{F6777C47-507A-403D-A0D9-D41F0C2B0C53}" name="Column1987"/>
    <tableColumn id="2019" xr3:uid="{7DEAB271-C491-4D87-AF3A-4578C80B6824}" name="Column1988"/>
    <tableColumn id="2020" xr3:uid="{8DC674EF-E330-481C-AEA9-684159A1397A}" name="Column1989"/>
    <tableColumn id="2021" xr3:uid="{95776B31-6502-4047-8B9F-F37A145AEB8D}" name="Column1990"/>
    <tableColumn id="2022" xr3:uid="{A6B54A3F-A5DD-4B32-8627-EA6FB1021BDC}" name="Column1991"/>
    <tableColumn id="2023" xr3:uid="{DA8DC1BD-BCA6-43A0-B91C-18FC1097E329}" name="Column1992"/>
    <tableColumn id="2024" xr3:uid="{55250F84-1E77-41EA-A370-5AB3FADBFD7B}" name="Column1993"/>
    <tableColumn id="2025" xr3:uid="{85797C24-4035-4D8E-A447-929AE9955A75}" name="Column1994"/>
    <tableColumn id="2026" xr3:uid="{5B1D432F-E840-4747-B976-A7B5D5CF5974}" name="Column1995"/>
    <tableColumn id="2027" xr3:uid="{3BC70CEA-95BD-4145-A551-A8EE89A14B3C}" name="Column1996"/>
    <tableColumn id="2028" xr3:uid="{C52349FE-16B9-4DBC-BC8E-B2AB428390CB}" name="Column1997"/>
    <tableColumn id="2029" xr3:uid="{1820FC74-82BD-4658-A1D6-98684E6B5E15}" name="Column1998"/>
    <tableColumn id="2030" xr3:uid="{2FA9A163-DE83-44B5-9D76-414777F85350}" name="Column1999"/>
    <tableColumn id="2031" xr3:uid="{1DFE2DD6-8C13-483A-8616-D8B5C389A5CA}" name="Column2000"/>
    <tableColumn id="2032" xr3:uid="{D49BC437-583C-4B85-A232-3E2824AB0FBC}" name="Column2001"/>
    <tableColumn id="2033" xr3:uid="{F38B14E8-8853-4D61-ADC7-9AD82C2C3775}" name="Column2002"/>
    <tableColumn id="2034" xr3:uid="{A831EE9A-3164-4392-A386-B684AB4A8CCE}" name="Column2003"/>
    <tableColumn id="2035" xr3:uid="{28F3A1F6-035C-4414-9096-414E124EF07F}" name="Column2004"/>
    <tableColumn id="2036" xr3:uid="{E86F18A8-A9D7-4B68-B9C6-846BF8F0B158}" name="Column2005"/>
    <tableColumn id="2037" xr3:uid="{85F7DD62-832D-438E-84B2-45ADA6E76073}" name="Column2006"/>
    <tableColumn id="2038" xr3:uid="{7FCE103F-BC3A-4757-822D-AFBDE5E890EE}" name="Column2007"/>
    <tableColumn id="2039" xr3:uid="{59CE50D8-E4B9-4319-A974-02EA76B472A6}" name="Column2008"/>
    <tableColumn id="2040" xr3:uid="{8B9C404A-0ED2-48C9-80BC-950B8CF16CE8}" name="Column2009"/>
    <tableColumn id="2041" xr3:uid="{179DF8CE-FAAC-47F1-9D7A-29425DC70A0A}" name="Column2010"/>
    <tableColumn id="2042" xr3:uid="{D972DAC7-C469-4750-B34C-EFE94FF9DBB0}" name="Column2011"/>
    <tableColumn id="2043" xr3:uid="{49CAEFCC-47F6-4185-A18B-16AD01F367CB}" name="Column2012"/>
    <tableColumn id="2044" xr3:uid="{32D48A7C-30E2-46A3-9596-DE0076B2AEB6}" name="Column2013"/>
    <tableColumn id="2045" xr3:uid="{FA743697-056A-43FE-A7AE-FC2A2DE920D1}" name="Column2014"/>
    <tableColumn id="2046" xr3:uid="{855CB571-7D49-49EB-8455-40F2A6102C7F}" name="Column2015"/>
    <tableColumn id="2047" xr3:uid="{EDBAF0CF-E65E-47C4-8C33-4C04BE0ACCC9}" name="Column2016"/>
    <tableColumn id="2048" xr3:uid="{52C4933A-A465-46C7-AEF7-23966F6F4FD6}" name="Column2017"/>
    <tableColumn id="2049" xr3:uid="{566A8679-A9AD-4900-88BC-91A7BB58EA66}" name="Column2018"/>
    <tableColumn id="2050" xr3:uid="{9663D8C3-B85F-4973-A13F-E313755C93E0}" name="Column2019"/>
    <tableColumn id="2051" xr3:uid="{1B18F67A-30D4-43E7-BD45-AE9BAD26C23A}" name="Column2020"/>
    <tableColumn id="2052" xr3:uid="{37ED4D97-831C-4D92-B34A-1FCF5C1E08B8}" name="Column2021"/>
    <tableColumn id="2053" xr3:uid="{432B14B4-CE6D-4678-893E-0CDFE4A45925}" name="Column2022"/>
    <tableColumn id="2054" xr3:uid="{01B4F2C5-96B5-423E-B1CA-523334C32BB4}" name="Column2023"/>
    <tableColumn id="2055" xr3:uid="{E84CB430-6BD0-4E6B-8557-A02C581FD06C}" name="Column2024"/>
    <tableColumn id="2056" xr3:uid="{5BE6C234-FB6D-475C-B4FE-56E8FDDA461F}" name="Column2025"/>
    <tableColumn id="2057" xr3:uid="{090B51C9-3477-4B87-ACDB-9737EBB360E9}" name="Column2026"/>
    <tableColumn id="2058" xr3:uid="{79F49015-5EBC-45D1-ABDD-2D8D86EBF800}" name="Column2027"/>
    <tableColumn id="2059" xr3:uid="{DEFC38A8-72CE-4637-A742-C170872E2E02}" name="Column2028"/>
    <tableColumn id="2060" xr3:uid="{59A348E2-8274-4EB3-BE0D-4F5F7A16EECA}" name="Column2029"/>
    <tableColumn id="2061" xr3:uid="{0C481455-4416-41C9-A26E-4176E831A372}" name="Column2030"/>
    <tableColumn id="2062" xr3:uid="{BD33DE9A-EAA2-4FD2-A301-D613B8AA6DBF}" name="Column2031"/>
    <tableColumn id="2063" xr3:uid="{C2CDA259-B4DE-483A-9C7E-24164312F47D}" name="Column2032"/>
    <tableColumn id="2064" xr3:uid="{3723C9DA-EC40-4267-B949-EA6B5DCF24F6}" name="Column2033"/>
    <tableColumn id="2065" xr3:uid="{FDBD16D7-BAE2-41CB-9376-58C5C7DE7496}" name="Column2034"/>
    <tableColumn id="2066" xr3:uid="{31EB0DB1-FCD2-45E4-9291-289499E006C9}" name="Column2035"/>
    <tableColumn id="2067" xr3:uid="{E4DCCFD0-0365-4504-936D-2C041A3E5E70}" name="Column2036"/>
    <tableColumn id="2068" xr3:uid="{37FF212A-0CFC-4AE6-B03C-A1BA32E2A67C}" name="Column2037"/>
    <tableColumn id="2069" xr3:uid="{F14ACB1B-8D48-47BD-935C-4544803A8A34}" name="Column2038"/>
    <tableColumn id="2070" xr3:uid="{4A55BC0D-2701-40B6-9606-3322EE087120}" name="Column2039"/>
    <tableColumn id="2071" xr3:uid="{245122F5-D760-4753-9DBA-08BAEA5F5E3D}" name="Column2040"/>
    <tableColumn id="2072" xr3:uid="{1C37D277-D337-4FC7-89F4-9D26DECE9FA8}" name="Column2041"/>
    <tableColumn id="2073" xr3:uid="{FC1F5FBB-00BC-4ABD-BC1B-A697D04CF10D}" name="Column2042"/>
    <tableColumn id="2074" xr3:uid="{DDD23033-39AC-4D35-B963-8A97D8D18EBE}" name="Column2043"/>
    <tableColumn id="2075" xr3:uid="{8D555A7B-ADBB-42B5-9A31-A89148C6B412}" name="Column2044"/>
    <tableColumn id="2076" xr3:uid="{88A46E94-3788-4F96-AE6B-F52F035D7FE0}" name="Column2045"/>
    <tableColumn id="2077" xr3:uid="{98FC536F-47D3-44A8-8198-C7CB1B8483A8}" name="Column2046"/>
    <tableColumn id="2078" xr3:uid="{FCC4DBBB-C0FA-4E0E-B89B-144F2D788500}" name="Column2047"/>
    <tableColumn id="2079" xr3:uid="{8BD120BF-44A7-468A-93E0-544B910DC7DB}" name="Column2048"/>
    <tableColumn id="2080" xr3:uid="{CA17006C-14A3-4F18-821D-90DD3A99551A}" name="Column2049"/>
    <tableColumn id="2081" xr3:uid="{B8AA572D-A83C-4769-B8A5-6BE8D5B5E7BE}" name="Column2050"/>
    <tableColumn id="2082" xr3:uid="{F4A12141-696C-4450-BEAF-EB46B937CA7E}" name="Column2051"/>
    <tableColumn id="2083" xr3:uid="{7231F7EE-A627-4AB9-9596-59F9AA322BFE}" name="Column2052"/>
    <tableColumn id="2084" xr3:uid="{B0AE9702-BDF9-47EB-8DD5-320D157E91AA}" name="Column2053"/>
    <tableColumn id="2085" xr3:uid="{CF2C390D-5E4C-4C01-B5F3-0FA08C8D1466}" name="Column2054"/>
    <tableColumn id="2086" xr3:uid="{72A21031-358F-4564-A379-AAFAB4AF333A}" name="Column2055"/>
    <tableColumn id="2087" xr3:uid="{241834C7-82DD-4B2F-9161-B3F60D3A86E7}" name="Column2056"/>
    <tableColumn id="2088" xr3:uid="{547E8998-1DB3-49F7-81EF-427DBEB9C65B}" name="Column2057"/>
    <tableColumn id="2089" xr3:uid="{54312395-00C6-42C9-8378-15879C469538}" name="Column2058"/>
    <tableColumn id="2090" xr3:uid="{C688F308-0688-4DDB-B76B-993711227A6A}" name="Column2059"/>
    <tableColumn id="2091" xr3:uid="{9199E0E7-D9CD-4C96-9C30-A96498352764}" name="Column2060"/>
    <tableColumn id="2092" xr3:uid="{F2D40AFF-B89C-4D2D-A2CD-DEA7353F54B2}" name="Column2061"/>
    <tableColumn id="2093" xr3:uid="{18E8CC32-EDF0-4766-9589-F13BF3C219A9}" name="Column2062"/>
    <tableColumn id="2094" xr3:uid="{8862D3CA-8A7D-4C12-AE00-579197BAFC2B}" name="Column2063"/>
    <tableColumn id="2095" xr3:uid="{34317E23-7407-4DE3-A337-FAED11468B22}" name="Column2064"/>
    <tableColumn id="2096" xr3:uid="{60F0BDFF-82EF-44A1-B09A-A7AD704528FC}" name="Column2065"/>
    <tableColumn id="2097" xr3:uid="{DD09E708-C09A-47D2-991D-1AFD5A8B1C4D}" name="Column2066"/>
    <tableColumn id="2098" xr3:uid="{AB87174E-D317-45D2-9F2B-2D894AB00BEC}" name="Column2067"/>
    <tableColumn id="2099" xr3:uid="{E8764D54-9B6B-4DEA-A503-AF4CCEF59112}" name="Column2068"/>
    <tableColumn id="2100" xr3:uid="{FFE43CDD-D197-4664-BD38-6C73A7152081}" name="Column2069"/>
    <tableColumn id="2101" xr3:uid="{5B2D193E-5D6D-42FC-B990-43B50BD11229}" name="Column2070"/>
    <tableColumn id="2102" xr3:uid="{13713F10-A3A1-410F-9C8C-CC771DC2F0BC}" name="Column2071"/>
    <tableColumn id="2103" xr3:uid="{A432B61D-F67F-46CF-ADCC-53D5506C4481}" name="Column2072"/>
    <tableColumn id="2104" xr3:uid="{5BB33309-F824-4790-8783-0D81E946063D}" name="Column2073"/>
    <tableColumn id="2105" xr3:uid="{9F1F4A45-9E49-4E2C-BE85-0EE5C12BA5C8}" name="Column2074"/>
    <tableColumn id="2106" xr3:uid="{1DA2A692-A7AB-45B2-A671-FDACFCBDD464}" name="Column2075"/>
    <tableColumn id="2107" xr3:uid="{A0212733-15BB-42C3-BB72-1441B9FDA1F9}" name="Column2076"/>
    <tableColumn id="2108" xr3:uid="{E319A6F2-2270-4831-9A35-99871CE30797}" name="Column2077"/>
    <tableColumn id="2109" xr3:uid="{B1D0D2EC-0890-4304-B413-49556BA4B4DE}" name="Column2078"/>
    <tableColumn id="2110" xr3:uid="{39659DCE-DCF6-43BE-AC42-E1BA95808725}" name="Column2079"/>
    <tableColumn id="2111" xr3:uid="{AFC5A157-1F7B-482F-AF33-9D382D4965A9}" name="Column2080"/>
    <tableColumn id="2112" xr3:uid="{B1245BA2-F036-4BF3-A116-A828EB734F68}" name="Column2081"/>
    <tableColumn id="2113" xr3:uid="{F33BCBCA-6CC2-43A1-A977-F6FEDD2C9407}" name="Column2082"/>
    <tableColumn id="2114" xr3:uid="{02964B44-6629-47B6-9BE7-159B43D2B650}" name="Column2083"/>
    <tableColumn id="2115" xr3:uid="{9F7AAD2E-C248-48DD-8A16-148B072A67E2}" name="Column2084"/>
    <tableColumn id="2116" xr3:uid="{4D3D75B6-77CB-4145-8E62-1A8B4C3F8134}" name="Column2085"/>
    <tableColumn id="2117" xr3:uid="{4FEC870D-8B50-43D9-9222-47101C0D4159}" name="Column2086"/>
    <tableColumn id="2118" xr3:uid="{A0A93265-3951-42D4-AF89-0B50DE933F96}" name="Column2087"/>
    <tableColumn id="2119" xr3:uid="{ABDC8B28-9A2A-4A0B-AD6B-DAA8B0306EBF}" name="Column2088"/>
    <tableColumn id="2120" xr3:uid="{29F24D60-4142-43C3-975D-4CCBA351020C}" name="Column2089"/>
    <tableColumn id="2121" xr3:uid="{3C13D54B-3A28-4118-B7C6-C1FF91ABA41B}" name="Column2090"/>
    <tableColumn id="2122" xr3:uid="{8FFA6498-BA9F-49F5-96D1-D2AB6F110923}" name="Column2091"/>
    <tableColumn id="2123" xr3:uid="{B091745D-1287-4B49-8904-2DCECBF10FB0}" name="Column2092"/>
    <tableColumn id="2124" xr3:uid="{4186BC12-5DF3-4FA2-A118-F630723321AD}" name="Column2093"/>
    <tableColumn id="2125" xr3:uid="{03A52418-9FCF-4630-A77B-FA935EDB910C}" name="Column2094"/>
    <tableColumn id="2126" xr3:uid="{8C4D7FD2-5D48-49E9-97AB-E466EF30FE0D}" name="Column2095"/>
    <tableColumn id="2127" xr3:uid="{5F869D43-3635-46AE-A8E7-8C89E5D87D74}" name="Column2096"/>
    <tableColumn id="2128" xr3:uid="{52635B5D-8ABA-4574-BBDF-8143BB07A38B}" name="Column2097"/>
    <tableColumn id="2129" xr3:uid="{97CE1587-F643-4D22-97C3-6F6AA10B0BBD}" name="Column2098"/>
    <tableColumn id="2130" xr3:uid="{16F5876E-7648-445F-9321-75C116074623}" name="Column2099"/>
    <tableColumn id="2131" xr3:uid="{2604F424-6F44-44B6-A4C6-3B6531C08061}" name="Column2100"/>
    <tableColumn id="2132" xr3:uid="{14004C89-BD35-4B94-A1B9-39034546B5DF}" name="Column2101"/>
    <tableColumn id="2133" xr3:uid="{931748B7-6DFA-4F55-BCCB-CCD536ECA5C6}" name="Column2102"/>
    <tableColumn id="2134" xr3:uid="{85C4D856-F290-4B1C-9537-371526385F3C}" name="Column2103"/>
    <tableColumn id="2135" xr3:uid="{57CA6EDF-906D-49D0-9AC4-FCBBF60E7E93}" name="Column2104"/>
    <tableColumn id="2136" xr3:uid="{96E8ADDA-5E48-4FE9-A39E-CDDAFF695C80}" name="Column2105"/>
    <tableColumn id="2137" xr3:uid="{68E18B0A-5B14-417B-A125-5ED33AF06771}" name="Column2106"/>
    <tableColumn id="2138" xr3:uid="{D57275EF-8736-4664-B7F3-8FAD07904EC9}" name="Column2107"/>
    <tableColumn id="2139" xr3:uid="{CC51DEFF-327D-4CC0-977B-60AAE0AF04D4}" name="Column2108"/>
    <tableColumn id="2140" xr3:uid="{190155D6-3354-4C41-A0CF-8B118FEC1790}" name="Column2109"/>
    <tableColumn id="2141" xr3:uid="{FA9629A1-4306-428F-A72E-9907AB0C37E9}" name="Column2110"/>
    <tableColumn id="2142" xr3:uid="{E25187D4-5821-49D6-B13A-89A49739F2EB}" name="Column2111"/>
    <tableColumn id="2143" xr3:uid="{9806DE6D-BA97-4254-95F4-C188F87BAE9E}" name="Column2112"/>
    <tableColumn id="2144" xr3:uid="{74B948A4-1D51-48AF-A4BC-D5E2023FAA63}" name="Column2113"/>
    <tableColumn id="2145" xr3:uid="{EE03FF00-5FF5-4EF1-B092-C11E5BEBBC8A}" name="Column2114"/>
    <tableColumn id="2146" xr3:uid="{EC79B2D7-DC38-4D98-94D0-31AF1851A3D1}" name="Column2115"/>
    <tableColumn id="2147" xr3:uid="{96934056-9015-4F61-9DD7-8982703262DF}" name="Column2116"/>
    <tableColumn id="2148" xr3:uid="{505F7F01-6B1B-4D4D-A99C-D04DCACEC998}" name="Column2117"/>
    <tableColumn id="2149" xr3:uid="{D92D8BB2-14F2-4D06-B54B-7FFF32FF9584}" name="Column2118"/>
    <tableColumn id="2150" xr3:uid="{9F55C2FC-FF16-4013-A38E-A5FFB527BDF5}" name="Column2119"/>
    <tableColumn id="2151" xr3:uid="{034048BF-292C-4CBE-B447-BA5E08E0725A}" name="Column2120"/>
    <tableColumn id="2152" xr3:uid="{FF020633-15DB-4C34-87A7-F40EEA985101}" name="Column2121"/>
    <tableColumn id="2153" xr3:uid="{4A3FC419-55B4-4316-91E2-D6DFDE653F7E}" name="Column2122"/>
    <tableColumn id="2154" xr3:uid="{181100EB-3864-4B8C-9E9D-2F014E9352BD}" name="Column2123"/>
    <tableColumn id="2155" xr3:uid="{0C31E97B-03CA-4C43-ABB5-10FA271327A7}" name="Column2124"/>
    <tableColumn id="2156" xr3:uid="{9FF1E650-A128-4B8B-8B0D-4EF7FFC2F2C0}" name="Column2125"/>
    <tableColumn id="2157" xr3:uid="{91B1AA98-5500-4AAE-B615-8DC5BE696664}" name="Column2126"/>
    <tableColumn id="2158" xr3:uid="{F282379B-77C6-4D9B-8841-39D28D5C52FF}" name="Column2127"/>
    <tableColumn id="2159" xr3:uid="{9528ABE5-947D-443E-9381-E302C463814C}" name="Column2128"/>
    <tableColumn id="2160" xr3:uid="{5D7097F9-C2ED-4E65-8414-A57DB2C74677}" name="Column2129"/>
    <tableColumn id="2161" xr3:uid="{DB0013BD-9571-4CB9-ABAE-48F0B93390B0}" name="Column2130"/>
    <tableColumn id="2162" xr3:uid="{BD346031-4CEC-4B7F-A4B7-1293E10EA54B}" name="Column2131"/>
    <tableColumn id="2163" xr3:uid="{51047ACD-80A1-4428-8941-9FB2F83E2BC0}" name="Column2132"/>
    <tableColumn id="2164" xr3:uid="{B716722E-4494-4FE8-8BF3-7E0B1F778757}" name="Column2133"/>
    <tableColumn id="2165" xr3:uid="{6728F3FA-13B4-4741-96EA-8DE25A9CB75C}" name="Column2134"/>
    <tableColumn id="2166" xr3:uid="{0C5E8668-EA85-43A5-A8D8-AEF9B417DB09}" name="Column2135"/>
    <tableColumn id="2167" xr3:uid="{9E081A84-DE77-472F-9B97-1059A5C5EBD9}" name="Column2136"/>
    <tableColumn id="2168" xr3:uid="{1D2DBE6F-529E-4517-B63C-2A87BC279EE8}" name="Column2137"/>
    <tableColumn id="2169" xr3:uid="{F1EF5F3B-0A77-4C68-8FEF-AFE17AC90FD3}" name="Column2138"/>
    <tableColumn id="2170" xr3:uid="{F4DAFDCB-E68B-4336-B156-5ABE979B7BDF}" name="Column2139"/>
    <tableColumn id="2171" xr3:uid="{C97E1D17-C49F-4D3C-B40F-1BD567D1E16C}" name="Column2140"/>
    <tableColumn id="2172" xr3:uid="{C2EFBB07-ED00-4DE6-91D9-FF8506BEE734}" name="Column2141"/>
    <tableColumn id="2173" xr3:uid="{326A7ED5-A31F-4B70-869D-C276A23ACAC1}" name="Column2142"/>
    <tableColumn id="2174" xr3:uid="{2B22AEC6-BB69-4EC5-AF48-894E3951CD48}" name="Column2143"/>
    <tableColumn id="2175" xr3:uid="{A59FDB35-1F48-4A65-B8E6-B59CD899CC72}" name="Column2144"/>
    <tableColumn id="2176" xr3:uid="{57D2FE71-F566-4907-B5CC-AA802520DD8E}" name="Column2145"/>
    <tableColumn id="2177" xr3:uid="{4729E2B7-ABB6-410E-96F7-940F3A013778}" name="Column2146"/>
    <tableColumn id="2178" xr3:uid="{2D07481A-2F67-4479-AAFC-33BDE6E3D442}" name="Column2147"/>
    <tableColumn id="2179" xr3:uid="{AF1192BD-3CD5-498E-874A-C43EB0A543E3}" name="Column2148"/>
    <tableColumn id="2180" xr3:uid="{F4CD6739-2621-40FC-AE9B-6E98EACD0BF2}" name="Column2149"/>
    <tableColumn id="2181" xr3:uid="{392100DF-2EE2-475D-A193-625BA3524652}" name="Column2150"/>
    <tableColumn id="2182" xr3:uid="{A28BCC19-7EB6-4B16-A33D-85E71556A1D3}" name="Column2151"/>
    <tableColumn id="2183" xr3:uid="{7365E94B-5EE1-46C0-B33F-55FCD51F7652}" name="Column2152"/>
    <tableColumn id="2184" xr3:uid="{25E736FE-ECA1-447A-A9E8-B739CA8EBD9A}" name="Column2153"/>
    <tableColumn id="2185" xr3:uid="{E0804DD7-C49E-49A7-92E6-F0A0247278E5}" name="Column2154"/>
    <tableColumn id="2186" xr3:uid="{52AA396E-B3E7-454D-805C-B7E1EAF30B05}" name="Column2155"/>
    <tableColumn id="2187" xr3:uid="{66997DDB-F44B-48CC-A9B6-EF2BBA054B5E}" name="Column2156"/>
    <tableColumn id="2188" xr3:uid="{AB6EA95D-7F56-421F-9839-8AF850C6C03C}" name="Column2157"/>
    <tableColumn id="2189" xr3:uid="{E7319801-22B5-4FB9-9D6F-ADD046D064D4}" name="Column2158"/>
    <tableColumn id="2190" xr3:uid="{4D59A156-BD4E-458F-AE01-7A275C7106A2}" name="Column2159"/>
    <tableColumn id="2191" xr3:uid="{4550FC35-E1C7-483E-A796-89B7A3973D67}" name="Column2160"/>
    <tableColumn id="2192" xr3:uid="{9E1BB159-EAFF-468F-9134-6004017856F5}" name="Column2161"/>
    <tableColumn id="2193" xr3:uid="{99867A5B-2642-4AF2-B03B-4BDB2C778D19}" name="Column2162"/>
    <tableColumn id="2194" xr3:uid="{E8A1A122-CDF9-47C7-8713-4779A327AE4B}" name="Column2163"/>
    <tableColumn id="2195" xr3:uid="{565007EF-3ACB-4B0A-945B-5E67A55A70E1}" name="Column2164"/>
    <tableColumn id="2196" xr3:uid="{2A2C9998-7C69-4E42-9FD4-2820F8264A69}" name="Column2165"/>
    <tableColumn id="2197" xr3:uid="{227CDF13-BC8A-479F-890E-62B7F80449A4}" name="Column2166"/>
    <tableColumn id="2198" xr3:uid="{EF0AA579-212B-4D89-A749-8AB1685B8447}" name="Column2167"/>
    <tableColumn id="2199" xr3:uid="{55327945-BC28-43D4-A2E5-8B338F9D97B0}" name="Column2168"/>
    <tableColumn id="2200" xr3:uid="{6161288A-1F37-4CE1-AD5D-06A50CEFCBF6}" name="Column2169"/>
    <tableColumn id="2201" xr3:uid="{F06DA1DA-E23B-4223-84B7-6AB7B0AA05D8}" name="Column2170"/>
    <tableColumn id="2202" xr3:uid="{F3095239-030D-49D1-AEF0-1E1287403E68}" name="Column2171"/>
    <tableColumn id="2203" xr3:uid="{A55E3A20-569B-4D36-B06D-10126A72A4B5}" name="Column2172"/>
    <tableColumn id="2204" xr3:uid="{56AA2186-3F27-4996-B008-33C4E528800F}" name="Column2173"/>
    <tableColumn id="2205" xr3:uid="{1F972ABD-AC32-4E84-A8B9-0E9F58D7A32F}" name="Column2174"/>
    <tableColumn id="2206" xr3:uid="{6CEDACDD-5ECA-4081-96B7-1C1D2A7C30F9}" name="Column2175"/>
    <tableColumn id="2207" xr3:uid="{A377D81A-7D92-4381-AECC-B52854E94069}" name="Column2176"/>
    <tableColumn id="2208" xr3:uid="{4780CD34-D60C-4F8D-8995-6A4323662732}" name="Column2177"/>
    <tableColumn id="2209" xr3:uid="{F9B7E1FA-73D1-4018-AC77-23BCFBD1E255}" name="Column2178"/>
    <tableColumn id="2210" xr3:uid="{1B1705DC-5458-4450-8204-089FAD17BCF5}" name="Column2179"/>
    <tableColumn id="2211" xr3:uid="{D0D68D8F-A1CE-48B5-AF3E-A81451CA1AB7}" name="Column2180"/>
    <tableColumn id="2212" xr3:uid="{96B24695-7675-4EED-8A7A-F93CACDB866F}" name="Column2181"/>
    <tableColumn id="2213" xr3:uid="{E361E307-FA20-4172-8DAE-3C94E8DE956F}" name="Column2182"/>
    <tableColumn id="2214" xr3:uid="{223AECAE-49C6-472E-9A22-8DBB6C5B6767}" name="Column2183"/>
    <tableColumn id="2215" xr3:uid="{3477F1CE-C872-4E49-86CB-7C9FC104B404}" name="Column2184"/>
    <tableColumn id="2216" xr3:uid="{114D5087-A46D-4467-954B-09EDCCB99548}" name="Column2185"/>
    <tableColumn id="2217" xr3:uid="{68B9A8C3-3983-4FBE-887D-15EBB825E19D}" name="Column2186"/>
    <tableColumn id="2218" xr3:uid="{4F70777D-33B4-4F5C-8D06-1BA497B4F1D6}" name="Column2187"/>
    <tableColumn id="2219" xr3:uid="{3BD22B88-66CF-4267-AC96-E7CF5DD68723}" name="Column2188"/>
    <tableColumn id="2220" xr3:uid="{48D09EE6-BCF2-47E8-B837-E043AA541F96}" name="Column2189"/>
    <tableColumn id="2221" xr3:uid="{A097EC2C-E947-4520-B9B0-2C75E73125BB}" name="Column2190"/>
    <tableColumn id="2222" xr3:uid="{399A8002-FB59-4A2C-BF81-C89EAA1E95BA}" name="Column2191"/>
    <tableColumn id="2223" xr3:uid="{7AB7753B-7C28-4DA0-A7E4-7E79352022B4}" name="Column2192"/>
    <tableColumn id="2224" xr3:uid="{63BC09C8-5FC7-4DC4-821A-B9DB866EB1A0}" name="Column2193"/>
    <tableColumn id="2225" xr3:uid="{5266C7C4-4676-4116-BF4B-7E22B558B845}" name="Column2194"/>
    <tableColumn id="2226" xr3:uid="{F37183AD-F0B4-4571-BE87-89F6A5CA92E3}" name="Column2195"/>
    <tableColumn id="2227" xr3:uid="{65433AFA-30EA-4BCF-AAA5-0D9BC7CC555B}" name="Column2196"/>
    <tableColumn id="2228" xr3:uid="{39526467-A42A-43C1-8FCF-74AE26DE0F68}" name="Column2197"/>
    <tableColumn id="2229" xr3:uid="{C7C6364F-F874-4F41-95ED-8786FA569BF8}" name="Column2198"/>
    <tableColumn id="2230" xr3:uid="{A703D660-38A1-41EB-B3D5-031E09E28372}" name="Column2199"/>
    <tableColumn id="2231" xr3:uid="{6A0DABC3-FEC1-4781-9EB1-B59C49131121}" name="Column2200"/>
    <tableColumn id="2232" xr3:uid="{0880FBF9-B579-4828-B456-51954DD0023A}" name="Column2201"/>
    <tableColumn id="2233" xr3:uid="{22315FB0-9B78-4EFD-A941-F240BA63728B}" name="Column2202"/>
    <tableColumn id="2234" xr3:uid="{EA82E632-22B9-4117-AF75-72289B336779}" name="Column2203"/>
    <tableColumn id="2235" xr3:uid="{A70E2D15-01AC-403B-8EE6-315A7B6774BF}" name="Column2204"/>
    <tableColumn id="2236" xr3:uid="{4110C6F7-A50A-4A98-B68A-4323D0796690}" name="Column2205"/>
    <tableColumn id="2237" xr3:uid="{E7ABFF78-B299-49CB-A0B9-1E673FBCFFA9}" name="Column2206"/>
    <tableColumn id="2238" xr3:uid="{F253A695-8B56-4801-84C2-E75191FE8B49}" name="Column2207"/>
    <tableColumn id="2239" xr3:uid="{A4BC6703-1BFC-4534-A33A-C963041E0469}" name="Column2208"/>
    <tableColumn id="2240" xr3:uid="{C6A79166-828D-4E4F-8799-0FB6678A87C6}" name="Column2209"/>
    <tableColumn id="2241" xr3:uid="{2D7B6939-F5CE-4B27-8610-57854DA3AB58}" name="Column2210"/>
    <tableColumn id="2242" xr3:uid="{914F6AD9-4FF1-4CD8-8D1E-E7ABD821F225}" name="Column2211"/>
    <tableColumn id="2243" xr3:uid="{D4E871A2-B647-43B7-9B71-FF1047CC1F72}" name="Column2212"/>
    <tableColumn id="2244" xr3:uid="{84F69F5C-5887-4A4B-A96A-8D13D2B4C9DE}" name="Column2213"/>
    <tableColumn id="2245" xr3:uid="{03CBD9FE-2CD6-4E1E-A51B-872FF7165EAD}" name="Column2214"/>
    <tableColumn id="2246" xr3:uid="{80FE66F2-224A-4925-95E0-D9649A659DB4}" name="Column2215"/>
    <tableColumn id="2247" xr3:uid="{D7B496B6-3E76-4A1F-A3F9-4A5419E2B4FD}" name="Column2216"/>
    <tableColumn id="2248" xr3:uid="{C917FF26-5F5F-43D0-AC3C-A7C6A189715D}" name="Column2217"/>
    <tableColumn id="2249" xr3:uid="{900F3BBA-1841-40CB-9343-25413E11CAEB}" name="Column2218"/>
    <tableColumn id="2250" xr3:uid="{6EC37323-06D2-4084-997C-0D4DF5C1AF0F}" name="Column2219"/>
    <tableColumn id="2251" xr3:uid="{8FFBACC0-BC1D-468A-9208-33038AB66C33}" name="Column2220"/>
    <tableColumn id="2252" xr3:uid="{A39CB109-23F6-4C50-8A62-2FCC591F614B}" name="Column2221"/>
    <tableColumn id="2253" xr3:uid="{AE43FC91-BC47-4CFE-B9F2-6362D509BD4C}" name="Column2222"/>
    <tableColumn id="2254" xr3:uid="{D82BE9AE-2EFC-417B-8C78-09FA473F0F80}" name="Column2223"/>
    <tableColumn id="2255" xr3:uid="{EC951E11-2712-4D3C-8D1D-C8C94B160BBA}" name="Column2224"/>
    <tableColumn id="2256" xr3:uid="{CAB1DD56-4580-4461-82A0-BFE97DF01628}" name="Column2225"/>
    <tableColumn id="2257" xr3:uid="{6212B8A2-D3B7-46EB-B5CB-94935B7C41FC}" name="Column2226"/>
    <tableColumn id="2258" xr3:uid="{ED85C4C4-15C5-475F-A00A-27B7A6E0E21B}" name="Column2227"/>
    <tableColumn id="2259" xr3:uid="{8DFA340E-7D51-46D0-98C4-93282A54B8C0}" name="Column2228"/>
    <tableColumn id="2260" xr3:uid="{6C81B947-FB46-4344-B49B-4F726447A125}" name="Column2229"/>
    <tableColumn id="2261" xr3:uid="{F3A848B2-6212-4554-AC5C-FDD742FD63C7}" name="Column2230"/>
    <tableColumn id="2262" xr3:uid="{8AF126D0-079E-491B-A2BB-C631DB396C27}" name="Column2231"/>
    <tableColumn id="2263" xr3:uid="{2C79EB92-3D2E-402C-91E6-4480A46A4333}" name="Column2232"/>
    <tableColumn id="2264" xr3:uid="{90F5B37D-2AAE-4F05-8722-A49D6A10BD17}" name="Column2233"/>
    <tableColumn id="2265" xr3:uid="{E1516967-3B7F-47DB-966F-6F7803A827E0}" name="Column2234"/>
    <tableColumn id="2266" xr3:uid="{88E881C2-4CD8-4EEA-ACD0-3A06B9B8F465}" name="Column2235"/>
    <tableColumn id="2267" xr3:uid="{F78F3A28-2AE2-41F0-A164-FB13A8AAC45E}" name="Column2236"/>
    <tableColumn id="2268" xr3:uid="{11D5331F-5A70-4D0F-BCD1-91EB892A149F}" name="Column2237"/>
    <tableColumn id="2269" xr3:uid="{A9494D18-C042-44DF-9AB6-4342C60BE71C}" name="Column2238"/>
    <tableColumn id="2270" xr3:uid="{5DCF70E9-3F2E-4B68-8356-9E35AAA519BA}" name="Column2239"/>
    <tableColumn id="2271" xr3:uid="{4C67EFDD-A02E-47A2-8D7D-15B017845FBB}" name="Column2240"/>
    <tableColumn id="2272" xr3:uid="{FA8D9ADE-A626-48A1-94B2-55D263219521}" name="Column2241"/>
    <tableColumn id="2273" xr3:uid="{50EB1D60-1B94-4B38-A0DA-24B574AB1D10}" name="Column2242"/>
    <tableColumn id="2274" xr3:uid="{F3664F7B-B780-4325-807B-7BA3EA69F8FB}" name="Column2243"/>
    <tableColumn id="2275" xr3:uid="{5377EBBD-2498-4D0D-94F3-535BA409E461}" name="Column2244"/>
    <tableColumn id="2276" xr3:uid="{EAD0A429-C1ED-4275-BEE2-5D524D557CE7}" name="Column2245"/>
    <tableColumn id="2277" xr3:uid="{E4101B9E-362B-4D10-B5CF-3CB78AB74FE5}" name="Column2246"/>
    <tableColumn id="2278" xr3:uid="{94D02DDF-E51A-4367-9EF9-55EF9B6730A7}" name="Column2247"/>
    <tableColumn id="2279" xr3:uid="{C437DB7C-B5BE-44D6-A55A-20DDCE0930FE}" name="Column2248"/>
    <tableColumn id="2280" xr3:uid="{A2D20CA6-8520-4D49-830D-BA2520BFCD80}" name="Column2249"/>
    <tableColumn id="2281" xr3:uid="{3EFB05FF-8816-4FE2-9BC8-B6A33BED73CE}" name="Column2250"/>
    <tableColumn id="2282" xr3:uid="{80EAAEA2-0337-4AA3-B6A0-B2E834AFBB63}" name="Column2251"/>
    <tableColumn id="2283" xr3:uid="{E38B96D6-EA8A-423C-B06B-50CEAA40B0CE}" name="Column2252"/>
    <tableColumn id="2284" xr3:uid="{21BCF9E2-6408-46C6-9578-E6B55CDD9573}" name="Column2253"/>
    <tableColumn id="2285" xr3:uid="{1F13451A-1993-4BA5-83E8-CE497F61D823}" name="Column2254"/>
    <tableColumn id="2286" xr3:uid="{B4F51732-03AB-4224-89E1-5F9B2659D004}" name="Column2255"/>
    <tableColumn id="2287" xr3:uid="{2EF2E47C-779F-41EE-B754-4F65DB9A8DAF}" name="Column2256"/>
    <tableColumn id="2288" xr3:uid="{7FCAB851-3B3E-464D-AC87-220A290FFE8C}" name="Column2257"/>
    <tableColumn id="2289" xr3:uid="{E52BB39D-01B2-4149-AC79-CE8BFBDB56D2}" name="Column2258"/>
    <tableColumn id="2290" xr3:uid="{D44332E3-0980-4419-B010-59667A17A04F}" name="Column2259"/>
    <tableColumn id="2291" xr3:uid="{520E2AC0-DE1D-4659-8DB1-1BF10756A1FA}" name="Column2260"/>
    <tableColumn id="2292" xr3:uid="{76890D5C-7BD7-401C-8C8A-DEC8A6FF2C2F}" name="Column2261"/>
    <tableColumn id="2293" xr3:uid="{EBE74DA5-1DCE-4B95-8BC9-A42F1E1C8DA5}" name="Column2262"/>
    <tableColumn id="2294" xr3:uid="{B2C24A8E-DAC5-4057-9D87-2BE9B275838E}" name="Column2263"/>
    <tableColumn id="2295" xr3:uid="{2213345E-824F-4179-8BDE-5F976B35154C}" name="Column2264"/>
    <tableColumn id="2296" xr3:uid="{E1C62C33-2F8E-4B4E-9A84-FB8FE8C64CD3}" name="Column2265"/>
    <tableColumn id="2297" xr3:uid="{BB2D0B0F-97C8-4EB1-8CA3-60934D5F154C}" name="Column2266"/>
    <tableColumn id="2298" xr3:uid="{7C40E9AA-86DD-4327-A8A0-7C7F90375A26}" name="Column2267"/>
    <tableColumn id="2299" xr3:uid="{CDE204AC-D523-426E-BEB8-7D90AE188FFB}" name="Column2268"/>
    <tableColumn id="2300" xr3:uid="{0E378BDF-D2C5-40AA-A03E-1C5FC8148EDC}" name="Column2269"/>
    <tableColumn id="2301" xr3:uid="{D350CF0A-A7F7-49A7-A111-DB0B4EB197D7}" name="Column2270"/>
    <tableColumn id="2302" xr3:uid="{99BE6172-72DB-402A-8A0A-78F03C3DDD53}" name="Column2271"/>
    <tableColumn id="2303" xr3:uid="{9081DD39-F9FE-40FE-9FD1-966B49E45E97}" name="Column2272"/>
    <tableColumn id="2304" xr3:uid="{9C8D65A4-6E9C-48F8-A506-720791E4339C}" name="Column2273"/>
    <tableColumn id="2305" xr3:uid="{DE795B7C-9BF0-4ED6-8DCE-64B675893DB0}" name="Column2274"/>
    <tableColumn id="2306" xr3:uid="{3604BB7C-CFFC-4D5A-AB53-18DD091B1F45}" name="Column2275"/>
    <tableColumn id="2307" xr3:uid="{82DEE0BC-80A0-4F88-9545-56603118DC25}" name="Column2276"/>
    <tableColumn id="2308" xr3:uid="{867E993A-8F7A-4E4B-A1F8-C40DBC8B46C6}" name="Column2277"/>
    <tableColumn id="2309" xr3:uid="{7ECCE9CE-B205-4C5A-BACE-D96BDAD47F8E}" name="Column2278"/>
    <tableColumn id="2310" xr3:uid="{7C26B384-9F93-4A34-8D3B-7D06C2703051}" name="Column2279"/>
    <tableColumn id="2311" xr3:uid="{9279EE19-5183-4299-B634-CC24636C2033}" name="Column2280"/>
    <tableColumn id="2312" xr3:uid="{C1A1BBE1-5F8E-460F-A9D5-33A615557943}" name="Column2281"/>
    <tableColumn id="2313" xr3:uid="{6B501EDC-39DE-4993-9A2C-A7B197CD366B}" name="Column2282"/>
    <tableColumn id="2314" xr3:uid="{D8A758BE-3207-4576-B110-4FAB04F0F9EA}" name="Column2283"/>
    <tableColumn id="2315" xr3:uid="{26DBFCC4-C009-4C3C-8422-CF8EFED1C412}" name="Column2284"/>
    <tableColumn id="2316" xr3:uid="{EF8ED509-5F34-4E7C-B082-9EA23D402212}" name="Column2285"/>
    <tableColumn id="2317" xr3:uid="{891E8EE5-A111-459F-8E71-4AA3A935278E}" name="Column2286"/>
    <tableColumn id="2318" xr3:uid="{BA314EE5-C1AE-435D-8F38-B6D069674E7C}" name="Column2287"/>
    <tableColumn id="2319" xr3:uid="{E31913D0-EEC5-4B3A-81D2-A2F72BF1F06D}" name="Column2288"/>
    <tableColumn id="2320" xr3:uid="{B07F7790-6A8A-41D3-8791-3EA47998769B}" name="Column2289"/>
    <tableColumn id="2321" xr3:uid="{A3BF147B-9110-4B87-AFB5-6288D7C56AFF}" name="Column2290"/>
    <tableColumn id="2322" xr3:uid="{A3E353C2-0ED3-4074-9667-0875EAB5025D}" name="Column2291"/>
    <tableColumn id="2323" xr3:uid="{BB9AC842-75C3-4F39-99B9-A597AE584311}" name="Column2292"/>
    <tableColumn id="2324" xr3:uid="{987FFFCF-DAF8-4EBF-9C91-A0B99E2AEDDD}" name="Column2293"/>
    <tableColumn id="2325" xr3:uid="{00231126-BEB1-472A-9AB4-452C1EA2D69A}" name="Column2294"/>
    <tableColumn id="2326" xr3:uid="{4844096C-479F-48C5-8880-3BD698873DC0}" name="Column2295"/>
    <tableColumn id="2327" xr3:uid="{A1B91415-1D84-4D78-908C-C464C1560235}" name="Column2296"/>
    <tableColumn id="2328" xr3:uid="{CF4022AF-A9E5-4E50-8DC6-5D333C17A86F}" name="Column2297"/>
    <tableColumn id="2329" xr3:uid="{34A2F9E3-196C-45C2-8370-93BB5AE15D7A}" name="Column2298"/>
    <tableColumn id="2330" xr3:uid="{486E92F9-8FA2-47B1-9F76-B78F9130D294}" name="Column2299"/>
    <tableColumn id="2331" xr3:uid="{60BCD695-0EAF-4771-A2B0-10C7C91D666D}" name="Column2300"/>
    <tableColumn id="2332" xr3:uid="{208F4E55-2DA7-4EB8-9983-E9DDBD395006}" name="Column2301"/>
    <tableColumn id="2333" xr3:uid="{35784DC4-C778-4031-8E97-52B7DD3E81B4}" name="Column2302"/>
    <tableColumn id="2334" xr3:uid="{DD2615E1-0529-44EC-B400-FD276A08D9B0}" name="Column2303"/>
    <tableColumn id="2335" xr3:uid="{6C84C885-56C1-4976-A265-DC854D754FD7}" name="Column2304"/>
    <tableColumn id="2336" xr3:uid="{07587B76-A829-49BD-87D9-56872879B1D3}" name="Column2305"/>
    <tableColumn id="2337" xr3:uid="{B13FA280-81D9-425D-8252-58B931D70890}" name="Column2306"/>
    <tableColumn id="2338" xr3:uid="{1881F11F-8226-460F-9A73-92A1911DBB19}" name="Column2307"/>
    <tableColumn id="2339" xr3:uid="{ACA8708C-E0A5-4D84-91F8-40BBC2E76E11}" name="Column2308"/>
    <tableColumn id="2340" xr3:uid="{B68A05D2-A482-453C-B6F5-72D2A0B8F4F3}" name="Column2309"/>
    <tableColumn id="2341" xr3:uid="{8EB1A09A-FF2B-4353-94F9-B1181F4C9792}" name="Column2310"/>
    <tableColumn id="2342" xr3:uid="{B4D691F5-7045-422F-BB75-58BBC988A4B8}" name="Column2311"/>
    <tableColumn id="2343" xr3:uid="{405FD2E7-BC26-45FA-B62B-A329E4F617D7}" name="Column2312"/>
    <tableColumn id="2344" xr3:uid="{7FCB3849-37CA-447C-892C-46C11F4AB3AB}" name="Column2313"/>
    <tableColumn id="2345" xr3:uid="{63B5B1B2-2632-4CF0-9476-493C10A47C7C}" name="Column2314"/>
    <tableColumn id="2346" xr3:uid="{DB61F5EC-9708-401D-8A62-372365458D16}" name="Column2315"/>
    <tableColumn id="2347" xr3:uid="{5FB368B3-BDDC-4DB7-8FA0-7A92FA570AED}" name="Column2316"/>
    <tableColumn id="2348" xr3:uid="{9C6AB1CD-5179-4D98-AE7F-F56F51AFA0E0}" name="Column2317"/>
    <tableColumn id="2349" xr3:uid="{5821B803-4A17-4F31-A2A6-A6C5375A1CCF}" name="Column2318"/>
    <tableColumn id="2350" xr3:uid="{72EF6152-0F07-427F-81CF-D5A4B19EA9F9}" name="Column2319"/>
    <tableColumn id="2351" xr3:uid="{76FB6270-29E2-4676-A399-B23465047D0E}" name="Column2320"/>
    <tableColumn id="2352" xr3:uid="{6BBF26A3-ACE6-4E51-902C-A7D808B1D33E}" name="Column2321"/>
    <tableColumn id="2353" xr3:uid="{D0CB588D-FA09-449C-B939-7252651617E3}" name="Column2322"/>
    <tableColumn id="2354" xr3:uid="{8BF33750-AC94-4DBB-93AA-0F83D4932308}" name="Column2323"/>
    <tableColumn id="2355" xr3:uid="{E53C2514-A2B3-4A9E-BD94-F44E0F7F2271}" name="Column2324"/>
    <tableColumn id="2356" xr3:uid="{994EDB2B-57BF-4804-8ED8-0ADDB080E48B}" name="Column2325"/>
    <tableColumn id="2357" xr3:uid="{753E44C6-22F5-4400-A5A7-716109F69F5A}" name="Column2326"/>
    <tableColumn id="2358" xr3:uid="{6FAAF9AB-1E9D-4EEE-A2EE-9159664B26F2}" name="Column2327"/>
    <tableColumn id="2359" xr3:uid="{A3F745E5-F3CF-4F2F-A3D9-60AD4796D4A2}" name="Column2328"/>
    <tableColumn id="2360" xr3:uid="{D3FD408C-0E32-4003-AD67-58C702FBD792}" name="Column2329"/>
    <tableColumn id="2361" xr3:uid="{12D29AB7-3970-444F-B3E1-3F51F0A69B4B}" name="Column2330"/>
    <tableColumn id="2362" xr3:uid="{48510AA6-21DE-4E28-A8EF-BA98313251E4}" name="Column2331"/>
    <tableColumn id="2363" xr3:uid="{80C0CB41-05E1-4F64-9114-6E33C1329E12}" name="Column2332"/>
    <tableColumn id="2364" xr3:uid="{0D16CD9B-F1A9-4D4C-92AD-56D1979C3A63}" name="Column2333"/>
    <tableColumn id="2365" xr3:uid="{7D3513C6-BAFB-4861-BBCB-8B8E7798E7A4}" name="Column2334"/>
    <tableColumn id="2366" xr3:uid="{6347B973-87D1-47DD-AE1C-646CBC17201F}" name="Column2335"/>
    <tableColumn id="2367" xr3:uid="{F7E117F1-3DA3-4D20-9552-66F9EBD04B66}" name="Column2336"/>
    <tableColumn id="2368" xr3:uid="{DE05535A-A1E0-4DD0-AFA4-E9B8FE0FA2E8}" name="Column2337"/>
    <tableColumn id="2369" xr3:uid="{38A9F88E-097B-44CD-B526-76F32709BD1A}" name="Column2338"/>
    <tableColumn id="2370" xr3:uid="{ECD010CC-A858-4853-93FE-F57F1F2B8FD9}" name="Column2339"/>
    <tableColumn id="2371" xr3:uid="{36C22E4D-EF78-4DBA-AC55-09F56F72D7F4}" name="Column2340"/>
    <tableColumn id="2372" xr3:uid="{B6693860-75AA-424D-9FD7-9B71D99E1EEB}" name="Column2341"/>
    <tableColumn id="2373" xr3:uid="{5D08A33B-48C9-4AB0-8F40-462165BF2736}" name="Column2342"/>
    <tableColumn id="2374" xr3:uid="{D3ABF601-5AAB-4D88-BA23-3F100E6626D8}" name="Column2343"/>
    <tableColumn id="2375" xr3:uid="{9165EE58-C23C-4951-BF56-6272EDF2D584}" name="Column2344"/>
    <tableColumn id="2376" xr3:uid="{9AAE6C12-13D0-48E0-AE0B-79F0F8B8826F}" name="Column2345"/>
    <tableColumn id="2377" xr3:uid="{75800B5B-F2B8-4E2A-BC89-B6810CC3B547}" name="Column2346"/>
    <tableColumn id="2378" xr3:uid="{E6FC3809-EA98-4049-B6F2-D19228E66877}" name="Column2347"/>
    <tableColumn id="2379" xr3:uid="{EDD552C4-3E47-44E3-94B7-65D7DEFE76CC}" name="Column2348"/>
    <tableColumn id="2380" xr3:uid="{52724BE9-6CDE-409C-AAB4-6EC59931F724}" name="Column2349"/>
    <tableColumn id="2381" xr3:uid="{B2DFFBE5-5969-4637-9B72-8B54CDCF080A}" name="Column2350"/>
    <tableColumn id="2382" xr3:uid="{E5310219-5896-4AC7-A82C-28A452F3CDCB}" name="Column2351"/>
    <tableColumn id="2383" xr3:uid="{FF2D0DA3-7982-4B65-ADF5-00DE29D48021}" name="Column2352"/>
    <tableColumn id="2384" xr3:uid="{6BC0B748-E44B-4AC9-8A2F-E0262E8996CB}" name="Column2353"/>
    <tableColumn id="2385" xr3:uid="{140B611D-9FE7-44CA-AC0A-BF9854DE7CD7}" name="Column2354"/>
    <tableColumn id="2386" xr3:uid="{5BA3A8E5-BAFE-485D-B474-7C6C227E7EEF}" name="Column2355"/>
    <tableColumn id="2387" xr3:uid="{2C05DB8F-04DB-4AFA-8A93-B4DEC628AAA8}" name="Column2356"/>
    <tableColumn id="2388" xr3:uid="{9B994522-3B55-4BBF-A572-E8CB5810A070}" name="Column2357"/>
    <tableColumn id="2389" xr3:uid="{B971D1E3-A2D3-4289-BCB4-9A048D4F1846}" name="Column2358"/>
    <tableColumn id="2390" xr3:uid="{FDD80C43-3CAC-462A-970B-7CBB20206CBA}" name="Column2359"/>
    <tableColumn id="2391" xr3:uid="{E8BDF67E-E9CA-40E8-978C-450FD77F6FA2}" name="Column2360"/>
    <tableColumn id="2392" xr3:uid="{4B8D8A7A-143D-46B8-8B16-F6F266755767}" name="Column2361"/>
    <tableColumn id="2393" xr3:uid="{42DF28E2-322C-4154-8CDE-708088BD8B90}" name="Column2362"/>
    <tableColumn id="2394" xr3:uid="{CA79EF75-F5B7-4980-919E-DF148BC0BC7A}" name="Column2363"/>
    <tableColumn id="2395" xr3:uid="{CD3EBCFA-D466-4D4E-8A8E-8B378F162F11}" name="Column2364"/>
    <tableColumn id="2396" xr3:uid="{7A8C2D5B-95B4-47AB-BCF5-0B4AA137086E}" name="Column2365"/>
    <tableColumn id="2397" xr3:uid="{1F96F76F-2E99-4451-B2FC-F8B51ECD83E6}" name="Column2366"/>
    <tableColumn id="2398" xr3:uid="{E390044A-1994-4129-9E1D-B94A8AEDC960}" name="Column2367"/>
    <tableColumn id="2399" xr3:uid="{E21F0C29-4541-4BDA-9AE4-205464C16256}" name="Column2368"/>
    <tableColumn id="2400" xr3:uid="{42360315-6092-4545-A1B9-C932C9D4C939}" name="Column2369"/>
    <tableColumn id="2401" xr3:uid="{7687D611-395E-46D3-8C0D-042402C3106A}" name="Column2370"/>
    <tableColumn id="2402" xr3:uid="{46D2360E-B063-47B5-BB9F-85C593BA3AC4}" name="Column2371"/>
    <tableColumn id="2403" xr3:uid="{D79DB1E2-3519-4CCB-9107-8A7049C846E9}" name="Column2372"/>
    <tableColumn id="2404" xr3:uid="{599DB3BC-811A-4D48-94C7-05F8599D83B0}" name="Column2373"/>
    <tableColumn id="2405" xr3:uid="{838C5FD1-0F0B-421B-87B7-B6394E11163F}" name="Column2374"/>
    <tableColumn id="2406" xr3:uid="{A01C9CAE-2A98-40AE-AE1D-9D0920315DB2}" name="Column2375"/>
    <tableColumn id="2407" xr3:uid="{71D17C48-A129-4171-952F-1D019ED4AE09}" name="Column2376"/>
    <tableColumn id="2408" xr3:uid="{AE4AAE37-6ACD-492D-B56C-60355859E715}" name="Column2377"/>
    <tableColumn id="2409" xr3:uid="{DE3E7655-5BD0-477D-B6E4-1EBC6F3A2E61}" name="Column2378"/>
    <tableColumn id="2410" xr3:uid="{2F10CC1E-215E-428A-A30C-E8171E64C042}" name="Column2379"/>
    <tableColumn id="2411" xr3:uid="{B335D2A8-27C2-42F4-9A48-0E4D38E0BC9A}" name="Column2380"/>
    <tableColumn id="2412" xr3:uid="{DA41080F-319F-43E0-A408-E83DFEB13875}" name="Column2381"/>
    <tableColumn id="2413" xr3:uid="{DFE0CF47-1FE1-4BE9-8D5F-FF79481BE39E}" name="Column2382"/>
    <tableColumn id="2414" xr3:uid="{3A9D5E1B-DBE9-4CA2-B1D7-FD7CDCF9E949}" name="Column2383"/>
    <tableColumn id="2415" xr3:uid="{C8A40E8D-38A2-4F40-B764-CFF259E1A7E9}" name="Column2384"/>
    <tableColumn id="2416" xr3:uid="{82D2EEBE-3156-4769-8B2C-15317172C276}" name="Column2385"/>
    <tableColumn id="2417" xr3:uid="{D2CFCDA2-964D-4E7E-BDF9-00A2A2788E3E}" name="Column2386"/>
    <tableColumn id="2418" xr3:uid="{46A7E94C-B82F-4AF3-A048-D845AD157E25}" name="Column2387"/>
    <tableColumn id="2419" xr3:uid="{9E7CD590-0090-4C90-9D77-3BFED2B9AD40}" name="Column2388"/>
    <tableColumn id="2420" xr3:uid="{4ED41468-D3A7-4AD3-84C7-7F5466BE2C9E}" name="Column2389"/>
    <tableColumn id="2421" xr3:uid="{EC9C51EE-F2B3-4308-B502-71C852C5030E}" name="Column2390"/>
    <tableColumn id="2422" xr3:uid="{94A24046-C181-420D-ACFA-038F29171D81}" name="Column2391"/>
    <tableColumn id="2423" xr3:uid="{F3DE5F2D-E367-42D5-91B8-B08432204E01}" name="Column2392"/>
    <tableColumn id="2424" xr3:uid="{3A9CCA1B-9B02-47A7-B455-8DD067BCD9DF}" name="Column2393"/>
    <tableColumn id="2425" xr3:uid="{90DB080D-B219-42AF-8732-B8C9ACAF8478}" name="Column2394"/>
    <tableColumn id="2426" xr3:uid="{1E5FB98D-F7B5-4AF2-864B-E89C178564EE}" name="Column2395"/>
    <tableColumn id="2427" xr3:uid="{9CDAD0E2-373B-40F5-8CBE-21B5B10921EB}" name="Column2396"/>
    <tableColumn id="2428" xr3:uid="{AE7B4CA1-1104-41BE-B378-C73A97EA31C9}" name="Column2397"/>
    <tableColumn id="2429" xr3:uid="{14F5CD16-8E6B-4001-AA17-39F7B0EC8B1D}" name="Column2398"/>
    <tableColumn id="2430" xr3:uid="{BF95161C-DDE6-4908-8827-554ACA86BFDA}" name="Column2399"/>
    <tableColumn id="2431" xr3:uid="{991BC94E-BCED-4840-9A2D-359452D321A1}" name="Column2400"/>
    <tableColumn id="2432" xr3:uid="{1712F508-B6D2-4B4E-9652-88DB892E3969}" name="Column2401"/>
    <tableColumn id="2433" xr3:uid="{64C6DD17-CB7F-46A2-8D7F-63169032ECAB}" name="Column2402"/>
    <tableColumn id="2434" xr3:uid="{FF2216A6-68B6-43A4-9EAF-CA40410BF876}" name="Column2403"/>
    <tableColumn id="2435" xr3:uid="{60DBBE62-0ADB-4BAB-AD7F-78F5CFC1A9FF}" name="Column2404"/>
    <tableColumn id="2436" xr3:uid="{E3B59293-A2D4-4210-852A-F53B28782155}" name="Column2405"/>
    <tableColumn id="2437" xr3:uid="{B7127519-9292-45DF-A6D1-282D4BB192B9}" name="Column2406"/>
    <tableColumn id="2438" xr3:uid="{7633BD8E-1B26-4124-A92C-8A7F02AFDF08}" name="Column2407"/>
    <tableColumn id="2439" xr3:uid="{455D3EE3-28BE-402F-BC77-4C324567238E}" name="Column2408"/>
    <tableColumn id="2440" xr3:uid="{07365DB9-DC95-405F-8B5A-24753AD782B1}" name="Column2409"/>
    <tableColumn id="2441" xr3:uid="{A70D192E-80B6-4680-8BDB-20FBA1CA5DDB}" name="Column2410"/>
    <tableColumn id="2442" xr3:uid="{4C1B81DF-3601-489A-B362-36F61B965256}" name="Column2411"/>
    <tableColumn id="2443" xr3:uid="{CB82CFE7-7F2E-41E5-8752-DADB263EFE10}" name="Column2412"/>
    <tableColumn id="2444" xr3:uid="{9AA0EE0D-0BC1-4654-9441-B8B26836FCDF}" name="Column2413"/>
    <tableColumn id="2445" xr3:uid="{2050A588-76B4-4AAE-ADBE-8007D3B8130C}" name="Column2414"/>
    <tableColumn id="2446" xr3:uid="{0F8EB382-E40A-43DD-85E6-E445AD2459F6}" name="Column2415"/>
    <tableColumn id="2447" xr3:uid="{BF7FDEC5-972B-4075-B615-EDCF5BD17BE2}" name="Column2416"/>
    <tableColumn id="2448" xr3:uid="{98C0CD33-31FC-437C-8B70-6C8DC5B1C2DE}" name="Column2417"/>
    <tableColumn id="2449" xr3:uid="{B89AB100-BA92-4BAB-A559-40FBCC74F04D}" name="Column2418"/>
    <tableColumn id="2450" xr3:uid="{B4DE8CC6-F4C0-45AF-91C3-6F0E88FDE724}" name="Column2419"/>
    <tableColumn id="2451" xr3:uid="{55ADEEF6-4094-49FF-84F6-2AC959449E80}" name="Column2420"/>
    <tableColumn id="2452" xr3:uid="{DCE4BBB7-C82F-4F68-95D0-DB0E1365D335}" name="Column2421"/>
    <tableColumn id="2453" xr3:uid="{EAE41D78-3303-46C0-A021-B194C51819A5}" name="Column2422"/>
    <tableColumn id="2454" xr3:uid="{69EDF2F5-484A-4DA0-BE5A-88AFD0015712}" name="Column2423"/>
    <tableColumn id="2455" xr3:uid="{1A90CF26-7458-4CA9-8E33-1CBF22A85CA2}" name="Column2424"/>
    <tableColumn id="2456" xr3:uid="{1A482FD8-2A56-4F5E-9F6E-724EA58284C7}" name="Column2425"/>
    <tableColumn id="2457" xr3:uid="{E413891E-BDD5-4519-A800-F06F3E452E40}" name="Column2426"/>
    <tableColumn id="2458" xr3:uid="{44C72F71-18F2-4426-939E-F55EE083836E}" name="Column2427"/>
    <tableColumn id="2459" xr3:uid="{54252375-CDC4-45F8-8B61-00DF537C5796}" name="Column2428"/>
    <tableColumn id="2460" xr3:uid="{7E3ED2DF-064D-41C3-894B-CD12EDC75293}" name="Column2429"/>
    <tableColumn id="2461" xr3:uid="{4D73A476-FAF6-4094-823E-57C41219158A}" name="Column2430"/>
    <tableColumn id="2462" xr3:uid="{6EFC8E0C-E698-4AB5-88A7-453AA1DBC00A}" name="Column2431"/>
    <tableColumn id="2463" xr3:uid="{3BCA1AFD-1556-4DE9-8A23-A6349306C6BF}" name="Column2432"/>
    <tableColumn id="2464" xr3:uid="{CDCD6B83-0899-4522-8FCA-72F62F6D1F51}" name="Column2433"/>
    <tableColumn id="2465" xr3:uid="{A187FB93-F0C7-4517-A59A-E3DA2AA800B2}" name="Column2434"/>
    <tableColumn id="2466" xr3:uid="{ECE99427-842A-4F56-B115-C3B2171B0428}" name="Column2435"/>
    <tableColumn id="2467" xr3:uid="{AC2B9323-DBC1-42F5-AB3F-3C444EDFCD59}" name="Column2436"/>
    <tableColumn id="2468" xr3:uid="{5D6F70E8-7C16-4488-A48B-4DBF9EB29F66}" name="Column2437"/>
    <tableColumn id="2469" xr3:uid="{61EFAAF4-2D4C-4722-9621-1782DC157243}" name="Column2438"/>
    <tableColumn id="2470" xr3:uid="{D8336A6B-FB9F-4604-9733-8F990D9F2359}" name="Column2439"/>
    <tableColumn id="2471" xr3:uid="{FADDE0A2-4DB2-4676-A11A-E174B38C3257}" name="Column2440"/>
    <tableColumn id="2472" xr3:uid="{9841E798-1638-4DEA-BABD-97FE35F54975}" name="Column2441"/>
    <tableColumn id="2473" xr3:uid="{FC124DCF-0EA9-45D8-B226-A9A13DE720D6}" name="Column2442"/>
    <tableColumn id="2474" xr3:uid="{4CCB52FF-0F57-40B0-8B52-365BE0841BD4}" name="Column2443"/>
    <tableColumn id="2475" xr3:uid="{82C5D35D-964D-4A71-B96C-EC500B242C2E}" name="Column2444"/>
    <tableColumn id="2476" xr3:uid="{1B5AE951-D05F-43D0-97AA-66283F130215}" name="Column2445"/>
    <tableColumn id="2477" xr3:uid="{DBBDBF80-C714-4B33-9DDB-B512FDFB3B1B}" name="Column2446"/>
    <tableColumn id="2478" xr3:uid="{0AE76213-BB6C-415A-9FA0-232EB3C9B4C8}" name="Column2447"/>
    <tableColumn id="2479" xr3:uid="{DBF0EFA8-B3F1-4CCB-86F2-2F81230B0844}" name="Column2448"/>
    <tableColumn id="2480" xr3:uid="{02A65D76-7582-4FA6-BC5D-09B1DFC3EB9F}" name="Column2449"/>
    <tableColumn id="2481" xr3:uid="{A99B7A13-B3BB-45ED-890F-2B92FC776593}" name="Column2450"/>
    <tableColumn id="2482" xr3:uid="{83E9C381-AA33-4305-83F5-62FBC044FD6B}" name="Column2451"/>
    <tableColumn id="2483" xr3:uid="{7167ACC9-3411-4ECB-8D30-D6198A4BD83B}" name="Column2452"/>
    <tableColumn id="2484" xr3:uid="{B7E331FB-01AC-4F53-90D4-C050536BD7C6}" name="Column2453"/>
    <tableColumn id="2485" xr3:uid="{89499551-7B34-4EBC-B48F-041FE73DF49F}" name="Column2454"/>
    <tableColumn id="2486" xr3:uid="{0F16E64B-5449-41D4-A0DE-D897C3A27648}" name="Column2455"/>
    <tableColumn id="2487" xr3:uid="{610153F4-0C03-4F0B-A9CA-0C9323F76CAA}" name="Column2456"/>
    <tableColumn id="2488" xr3:uid="{B5AD8C9A-291C-47AE-B1C9-213C2D67394A}" name="Column2457"/>
    <tableColumn id="2489" xr3:uid="{36E7DC87-83F6-4E79-8EDD-2D92E749E3C7}" name="Column2458"/>
    <tableColumn id="2490" xr3:uid="{5085F7C0-5BB7-4728-B9C8-FF156DB7C8E3}" name="Column2459"/>
    <tableColumn id="2491" xr3:uid="{F39E95A7-A6B8-42F7-8A3E-BD42916B80DD}" name="Column2460"/>
    <tableColumn id="2492" xr3:uid="{DEFEC4E3-90D8-47FF-AECF-E29DDBF8E3DB}" name="Column2461"/>
    <tableColumn id="2493" xr3:uid="{15B441C6-71F1-4176-8B5E-2621078DBB99}" name="Column2462"/>
    <tableColumn id="2494" xr3:uid="{92047691-CCB4-44C8-B62F-7D34AE53AB03}" name="Column2463"/>
    <tableColumn id="2495" xr3:uid="{92891412-A372-43F3-818C-C31054790442}" name="Column2464"/>
    <tableColumn id="2496" xr3:uid="{B89D5E08-6F92-4422-9E92-058AF4F39DD6}" name="Column2465"/>
    <tableColumn id="2497" xr3:uid="{1D6972A8-97B8-4457-B77F-CF7857EA0369}" name="Column2466"/>
    <tableColumn id="2498" xr3:uid="{2C95900B-246F-440C-8D22-2E046E7F1947}" name="Column2467"/>
    <tableColumn id="2499" xr3:uid="{513A273F-F898-484B-944B-34C777F2714A}" name="Column2468"/>
    <tableColumn id="2500" xr3:uid="{4F8DEAD4-4FAE-404E-A845-80E728673BE4}" name="Column2469"/>
    <tableColumn id="2501" xr3:uid="{2413AE5C-C6A1-4727-9498-B3DABAABBF13}" name="Column2470"/>
    <tableColumn id="2502" xr3:uid="{112E5440-F6BD-45BB-BF20-ED032E8C019C}" name="Column2471"/>
    <tableColumn id="2503" xr3:uid="{6F9FDE9D-6AC0-4D11-AC24-CE3A43C2AF19}" name="Column2472"/>
    <tableColumn id="2504" xr3:uid="{5CF282E3-D8AF-4B6A-99DB-B9B141B66114}" name="Column2473"/>
    <tableColumn id="2505" xr3:uid="{5460C926-F11B-4A38-B229-7F71105ABF4F}" name="Column2474"/>
    <tableColumn id="2506" xr3:uid="{FF30ACE0-4356-4984-A598-B83A3506504B}" name="Column2475"/>
    <tableColumn id="2507" xr3:uid="{996A3CA2-8175-4173-ADD7-F0D3FFBD31A6}" name="Column2476"/>
    <tableColumn id="2508" xr3:uid="{89B196B1-DD8C-4035-9012-9A0D83FACAFE}" name="Column2477"/>
    <tableColumn id="2509" xr3:uid="{F2C4E7A5-BCA7-4815-9CDF-8C723665D266}" name="Column2478"/>
    <tableColumn id="2510" xr3:uid="{F2A8E3DA-3957-40E0-987B-EC7A80A8499F}" name="Column2479"/>
    <tableColumn id="2511" xr3:uid="{5C015BCF-1AC6-4A42-A7B2-0AC1A5505A1C}" name="Column2480"/>
    <tableColumn id="2512" xr3:uid="{90D0E755-3C9E-4723-84FA-249DC5117F1C}" name="Column2481"/>
    <tableColumn id="2513" xr3:uid="{F3400235-7E96-4775-AF99-2E43800E5736}" name="Column2482"/>
    <tableColumn id="2514" xr3:uid="{CBE045D3-B4FE-4D4A-B647-5B70B7C36B14}" name="Column2483"/>
    <tableColumn id="2515" xr3:uid="{24ADFD9F-93DB-4F37-9F73-EA726D3B2AD2}" name="Column2484"/>
    <tableColumn id="2516" xr3:uid="{A733B636-8228-4AFA-9D7A-143E61F6E7EC}" name="Column2485"/>
    <tableColumn id="2517" xr3:uid="{8BD71975-6DF9-46DD-B763-1DF108EC647B}" name="Column2486"/>
    <tableColumn id="2518" xr3:uid="{BD827D42-1CF5-46C2-B66E-8116695D3149}" name="Column2487"/>
    <tableColumn id="2519" xr3:uid="{FDB8350D-E99D-49EC-9FE3-B732E26EEECE}" name="Column2488"/>
    <tableColumn id="2520" xr3:uid="{BDDB41BF-0595-4EFC-991A-C9803BE93EB1}" name="Column2489"/>
    <tableColumn id="2521" xr3:uid="{A35DE890-341B-40CB-8BAD-D33F0BFB2CF2}" name="Column2490"/>
    <tableColumn id="2522" xr3:uid="{87964033-CC74-4E4B-9291-69C9FE55110C}" name="Column2491"/>
    <tableColumn id="2523" xr3:uid="{D70D4691-F346-429E-A6A8-533516727576}" name="Column2492"/>
    <tableColumn id="2524" xr3:uid="{4254B952-B6A5-45FF-8A6E-2D83CDA063AF}" name="Column2493"/>
    <tableColumn id="2525" xr3:uid="{2E5BFD46-A746-4E09-81DD-C0F572E0E0CD}" name="Column2494"/>
    <tableColumn id="2526" xr3:uid="{F2C0DA35-AB2E-456E-8761-630CC267A66B}" name="Column2495"/>
    <tableColumn id="2527" xr3:uid="{DCEA9AC8-B103-4012-9755-EA15353DAD56}" name="Column2496"/>
    <tableColumn id="2528" xr3:uid="{98E361D7-99B1-4E1E-82BC-D31CAB1BF872}" name="Column2497"/>
    <tableColumn id="2529" xr3:uid="{18933983-8AF8-454F-81A3-404B3F146F38}" name="Column2498"/>
    <tableColumn id="2530" xr3:uid="{DEDCA6F5-F366-4E3E-AB2D-502ED5986098}" name="Column2499"/>
    <tableColumn id="2531" xr3:uid="{0BC6259C-AE8B-495E-8D78-A055C64B1FB8}" name="Column2500"/>
    <tableColumn id="2532" xr3:uid="{63B6787F-4149-4CF9-9563-26EAF0AD84C7}" name="Column2501"/>
    <tableColumn id="2533" xr3:uid="{A4CCE97E-5AE2-45E6-B328-FC8EA17088A0}" name="Column2502"/>
    <tableColumn id="2534" xr3:uid="{1BE341A8-A10C-4B64-B3B6-0BC66C2D5F98}" name="Column2503"/>
    <tableColumn id="2535" xr3:uid="{16E0FF6C-EFA3-4EC4-BF06-F2BAE202C643}" name="Column2504"/>
    <tableColumn id="2536" xr3:uid="{4D982508-AD57-43FD-8892-A95F9B478658}" name="Column2505"/>
    <tableColumn id="2537" xr3:uid="{4AC4B0EF-CD27-4F34-9C33-70BBB2A83723}" name="Column2506"/>
    <tableColumn id="2538" xr3:uid="{2652A987-FDB5-4A3B-89DD-0EA62DD5861D}" name="Column2507"/>
    <tableColumn id="2539" xr3:uid="{5FD41955-526F-483D-A9D1-36AAB5874367}" name="Column2508"/>
    <tableColumn id="2540" xr3:uid="{ADE9FC55-0E53-4D99-8A0C-5C9452171B82}" name="Column2509"/>
    <tableColumn id="2541" xr3:uid="{07C3D190-EC26-4A2F-BCA1-AB4894AE5AAC}" name="Column2510"/>
    <tableColumn id="2542" xr3:uid="{A0798132-BF2B-49FD-8661-340EA3877883}" name="Column2511"/>
    <tableColumn id="2543" xr3:uid="{245F8C4C-FD73-475D-A595-438FED6D95EA}" name="Column2512"/>
    <tableColumn id="2544" xr3:uid="{A529E5F1-71C0-486B-84E9-177A5474BF32}" name="Column2513"/>
    <tableColumn id="2545" xr3:uid="{5325DFBA-951A-4001-BD74-3BC0F78E48BB}" name="Column2514"/>
    <tableColumn id="2546" xr3:uid="{6686AE07-353C-4325-BCF2-7EE536644AE6}" name="Column2515"/>
    <tableColumn id="2547" xr3:uid="{62A35742-093F-453D-93D2-770B58D6ED8E}" name="Column2516"/>
    <tableColumn id="2548" xr3:uid="{A87BC9EC-5F2A-4773-AE59-F89E5D0DB4E2}" name="Column2517"/>
    <tableColumn id="2549" xr3:uid="{432F4DC0-8387-4D60-8E1E-0D85860CDC74}" name="Column2518"/>
    <tableColumn id="2550" xr3:uid="{CCEFB5F7-2052-4944-B0D1-167794B723D5}" name="Column2519"/>
    <tableColumn id="2551" xr3:uid="{FD6DE36B-F35D-4CF9-A53B-EA59D47F0D23}" name="Column2520"/>
    <tableColumn id="2552" xr3:uid="{3B81E4A8-DE59-4367-A931-97905FDD0D99}" name="Column2521"/>
    <tableColumn id="2553" xr3:uid="{0D0E5585-B8C7-418F-970F-1E9F7F28EAF3}" name="Column2522"/>
    <tableColumn id="2554" xr3:uid="{F96BE519-4CC2-43F9-91EC-B14E56C46BB6}" name="Column2523"/>
    <tableColumn id="2555" xr3:uid="{A7FF449D-233A-46B9-A5E6-B0B5C3E49698}" name="Column2524"/>
    <tableColumn id="2556" xr3:uid="{595661F6-8980-455C-86E4-2ED3C7A44633}" name="Column2525"/>
    <tableColumn id="2557" xr3:uid="{B61B55E1-5D33-4023-BF1F-82A5700054E4}" name="Column2526"/>
    <tableColumn id="2558" xr3:uid="{C68741BF-CD4C-48FA-B17C-E11CEDD360D0}" name="Column2527"/>
    <tableColumn id="2559" xr3:uid="{CE95F204-38A4-4066-8BCB-E85A9A657743}" name="Column2528"/>
    <tableColumn id="2560" xr3:uid="{8FA0942F-633C-4D09-ABD5-E4784F718EDF}" name="Column2529"/>
    <tableColumn id="2561" xr3:uid="{BAC3B995-ACE0-4EAF-9D5D-600D7C6F751D}" name="Column2530"/>
    <tableColumn id="2562" xr3:uid="{4CEE4E25-4FFC-4BD8-85ED-066E7F451DC5}" name="Column2531"/>
    <tableColumn id="2563" xr3:uid="{9FDB38D2-7E46-4C0A-84BE-B18E220336A7}" name="Column2532"/>
    <tableColumn id="2564" xr3:uid="{FAE1E1AE-20E5-4694-9EF1-CB34BB5264CD}" name="Column2533"/>
    <tableColumn id="2565" xr3:uid="{00AD5B92-3C72-43C9-981A-7492D24FDF50}" name="Column2534"/>
    <tableColumn id="2566" xr3:uid="{4A77AFDC-9499-4E90-8BA7-8907B02B0E06}" name="Column2535"/>
    <tableColumn id="2567" xr3:uid="{039E6F6B-8118-4D03-B78D-2D86515C0E7B}" name="Column2536"/>
    <tableColumn id="2568" xr3:uid="{2710B7FC-6EC8-448C-B8D2-D4AADCC5C1A7}" name="Column2537"/>
    <tableColumn id="2569" xr3:uid="{38CD04B1-611D-4A3C-8B96-EF05996285D5}" name="Column2538"/>
    <tableColumn id="2570" xr3:uid="{FF7BDCB8-6823-44BA-99C9-0ED3AC318F69}" name="Column2539"/>
    <tableColumn id="2571" xr3:uid="{9207D0CF-DA66-4639-B854-B155CC83CFDB}" name="Column2540"/>
    <tableColumn id="2572" xr3:uid="{7E37D5D4-EB5D-4C6D-B62A-59714431733C}" name="Column2541"/>
    <tableColumn id="2573" xr3:uid="{EE09255D-4F75-4310-9476-D3A57DC0C1FB}" name="Column2542"/>
    <tableColumn id="2574" xr3:uid="{C38CBFD4-2445-40F7-81E8-814D406D1A50}" name="Column2543"/>
    <tableColumn id="2575" xr3:uid="{892A8837-AC37-4799-A54D-E2CDED146355}" name="Column2544"/>
    <tableColumn id="2576" xr3:uid="{6029651E-71DC-40C8-9F77-78969F502CA2}" name="Column2545"/>
    <tableColumn id="2577" xr3:uid="{1AF724D2-D1AA-4D6A-BC54-3ED39DD0875A}" name="Column2546"/>
    <tableColumn id="2578" xr3:uid="{3F9BCFDB-10BA-4B3C-9EE7-ABB09350A5C4}" name="Column2547"/>
    <tableColumn id="2579" xr3:uid="{FE65E06A-2460-431A-8E98-4715A66AD2DF}" name="Column2548"/>
    <tableColumn id="2580" xr3:uid="{D0877F3D-6F02-4CC5-A3FB-20BBEA6D7C67}" name="Column2549"/>
    <tableColumn id="2581" xr3:uid="{8DD80392-662E-4E3D-9028-8072D7A726D7}" name="Column2550"/>
    <tableColumn id="2582" xr3:uid="{EDB7AB0E-780E-4318-94E4-6E4042B5BBAD}" name="Column2551"/>
    <tableColumn id="2583" xr3:uid="{F3C1E15B-7AAC-499F-BBC1-12122226F692}" name="Column2552"/>
    <tableColumn id="2584" xr3:uid="{AC094A2B-8812-4C44-AE31-B1C70BA35B5F}" name="Column2553"/>
    <tableColumn id="2585" xr3:uid="{9643B66A-4B86-4B97-8513-9342620C63AC}" name="Column2554"/>
    <tableColumn id="2586" xr3:uid="{AB533B16-A5D4-432F-B30F-55A444380FD3}" name="Column2555"/>
    <tableColumn id="2587" xr3:uid="{A9A937C1-AB30-4BEC-A060-848B3B33C292}" name="Column2556"/>
    <tableColumn id="2588" xr3:uid="{369D1006-45D1-4996-9D1F-A5B42F73A675}" name="Column2557"/>
    <tableColumn id="2589" xr3:uid="{0FFEA8C9-6A81-4327-BFE9-B9646D968946}" name="Column2558"/>
    <tableColumn id="2590" xr3:uid="{A486528B-05D7-491B-B6A0-346F1538DCD0}" name="Column2559"/>
    <tableColumn id="2591" xr3:uid="{DAEE0161-C806-4CD7-83A1-8845C407EAB8}" name="Column2560"/>
    <tableColumn id="2592" xr3:uid="{08713F30-2E7C-4F06-A05D-53702BE89746}" name="Column2561"/>
    <tableColumn id="2593" xr3:uid="{53B346AD-4435-46A8-92E9-00BB46F064C3}" name="Column2562"/>
    <tableColumn id="2594" xr3:uid="{6CC1B19E-903F-4AFF-B5FA-F0D75754D207}" name="Column2563"/>
    <tableColumn id="2595" xr3:uid="{7783537D-73A6-4321-83FC-873C96FD1E88}" name="Column2564"/>
    <tableColumn id="2596" xr3:uid="{C03B76A5-CB45-423E-96FB-89C4C0FE72DD}" name="Column2565"/>
    <tableColumn id="2597" xr3:uid="{7AC47E74-8582-488C-909F-0AC7699B1F80}" name="Column2566"/>
    <tableColumn id="2598" xr3:uid="{79B8C7D6-CDCC-405F-8093-5B1753C7DA46}" name="Column2567"/>
    <tableColumn id="2599" xr3:uid="{3BDBCF02-2CA6-4C3E-A11F-021D14C0A3FF}" name="Column2568"/>
    <tableColumn id="2600" xr3:uid="{7BCEBDDE-E4A9-4A30-9A2D-96CD9E3EABF8}" name="Column2569"/>
    <tableColumn id="2601" xr3:uid="{BF45468B-AAB1-40E2-9674-C7D8AA12C501}" name="Column2570"/>
    <tableColumn id="2602" xr3:uid="{A2A5587A-278F-4169-8728-221182185EFF}" name="Column2571"/>
    <tableColumn id="2603" xr3:uid="{8A8BA28C-86C4-443B-BCBA-490C83A99E87}" name="Column2572"/>
    <tableColumn id="2604" xr3:uid="{F36C057E-2865-4BBB-AF19-E0E7A7FCA3B4}" name="Column2573"/>
    <tableColumn id="2605" xr3:uid="{61360169-93A3-4D80-AC6E-3663554A099A}" name="Column2574"/>
    <tableColumn id="2606" xr3:uid="{FC822759-025D-47C1-80C1-481F393A6746}" name="Column2575"/>
    <tableColumn id="2607" xr3:uid="{E02C2F5D-0A21-4902-BA82-AC6DB06765FB}" name="Column2576"/>
    <tableColumn id="2608" xr3:uid="{20178DA0-434F-498A-B1ED-61445B43E9F5}" name="Column2577"/>
    <tableColumn id="2609" xr3:uid="{914F4400-D826-44E3-8B62-F587CDEDC9A7}" name="Column2578"/>
    <tableColumn id="2610" xr3:uid="{E5A381C2-64A1-4D2E-9A6E-5867A7C19B59}" name="Column2579"/>
    <tableColumn id="2611" xr3:uid="{BF4BAAE9-DDD0-4744-B94E-01ED0A57C1D7}" name="Column2580"/>
    <tableColumn id="2612" xr3:uid="{4C20EBB3-4F54-4CFA-87A4-FC3AFB374A57}" name="Column2581"/>
    <tableColumn id="2613" xr3:uid="{234EE463-6A7D-4619-B5B3-6671519D0B95}" name="Column2582"/>
    <tableColumn id="2614" xr3:uid="{FDB8954F-D18E-436A-9A55-0468ED041432}" name="Column2583"/>
    <tableColumn id="2615" xr3:uid="{141BAC3C-E86F-4A1D-BDD5-658FB74724D9}" name="Column2584"/>
    <tableColumn id="2616" xr3:uid="{3BC2D507-8890-4792-8A12-08E88EA34BC8}" name="Column2585"/>
    <tableColumn id="2617" xr3:uid="{33A33F57-8489-4497-A893-33C28B38F66E}" name="Column2586"/>
    <tableColumn id="2618" xr3:uid="{DAE65EA0-D649-42A6-B7BF-259D64770740}" name="Column2587"/>
    <tableColumn id="2619" xr3:uid="{7EC0BF1B-59C8-435A-A41B-8D0DB80D03C1}" name="Column2588"/>
    <tableColumn id="2620" xr3:uid="{D4F2F967-A359-4ABA-B01E-1A789AA09042}" name="Column2589"/>
    <tableColumn id="2621" xr3:uid="{2E2433E6-BD14-4E30-89F4-73D5E04A08A0}" name="Column2590"/>
    <tableColumn id="2622" xr3:uid="{DBE3EBCC-71D2-4F3B-9404-758492F7C092}" name="Column2591"/>
    <tableColumn id="2623" xr3:uid="{67A7CC73-B0AB-4FA5-A2F6-5B9C8CC4C354}" name="Column2592"/>
    <tableColumn id="2624" xr3:uid="{E193699A-A961-434B-811E-47AFEE2A59AC}" name="Column2593"/>
    <tableColumn id="2625" xr3:uid="{37827266-5B0E-4531-B7F8-3C1DFAC55196}" name="Column2594"/>
    <tableColumn id="2626" xr3:uid="{077933B1-A18B-4C0F-8926-41AF5FDC1AD8}" name="Column2595"/>
    <tableColumn id="2627" xr3:uid="{45AA0765-9E54-4F1A-94BE-774BB99A1C89}" name="Column2596"/>
    <tableColumn id="2628" xr3:uid="{B32024B9-11DF-40AF-AA71-BB7FBE81E7A3}" name="Column2597"/>
    <tableColumn id="2629" xr3:uid="{4933C638-905A-4872-A24C-D71090F9784E}" name="Column2598"/>
    <tableColumn id="2630" xr3:uid="{7F2263D2-B52E-4115-856A-4E0C95E44C75}" name="Column2599"/>
    <tableColumn id="2631" xr3:uid="{C0D6013C-C3D2-429D-95C7-8027DF04534C}" name="Column2600"/>
    <tableColumn id="2632" xr3:uid="{5BAC0F5A-55EF-4430-A9FA-CA094AD62900}" name="Column2601"/>
    <tableColumn id="2633" xr3:uid="{EB007328-9B7C-4F9D-B4C5-70FB80BCE9CF}" name="Column2602"/>
    <tableColumn id="2634" xr3:uid="{447FCEA7-6F8E-4ED7-9A81-01A5CFCABE52}" name="Column2603"/>
    <tableColumn id="2635" xr3:uid="{7FA8EC18-A032-40EE-8798-AE43B03E31BE}" name="Column2604"/>
    <tableColumn id="2636" xr3:uid="{F7FC538B-9003-46F1-B618-76F0AC4426FD}" name="Column2605"/>
    <tableColumn id="2637" xr3:uid="{0DBBD0E0-6E4F-4309-BF3C-43F09DD50F56}" name="Column2606"/>
    <tableColumn id="2638" xr3:uid="{AA8BE914-C973-45C5-A31E-AE5BA90A177D}" name="Column2607"/>
    <tableColumn id="2639" xr3:uid="{B2988056-37DB-4620-9583-BA6CB55807FC}" name="Column2608"/>
    <tableColumn id="2640" xr3:uid="{A045BE6B-FAAC-4885-8F07-C3D350B50C54}" name="Column2609"/>
    <tableColumn id="2641" xr3:uid="{90C71165-2196-4D42-A3D9-D65714DB9C12}" name="Column2610"/>
    <tableColumn id="2642" xr3:uid="{FDC7FA02-37B1-4CB8-B10E-E41766819765}" name="Column2611"/>
    <tableColumn id="2643" xr3:uid="{7A0A1097-22D8-4437-8B29-E15740EB25F1}" name="Column2612"/>
    <tableColumn id="2644" xr3:uid="{33C22BC1-BD2D-4BA1-8708-8E09671EBED0}" name="Column2613"/>
    <tableColumn id="2645" xr3:uid="{C4CF937D-8F6A-4F87-B9EB-ED99D11DD728}" name="Column2614"/>
    <tableColumn id="2646" xr3:uid="{A575A2DB-EB60-42C9-93D3-53BC1DB9B00E}" name="Column2615"/>
    <tableColumn id="2647" xr3:uid="{D8AE3288-3326-46A1-B0B9-4BA8A554DED5}" name="Column2616"/>
    <tableColumn id="2648" xr3:uid="{CDE8A161-F2FE-4E65-9787-B56DEF9221A1}" name="Column2617"/>
    <tableColumn id="2649" xr3:uid="{AC0A68A3-7069-49C1-8EFB-21CB9A03AAAC}" name="Column2618"/>
    <tableColumn id="2650" xr3:uid="{A4FC0D3F-47E6-448A-8ABA-C013F69CF78E}" name="Column2619"/>
    <tableColumn id="2651" xr3:uid="{27C4F0F6-FF79-42F1-B347-9AC5D6CC8C72}" name="Column2620"/>
    <tableColumn id="2652" xr3:uid="{1DC854F1-5C8E-401A-9776-9B6E3EEE28C7}" name="Column2621"/>
    <tableColumn id="2653" xr3:uid="{76E04BE9-B407-451C-B6D1-90EAC9597231}" name="Column2622"/>
    <tableColumn id="2654" xr3:uid="{FEB7974C-E11C-4115-B58B-3CD7498EAB30}" name="Column2623"/>
    <tableColumn id="2655" xr3:uid="{0062CFA9-3B1D-4953-92F8-2667499D9292}" name="Column2624"/>
    <tableColumn id="2656" xr3:uid="{CC73B6EA-840B-42C8-9EE5-DF9341EB3D1E}" name="Column2625"/>
    <tableColumn id="2657" xr3:uid="{A5CA5EA5-FEB7-45BE-823A-4A2E1CB5557F}" name="Column2626"/>
    <tableColumn id="2658" xr3:uid="{77405106-3253-49AF-B47A-D98DC025871A}" name="Column2627"/>
    <tableColumn id="2659" xr3:uid="{33484409-9307-4FE7-8C2A-526EED8CE2F5}" name="Column2628"/>
    <tableColumn id="2660" xr3:uid="{F763C049-CB96-4A07-8911-F4A106AB5917}" name="Column2629"/>
    <tableColumn id="2661" xr3:uid="{3822009F-032B-4096-9CBE-B75C60F891EB}" name="Column2630"/>
    <tableColumn id="2662" xr3:uid="{B4BD07A6-23F5-450A-8C9C-74534196AC2D}" name="Column2631"/>
    <tableColumn id="2663" xr3:uid="{9095E477-738C-4CA3-8B4E-577C3BC26623}" name="Column2632"/>
    <tableColumn id="2664" xr3:uid="{031187DF-ABE2-4BFE-8C2B-E499C6C8002F}" name="Column2633"/>
    <tableColumn id="2665" xr3:uid="{C56EEAFF-D4E7-4214-A70D-ACAD7C6AF6F9}" name="Column2634"/>
    <tableColumn id="2666" xr3:uid="{BD3FD3D0-294A-4574-B245-3D17AC51D3A0}" name="Column2635"/>
    <tableColumn id="2667" xr3:uid="{211509C2-8B0B-4C66-95CF-43BB9CADB73D}" name="Column2636"/>
    <tableColumn id="2668" xr3:uid="{44D8828C-56D5-4348-A60F-D46F009279D1}" name="Column2637"/>
    <tableColumn id="2669" xr3:uid="{3F0ABC74-47EE-4128-8091-82962E4645B8}" name="Column2638"/>
    <tableColumn id="2670" xr3:uid="{D4AD0D3E-3A77-4693-AD65-08D4D05FEBD6}" name="Column2639"/>
    <tableColumn id="2671" xr3:uid="{6922BAA3-343A-4070-8AF1-F5D1A2B7ED59}" name="Column2640"/>
    <tableColumn id="2672" xr3:uid="{D5B803CB-0D7F-4E1F-B84D-308C14AD2D1D}" name="Column2641"/>
    <tableColumn id="2673" xr3:uid="{9CE0BD77-2891-4A9C-8849-B1CD4A414C80}" name="Column2642"/>
    <tableColumn id="2674" xr3:uid="{DBF7723C-917A-47DC-8DD1-7B8CA560A5CC}" name="Column2643"/>
    <tableColumn id="2675" xr3:uid="{F0DF9BAC-A1B1-4B0A-9719-3D35B53CF002}" name="Column2644"/>
    <tableColumn id="2676" xr3:uid="{3598FCE6-192B-4B19-B8A6-02727007861D}" name="Column2645"/>
    <tableColumn id="2677" xr3:uid="{0C5F8986-CD38-4DC0-A154-37AFE4A72572}" name="Column2646"/>
    <tableColumn id="2678" xr3:uid="{6CC61C42-7269-4E31-81E4-ABC756D224CC}" name="Column2647"/>
    <tableColumn id="2679" xr3:uid="{A82501CC-3B96-48CE-91CC-2AFCBB205F04}" name="Column2648"/>
    <tableColumn id="2680" xr3:uid="{4D5E83F5-AF8F-42D9-A438-6558E7541B9A}" name="Column2649"/>
    <tableColumn id="2681" xr3:uid="{9347AD71-191A-407B-B7BC-0462B0C4E676}" name="Column2650"/>
    <tableColumn id="2682" xr3:uid="{3C28820D-2B06-46FF-A16C-D15026620EF3}" name="Column2651"/>
    <tableColumn id="2683" xr3:uid="{9869471F-C9B6-4E6E-BA58-60A273CDF28E}" name="Column2652"/>
    <tableColumn id="2684" xr3:uid="{39B3B71D-5D48-4996-A5D4-F67389713F33}" name="Column2653"/>
    <tableColumn id="2685" xr3:uid="{38006897-D00D-4C01-B352-CD341A525397}" name="Column2654"/>
    <tableColumn id="2686" xr3:uid="{694B2FFD-F92F-4250-9A60-5C18EB2AADDE}" name="Column2655"/>
    <tableColumn id="2687" xr3:uid="{D3C189DC-A709-4DCC-A608-0EC996D8B61E}" name="Column2656"/>
    <tableColumn id="2688" xr3:uid="{8D8C5D95-5410-40E7-ACFB-F9127E4AF28E}" name="Column2657"/>
    <tableColumn id="2689" xr3:uid="{10FA4800-1B3F-4DBC-B378-8060E0CDAFC5}" name="Column2658"/>
    <tableColumn id="2690" xr3:uid="{6934B244-5C3A-4A1D-AC72-C346189B632D}" name="Column2659"/>
    <tableColumn id="2691" xr3:uid="{BB657FEB-1D08-4697-ADDC-9CA8E0E73E67}" name="Column2660"/>
    <tableColumn id="2692" xr3:uid="{6FB719A3-EB7F-42B3-BBCD-CC88AE8436F5}" name="Column2661"/>
    <tableColumn id="2693" xr3:uid="{6C82943A-B6CD-4103-A2DC-351BAC98E708}" name="Column2662"/>
    <tableColumn id="2694" xr3:uid="{AE67908F-A0F8-4FAD-A330-3FF8E0164328}" name="Column2663"/>
    <tableColumn id="2695" xr3:uid="{4CE0FA15-36D2-4C17-9C39-75E6D0633898}" name="Column2664"/>
    <tableColumn id="2696" xr3:uid="{81E3875F-4B0C-4346-9984-0A956725B5A5}" name="Column2665"/>
    <tableColumn id="2697" xr3:uid="{9B588620-405F-4022-82C9-254599E28883}" name="Column2666"/>
    <tableColumn id="2698" xr3:uid="{BF70FD30-BC9A-47C6-BC33-F7F28B837040}" name="Column2667"/>
    <tableColumn id="2699" xr3:uid="{BF8D4972-71A9-42A1-9D0C-8BAB68D11724}" name="Column2668"/>
    <tableColumn id="2700" xr3:uid="{FBE44F33-EE3F-4180-8AD3-0E18581CE180}" name="Column2669"/>
    <tableColumn id="2701" xr3:uid="{A8ACAF9D-198F-4AA4-B269-2D95F7EE9E82}" name="Column2670"/>
    <tableColumn id="2702" xr3:uid="{13A0543E-CEE6-4222-A5C0-4DF601BA84F7}" name="Column2671"/>
    <tableColumn id="2703" xr3:uid="{E5DD68B6-7C21-4EC6-B6B9-358F07C026B6}" name="Column2672"/>
    <tableColumn id="2704" xr3:uid="{667D573B-71CC-4260-A436-4B0922088586}" name="Column2673"/>
    <tableColumn id="2705" xr3:uid="{E6170E76-CB0D-4350-97E1-1D0D0E713599}" name="Column2674"/>
    <tableColumn id="2706" xr3:uid="{EBD2453A-2A43-4297-A981-6C357827B2EC}" name="Column2675"/>
    <tableColumn id="2707" xr3:uid="{20675184-3199-44B8-A63F-FC1A20B38EDB}" name="Column2676"/>
    <tableColumn id="2708" xr3:uid="{E89FD006-609F-4AE5-A593-C76E5F2B16E6}" name="Column2677"/>
    <tableColumn id="2709" xr3:uid="{0DFDC0EE-FC14-4A5A-A4C0-6328A22AB651}" name="Column2678"/>
    <tableColumn id="2710" xr3:uid="{031C4745-68D1-45F8-BC55-FD8FA44F35A9}" name="Column2679"/>
    <tableColumn id="2711" xr3:uid="{7C0280C7-4A65-4D0C-9E74-5A1B201A29B1}" name="Column2680"/>
    <tableColumn id="2712" xr3:uid="{4CAE73FB-4940-4A6D-AA8B-AE9D5E5727E8}" name="Column2681"/>
    <tableColumn id="2713" xr3:uid="{6FD446C7-93FC-4FA8-9A4F-8AA5D9ED7844}" name="Column2682"/>
    <tableColumn id="2714" xr3:uid="{14BB5130-88ED-4671-8881-A7A148412199}" name="Column2683"/>
    <tableColumn id="2715" xr3:uid="{ADA42C0C-5279-4743-A011-EB0A5E9C9ECA}" name="Column2684"/>
    <tableColumn id="2716" xr3:uid="{FB500BD3-8AAB-44DC-AACA-5749764DDD76}" name="Column2685"/>
    <tableColumn id="2717" xr3:uid="{DEE670F4-D505-43CD-998E-D5844A23347D}" name="Column2686"/>
    <tableColumn id="2718" xr3:uid="{F59432AA-946F-4099-BCF4-CD8A7319D1A0}" name="Column2687"/>
    <tableColumn id="2719" xr3:uid="{E443EF04-3419-412C-AA63-965A5AA39437}" name="Column2688"/>
    <tableColumn id="2720" xr3:uid="{A60E5403-E790-4E52-8F7E-240144ACA336}" name="Column2689"/>
    <tableColumn id="2721" xr3:uid="{93323237-BFC5-4B15-924B-82E2B5A9467D}" name="Column2690"/>
    <tableColumn id="2722" xr3:uid="{C5323285-945B-4D76-AA7D-FE3AD4D0B134}" name="Column2691"/>
    <tableColumn id="2723" xr3:uid="{12D17D79-5FA9-48C5-9C13-F0E1D26BB709}" name="Column2692"/>
    <tableColumn id="2724" xr3:uid="{3ED1E72C-B541-4185-9EDA-368EE2289833}" name="Column2693"/>
    <tableColumn id="2725" xr3:uid="{C4C101DC-C729-414F-921F-297887678AD4}" name="Column2694"/>
    <tableColumn id="2726" xr3:uid="{A8B8F8A2-02D4-4E87-A7AA-41B6FA2895E7}" name="Column2695"/>
    <tableColumn id="2727" xr3:uid="{7662E05D-4CC4-49E8-BEB5-861C6BB5A4CF}" name="Column2696"/>
    <tableColumn id="2728" xr3:uid="{38FC0F4C-DDFC-4146-A7F0-66D59E9363A7}" name="Column2697"/>
    <tableColumn id="2729" xr3:uid="{7017324B-2262-4C02-90A9-F7BE0689B3E3}" name="Column2698"/>
    <tableColumn id="2730" xr3:uid="{1D0A94DE-F879-447B-A21F-543D48DF9E38}" name="Column2699"/>
    <tableColumn id="2731" xr3:uid="{13F5DB3A-187A-4A11-9CEB-379A1083D8F3}" name="Column2700"/>
    <tableColumn id="2732" xr3:uid="{BCBD93F1-6FDE-4DE4-9287-C680FE98C6FD}" name="Column2701"/>
    <tableColumn id="2733" xr3:uid="{0BF30EE3-ECA8-4C72-87E8-245B837222EE}" name="Column2702"/>
    <tableColumn id="2734" xr3:uid="{EF899AA6-760C-4DFB-B2BB-D58607FD983D}" name="Column2703"/>
    <tableColumn id="2735" xr3:uid="{D7732E0E-3EB8-436C-8923-F8F59C79D873}" name="Column2704"/>
    <tableColumn id="2736" xr3:uid="{AE99C199-BB12-4664-B614-A4D06310B641}" name="Column2705"/>
    <tableColumn id="2737" xr3:uid="{360E3312-87D5-4E41-B783-88683FAD9BF6}" name="Column2706"/>
    <tableColumn id="2738" xr3:uid="{F574E035-3354-4CFF-AD6E-4ED9DEF06FED}" name="Column2707"/>
    <tableColumn id="2739" xr3:uid="{1DA6CA9F-DE8E-4DFF-AD8A-828CB07FB15A}" name="Column2708"/>
    <tableColumn id="2740" xr3:uid="{C5899F04-7576-4441-909C-EC85ED4E6057}" name="Column2709"/>
    <tableColumn id="2741" xr3:uid="{E9419F67-9CD2-4757-8041-871054E7E4F2}" name="Column2710"/>
    <tableColumn id="2742" xr3:uid="{BE9F445D-4EFE-43DD-BA52-F4B73F550BBA}" name="Column2711"/>
    <tableColumn id="2743" xr3:uid="{19882BEF-936F-4107-8EF5-8C73926AEA3C}" name="Column2712"/>
    <tableColumn id="2744" xr3:uid="{C1E32771-44ED-4FF6-8541-E2A70D6AC526}" name="Column2713"/>
    <tableColumn id="2745" xr3:uid="{6EDF9546-192D-4132-A0C0-EA1BF8EE5BAE}" name="Column2714"/>
    <tableColumn id="2746" xr3:uid="{93EC59CF-492F-4ABE-88A2-B55CBD4C2D0E}" name="Column2715"/>
    <tableColumn id="2747" xr3:uid="{1187A4B1-DBD1-46F1-800C-B726FF7E7104}" name="Column2716"/>
    <tableColumn id="2748" xr3:uid="{89F944D7-AC4E-4C9A-90A7-F40DF3853754}" name="Column2717"/>
    <tableColumn id="2749" xr3:uid="{52C951D8-87F5-406A-8430-7AACA1D03805}" name="Column2718"/>
    <tableColumn id="2750" xr3:uid="{045E3549-D4DD-4131-BF3E-CBDDD51EBA16}" name="Column2719"/>
    <tableColumn id="2751" xr3:uid="{2D91C43E-3567-4763-BCFB-D8F83B978CCE}" name="Column2720"/>
    <tableColumn id="2752" xr3:uid="{24F60F21-8D7B-469C-BD8A-276BB2AB1CF9}" name="Column2721"/>
    <tableColumn id="2753" xr3:uid="{1D22F309-92F2-4670-8B9A-C4D1F6BBCB2B}" name="Column2722"/>
    <tableColumn id="2754" xr3:uid="{CE0B6B0D-2219-4782-973C-3FAA2C18EAA6}" name="Column2723"/>
    <tableColumn id="2755" xr3:uid="{C62FBF4F-0AD7-486D-A3C3-D5D8A5C1DD51}" name="Column2724"/>
    <tableColumn id="2756" xr3:uid="{A13EB500-FC74-464B-ABF0-E5BCD712E724}" name="Column2725"/>
    <tableColumn id="2757" xr3:uid="{57373124-FAC9-43DE-B29D-DF2ABA4FE405}" name="Column2726"/>
    <tableColumn id="2758" xr3:uid="{72F6F7D5-9C1E-4523-89AA-EC4C08777FCF}" name="Column2727"/>
    <tableColumn id="2759" xr3:uid="{8DF2E43E-A882-4744-8F56-F527B55521D2}" name="Column2728"/>
    <tableColumn id="2760" xr3:uid="{6F5F511C-9A2E-4C1E-81BE-ED44E322E851}" name="Column2729"/>
    <tableColumn id="2761" xr3:uid="{99F1186A-2D71-45AE-B557-7FDB2DAD3C2E}" name="Column2730"/>
    <tableColumn id="2762" xr3:uid="{5397F82B-7D49-47F5-B238-6A80469959A0}" name="Column2731"/>
    <tableColumn id="2763" xr3:uid="{FF53958E-ECB6-4CD9-A215-81D776BA9B09}" name="Column2732"/>
    <tableColumn id="2764" xr3:uid="{F5EF5F7D-CB87-4422-88D6-6C3CAFB2C3C4}" name="Column2733"/>
    <tableColumn id="2765" xr3:uid="{6AED0CDE-9B45-4F64-BDC8-C2F2C41441EE}" name="Column2734"/>
    <tableColumn id="2766" xr3:uid="{A98E8B06-174F-4EF3-B362-090ED73B4635}" name="Column2735"/>
    <tableColumn id="2767" xr3:uid="{1C5ECEF2-514A-4538-9EB1-EEE87024C21F}" name="Column2736"/>
    <tableColumn id="2768" xr3:uid="{19ECCD40-4091-4600-9D64-8A6FBB2C5139}" name="Column2737"/>
    <tableColumn id="2769" xr3:uid="{BFD60078-CC3E-4108-B67E-A1875BEB88E7}" name="Column2738"/>
    <tableColumn id="2770" xr3:uid="{971C9E45-D2C0-41A8-8542-44A29C55EDE1}" name="Column2739"/>
    <tableColumn id="2771" xr3:uid="{012C5560-D378-47B4-9CBF-73F8E24FEF43}" name="Column2740"/>
    <tableColumn id="2772" xr3:uid="{64D25925-6955-4E64-9914-A5D835DBA205}" name="Column2741"/>
    <tableColumn id="2773" xr3:uid="{922F2C0A-5990-4CCD-BEA9-3CBCDB3F3C3A}" name="Column2742"/>
    <tableColumn id="2774" xr3:uid="{FA428F40-C2A3-4541-9672-4D9FEDDAFCED}" name="Column2743"/>
    <tableColumn id="2775" xr3:uid="{A33B849C-47B9-4B2F-8B2F-7FECD34FC51C}" name="Column2744"/>
    <tableColumn id="2776" xr3:uid="{B4ACA74C-0D92-4E36-B376-193C779B67E6}" name="Column2745"/>
    <tableColumn id="2777" xr3:uid="{22EAD465-3909-400D-83F1-7C76CC97CF9E}" name="Column2746"/>
    <tableColumn id="2778" xr3:uid="{C965875A-1C97-4640-AF04-60845FB1962C}" name="Column2747"/>
    <tableColumn id="2779" xr3:uid="{04EC835A-F2BF-4166-905A-940247B62527}" name="Column2748"/>
    <tableColumn id="2780" xr3:uid="{2EE2AABB-E803-41D7-8108-C8B1DE1F0391}" name="Column2749"/>
    <tableColumn id="2781" xr3:uid="{7EAED2B1-0628-47F4-9956-1CDA0B33B910}" name="Column2750"/>
    <tableColumn id="2782" xr3:uid="{ECA903DC-FF5F-4970-9469-49AF75535282}" name="Column2751"/>
    <tableColumn id="2783" xr3:uid="{4BC8C5D1-C80E-4CC8-A297-B3D729AAB0AC}" name="Column2752"/>
    <tableColumn id="2784" xr3:uid="{02BB4F76-B5C8-425A-9181-2B416A78AC4D}" name="Column2753"/>
    <tableColumn id="2785" xr3:uid="{D8EDF149-C21C-477C-80CE-785DD30289C8}" name="Column2754"/>
    <tableColumn id="2786" xr3:uid="{B5263A7C-168D-45E9-8AAC-E8907773C050}" name="Column2755"/>
    <tableColumn id="2787" xr3:uid="{EF7A0CE6-638E-430C-B39C-5FE1675415F2}" name="Column2756"/>
    <tableColumn id="2788" xr3:uid="{4E404420-5F59-4617-9529-2480935671B3}" name="Column2757"/>
    <tableColumn id="2789" xr3:uid="{9711396A-1479-4488-B7AB-863A4D8DAB3D}" name="Column2758"/>
    <tableColumn id="2790" xr3:uid="{BFC25956-9A3C-4F02-9722-45829FA237C4}" name="Column2759"/>
    <tableColumn id="2791" xr3:uid="{B7D0F589-B8F7-432A-A020-0F77C700AE1C}" name="Column2760"/>
    <tableColumn id="2792" xr3:uid="{47EA7B89-D0AC-44C6-8938-78438A39C307}" name="Column2761"/>
    <tableColumn id="2793" xr3:uid="{B683ECE1-7196-40EA-9A20-89B343ADDF0F}" name="Column2762"/>
    <tableColumn id="2794" xr3:uid="{51EF8D4B-F127-4C25-983D-512EC93A1502}" name="Column2763"/>
    <tableColumn id="2795" xr3:uid="{969104FF-5E3E-49D4-8D6C-E7BA9A5A8593}" name="Column2764"/>
    <tableColumn id="2796" xr3:uid="{1D999A0C-DCCE-4839-9A6C-5E7D9B17CA61}" name="Column2765"/>
    <tableColumn id="2797" xr3:uid="{1FF47C3E-F68C-458D-BA5C-0D3303480885}" name="Column2766"/>
    <tableColumn id="2798" xr3:uid="{D161834D-37AC-4D5F-B94D-82B1D0F69C59}" name="Column2767"/>
    <tableColumn id="2799" xr3:uid="{80D15A30-16EB-4C6E-B9E7-B005A89BD5EA}" name="Column2768"/>
    <tableColumn id="2800" xr3:uid="{B3E99555-3A86-4FFA-A120-85579C52C185}" name="Column2769"/>
    <tableColumn id="2801" xr3:uid="{492BE08F-2C25-4205-8BFA-97B70D05686B}" name="Column2770"/>
    <tableColumn id="2802" xr3:uid="{721DD350-2F15-4378-A387-AC7084A7B83D}" name="Column2771"/>
    <tableColumn id="2803" xr3:uid="{6D717EAC-E0D0-44DD-87BB-803EA6088177}" name="Column2772"/>
    <tableColumn id="2804" xr3:uid="{F8A473AF-968B-42E0-B238-A9F6919128E7}" name="Column2773"/>
    <tableColumn id="2805" xr3:uid="{A35FA6B5-AFDB-4334-9B35-2EBA4368BBFE}" name="Column2774"/>
    <tableColumn id="2806" xr3:uid="{1AD485D0-D9CD-45DF-958C-1E464E262D5E}" name="Column2775"/>
    <tableColumn id="2807" xr3:uid="{9EA87B96-5F32-4944-BDBC-EEF0FB8A084E}" name="Column2776"/>
    <tableColumn id="2808" xr3:uid="{891F731F-16F9-49E8-BD23-6346E9EF4043}" name="Column2777"/>
    <tableColumn id="2809" xr3:uid="{05EDCC4C-7C85-4727-956B-183C4C8696FA}" name="Column2778"/>
    <tableColumn id="2810" xr3:uid="{9317150B-AFCE-43A9-A675-A59659593BF7}" name="Column2779"/>
    <tableColumn id="2811" xr3:uid="{FBF87CAF-F769-4C53-A63B-98CCDF8309B4}" name="Column2780"/>
    <tableColumn id="2812" xr3:uid="{6932C1EF-D58F-4AD7-AC7F-84ED0716F539}" name="Column2781"/>
    <tableColumn id="2813" xr3:uid="{A349225D-AB50-46D5-8DAC-CD82F516867C}" name="Column2782"/>
    <tableColumn id="2814" xr3:uid="{09C68E71-2E52-4299-B0B7-41A18002A075}" name="Column2783"/>
    <tableColumn id="2815" xr3:uid="{0E407517-0019-4431-9A1F-C584D7D53CF0}" name="Column2784"/>
    <tableColumn id="2816" xr3:uid="{4E320632-2808-4AD2-B9DB-E98E4E80308F}" name="Column2785"/>
    <tableColumn id="2817" xr3:uid="{FCF79F62-B021-4500-A5A5-523AC41E40FE}" name="Column2786"/>
    <tableColumn id="2818" xr3:uid="{8FAD31F8-5269-40B3-890D-03E0CF400234}" name="Column2787"/>
    <tableColumn id="2819" xr3:uid="{C4F7E30A-A6D8-4041-A646-80AAFDDEF288}" name="Column2788"/>
    <tableColumn id="2820" xr3:uid="{94F3F329-D7AB-4346-965F-04544B8B58D3}" name="Column2789"/>
    <tableColumn id="2821" xr3:uid="{2853603A-E8D1-4B55-A17E-A61275251CBD}" name="Column2790"/>
    <tableColumn id="2822" xr3:uid="{6C7D674B-0FFC-4A78-8CAF-ED7C45684F4E}" name="Column2791"/>
    <tableColumn id="2823" xr3:uid="{EE095B37-D4FD-430A-BDFF-B7E35A3D5E44}" name="Column2792"/>
    <tableColumn id="2824" xr3:uid="{5C917A2D-000C-439C-8C97-BE5528FB1F4F}" name="Column2793"/>
    <tableColumn id="2825" xr3:uid="{D71382E3-B019-437D-8684-9EE0B8B92ECA}" name="Column2794"/>
    <tableColumn id="2826" xr3:uid="{893AE80C-CEE5-43ED-9DC1-12DA3FE6BFE6}" name="Column2795"/>
    <tableColumn id="2827" xr3:uid="{08C6F9CE-CD30-4A22-8C75-3BF989008AAF}" name="Column2796"/>
    <tableColumn id="2828" xr3:uid="{48D83A39-2F71-43F4-B8F5-E8CE51AD1D1D}" name="Column2797"/>
    <tableColumn id="2829" xr3:uid="{BFF789B0-A31D-4A13-AAEF-CC91342060C6}" name="Column2798"/>
    <tableColumn id="2830" xr3:uid="{11EBDC75-2997-4789-92D5-9554C36F8160}" name="Column2799"/>
    <tableColumn id="2831" xr3:uid="{56E86D07-7572-465E-95B2-272FC2EB5A3E}" name="Column2800"/>
    <tableColumn id="2832" xr3:uid="{F5A2FCA5-2C39-4A9D-A49F-767273607E90}" name="Column2801"/>
    <tableColumn id="2833" xr3:uid="{BB2313CA-23B9-4925-955D-13D881EECE0F}" name="Column2802"/>
    <tableColumn id="2834" xr3:uid="{99D92F3B-DC82-42AC-8C42-57D4796D5B0A}" name="Column2803"/>
    <tableColumn id="2835" xr3:uid="{271A3247-9939-4F45-89B4-A2D51BCD3F41}" name="Column2804"/>
    <tableColumn id="2836" xr3:uid="{57DC55F5-E0D2-4711-B563-DC1A3016201F}" name="Column2805"/>
    <tableColumn id="2837" xr3:uid="{C2C30085-96FF-4380-A298-74E5F634DE61}" name="Column2806"/>
    <tableColumn id="2838" xr3:uid="{72D35F4C-502E-4352-B472-FB94DEF030B7}" name="Column2807"/>
    <tableColumn id="2839" xr3:uid="{7CB54C06-26A3-46C3-A11D-5509E9418FD6}" name="Column2808"/>
    <tableColumn id="2840" xr3:uid="{01680909-E765-4BC6-8674-C8172C731BB1}" name="Column2809"/>
    <tableColumn id="2841" xr3:uid="{400CCB9A-DD8F-4995-877F-049A011E8946}" name="Column2810"/>
    <tableColumn id="2842" xr3:uid="{3527EB1E-0212-461D-ACF0-B700E8B3921B}" name="Column2811"/>
    <tableColumn id="2843" xr3:uid="{EAFE710A-DCA4-4D9E-AAD7-FDDC4AEF01F2}" name="Column2812"/>
    <tableColumn id="2844" xr3:uid="{EC589831-1C73-4917-A23B-AFB6A4F338E3}" name="Column2813"/>
    <tableColumn id="2845" xr3:uid="{83076F94-BE46-44AA-BBBF-E0F60D89EC0C}" name="Column2814"/>
    <tableColumn id="2846" xr3:uid="{C3B50ED8-5521-462C-9817-685264332C27}" name="Column2815"/>
    <tableColumn id="2847" xr3:uid="{5D170D58-47A9-4793-B634-390BBDDF528D}" name="Column2816"/>
    <tableColumn id="2848" xr3:uid="{73D9E75B-372C-455F-993F-AEB9B6EC9B08}" name="Column2817"/>
    <tableColumn id="2849" xr3:uid="{3E5B14CE-AAAF-492A-A0DD-329CA6615372}" name="Column2818"/>
    <tableColumn id="2850" xr3:uid="{AB5A2924-343E-4F67-91CB-3445EA049EA9}" name="Column2819"/>
    <tableColumn id="2851" xr3:uid="{B5A6AB84-E251-4C09-BE19-784BDC47660C}" name="Column2820"/>
    <tableColumn id="2852" xr3:uid="{F724AF74-B4EE-4EAF-B240-5267F640B3F2}" name="Column2821"/>
    <tableColumn id="2853" xr3:uid="{5EBC7763-26EF-426F-B126-D04FB07CBEB5}" name="Column2822"/>
    <tableColumn id="2854" xr3:uid="{EB166BCC-A3A1-4E63-AA22-D237CC3C6E95}" name="Column2823"/>
    <tableColumn id="2855" xr3:uid="{C16C1939-6B36-4771-80FC-6267DA9C233A}" name="Column2824"/>
    <tableColumn id="2856" xr3:uid="{3C1DAED5-B58C-49D4-B888-CED32F51A964}" name="Column2825"/>
    <tableColumn id="2857" xr3:uid="{C8FD04AC-DA4D-4D98-ABB5-E7E88F1C44CF}" name="Column2826"/>
    <tableColumn id="2858" xr3:uid="{0DBA1A31-84BB-4C06-A0AF-354256674332}" name="Column2827"/>
    <tableColumn id="2859" xr3:uid="{0EC63959-EE21-423E-AC25-F2157FEE2152}" name="Column2828"/>
    <tableColumn id="2860" xr3:uid="{24DBCA60-B32C-4413-AA0F-7FE6EB4FD315}" name="Column2829"/>
    <tableColumn id="2861" xr3:uid="{F90745D0-BF25-4755-AB92-BA9C6D5B0DC6}" name="Column2830"/>
    <tableColumn id="2862" xr3:uid="{57BEBD05-BB7D-4224-8392-8FF03B67F9C9}" name="Column2831"/>
    <tableColumn id="2863" xr3:uid="{BFEB5AD8-2F79-4B35-8BFD-6DAACAB265DD}" name="Column2832"/>
    <tableColumn id="2864" xr3:uid="{DC19BC5C-24B2-4AF4-A542-E20423CD3F34}" name="Column2833"/>
    <tableColumn id="2865" xr3:uid="{A36A3F54-A39A-4ECA-BD74-5597213A4B09}" name="Column2834"/>
    <tableColumn id="2866" xr3:uid="{FF048226-9E0E-4C55-A046-A18B6BC0C6CC}" name="Column2835"/>
    <tableColumn id="2867" xr3:uid="{FCAFE959-18AF-4EB3-8A54-0C4C0471CEA5}" name="Column2836"/>
    <tableColumn id="2868" xr3:uid="{04241E92-41AF-482E-B66B-BCCE06F5A289}" name="Column2837"/>
    <tableColumn id="2869" xr3:uid="{34FB159E-E7AB-4579-8948-DC0BE4A2B9FC}" name="Column2838"/>
    <tableColumn id="2870" xr3:uid="{D5E2A48F-6803-4255-8703-B963729822AA}" name="Column2839"/>
    <tableColumn id="2871" xr3:uid="{0D708324-D6E7-406A-9FD0-289E2FC32993}" name="Column2840"/>
    <tableColumn id="2872" xr3:uid="{5D667C06-2469-4BAC-B6F8-7485D77BC7AF}" name="Column2841"/>
    <tableColumn id="2873" xr3:uid="{6FB8D93A-C09A-4AE3-98A4-0DD4CEB69FFD}" name="Column2842"/>
    <tableColumn id="2874" xr3:uid="{5E70F8E6-EF98-4FB8-A536-F7F18C7BA702}" name="Column2843"/>
    <tableColumn id="2875" xr3:uid="{8DE5CC92-1C9C-46DC-8A09-6EA01D36FC26}" name="Column2844"/>
    <tableColumn id="2876" xr3:uid="{ECA7175C-8FC5-461F-8595-4E09A45BD070}" name="Column2845"/>
    <tableColumn id="2877" xr3:uid="{0E73BEFF-4042-409A-9C80-A65FE14AFF81}" name="Column2846"/>
    <tableColumn id="2878" xr3:uid="{33827929-63BE-460E-9E57-D2B05D850C0A}" name="Column2847"/>
    <tableColumn id="2879" xr3:uid="{D6394EC0-CE22-444A-94C3-68B28AA03D9E}" name="Column2848"/>
    <tableColumn id="2880" xr3:uid="{20C323BB-5909-4826-A082-C5BD291CFA34}" name="Column2849"/>
    <tableColumn id="2881" xr3:uid="{8B9B801E-B33F-4D4D-8C59-037299E104D3}" name="Column2850"/>
    <tableColumn id="2882" xr3:uid="{33698B6B-5465-407E-9378-0991DACF9BE9}" name="Column2851"/>
    <tableColumn id="2883" xr3:uid="{4588A77F-7F4B-4B50-BC80-AF8899A58E5A}" name="Column2852"/>
    <tableColumn id="2884" xr3:uid="{23934243-3B80-4B6B-A31B-E532525AC8DC}" name="Column2853"/>
    <tableColumn id="2885" xr3:uid="{E885D535-4393-4EB8-8AE2-334C8E0A48DC}" name="Column2854"/>
    <tableColumn id="2886" xr3:uid="{8C37155A-E6C4-4006-9C8F-02FEE6A50121}" name="Column2855"/>
    <tableColumn id="2887" xr3:uid="{83F02013-A78D-4B0D-A016-D80F8A50094B}" name="Column2856"/>
    <tableColumn id="2888" xr3:uid="{B9242470-7124-46EE-A5B3-EB6C0C936A65}" name="Column2857"/>
    <tableColumn id="2889" xr3:uid="{35CD0A70-4E9E-4505-82DD-6EAFF0FE6DBF}" name="Column2858"/>
    <tableColumn id="2890" xr3:uid="{EC855097-1954-4A73-9CCC-5820DC79C0FE}" name="Column2859"/>
    <tableColumn id="2891" xr3:uid="{5DF42BB1-6B13-4E93-B6E1-B132F35BBB36}" name="Column2860"/>
    <tableColumn id="2892" xr3:uid="{A4C9616B-F522-4936-A3C3-3FF4CD7B98E4}" name="Column2861"/>
    <tableColumn id="2893" xr3:uid="{6B8FA134-4C06-4D02-929B-80B156A582D8}" name="Column2862"/>
    <tableColumn id="2894" xr3:uid="{1F248320-672A-4B0F-A037-3AE0E96CE252}" name="Column2863"/>
    <tableColumn id="2895" xr3:uid="{51751586-7386-4A90-AF22-2C5B5E3FF7DE}" name="Column2864"/>
    <tableColumn id="2896" xr3:uid="{90044D7C-9FBA-4BF8-B108-2EE46428271B}" name="Column2865"/>
    <tableColumn id="2897" xr3:uid="{F8675511-7A3E-40D8-82F7-BB8FE3E3F141}" name="Column2866"/>
    <tableColumn id="2898" xr3:uid="{32C775EE-7947-4ED6-811F-41526889D612}" name="Column2867"/>
    <tableColumn id="2899" xr3:uid="{1C75C8C7-6B15-458E-9363-FB9A0ED55B94}" name="Column2868"/>
    <tableColumn id="2900" xr3:uid="{B7F9927E-C19E-4021-BAA9-87EF6BA87D30}" name="Column2869"/>
    <tableColumn id="2901" xr3:uid="{17EA98B0-3DEA-46B0-9E3C-2E9658E73401}" name="Column2870"/>
    <tableColumn id="2902" xr3:uid="{DECACF0F-FDFA-409A-AA17-81CD51078E65}" name="Column2871"/>
    <tableColumn id="2903" xr3:uid="{13734463-4C2E-4DCC-A3C6-28E30A0C800F}" name="Column2872"/>
    <tableColumn id="2904" xr3:uid="{0C352680-8596-4375-8CEF-6166044FFA74}" name="Column2873"/>
    <tableColumn id="2905" xr3:uid="{8DAD9D79-60E3-4765-B85C-8ECF547D6983}" name="Column2874"/>
    <tableColumn id="2906" xr3:uid="{1D61049B-7A77-4D45-B514-25185E580A98}" name="Column2875"/>
    <tableColumn id="2907" xr3:uid="{0DB12230-76FC-4C1F-BF77-2F19357665AA}" name="Column2876"/>
    <tableColumn id="2908" xr3:uid="{7318E7CA-F197-44D3-ADAF-23BEA4BA022F}" name="Column2877"/>
    <tableColumn id="2909" xr3:uid="{23F5C647-B0DE-402D-BE31-5F579E5FB28C}" name="Column2878"/>
    <tableColumn id="2910" xr3:uid="{B729466C-8766-4AE8-8A15-87750B96F9F4}" name="Column2879"/>
    <tableColumn id="2911" xr3:uid="{C9A4947F-737A-4440-B35E-A4B23C13A961}" name="Column2880"/>
    <tableColumn id="2912" xr3:uid="{21573085-5C21-44BA-86AC-6D861A3AA616}" name="Column2881"/>
    <tableColumn id="2913" xr3:uid="{B7BDB412-4E54-4133-A0AC-FEC7A4356FCC}" name="Column2882"/>
    <tableColumn id="2914" xr3:uid="{F755F740-4C51-47EC-9A44-BF057AFE4A02}" name="Column2883"/>
    <tableColumn id="2915" xr3:uid="{F67704FE-4F0E-4F0B-88DA-BAA8DF82D077}" name="Column2884"/>
    <tableColumn id="2916" xr3:uid="{809B9F37-7C6F-4D04-8994-C07019125A94}" name="Column2885"/>
    <tableColumn id="2917" xr3:uid="{C635F3C2-F4EB-491E-8ACA-1E8C4DD5AC48}" name="Column2886"/>
    <tableColumn id="2918" xr3:uid="{AA75426F-953C-4EB8-98EB-888D761BF694}" name="Column2887"/>
    <tableColumn id="2919" xr3:uid="{85FD1D47-F9C0-4318-8276-3F401442FF89}" name="Column2888"/>
    <tableColumn id="2920" xr3:uid="{FF61DEF5-B11D-4BD2-9EF2-849300BCC128}" name="Column2889"/>
    <tableColumn id="2921" xr3:uid="{87B2AA37-2F69-46D8-9938-0B6AEE54FAB1}" name="Column2890"/>
    <tableColumn id="2922" xr3:uid="{2F74BBA5-84BF-4669-83C0-2F69A0EB6549}" name="Column2891"/>
    <tableColumn id="2923" xr3:uid="{84021B5A-7A20-4719-AEEC-ECAFB3302AB6}" name="Column2892"/>
    <tableColumn id="2924" xr3:uid="{FC1B08BD-1F10-4D64-9B81-16303E5D2688}" name="Column2893"/>
    <tableColumn id="2925" xr3:uid="{F8A2F9C9-F8A6-40B6-95CB-084DFA347712}" name="Column2894"/>
    <tableColumn id="2926" xr3:uid="{DF4BAA56-3560-4D6A-9821-E9657339E104}" name="Column2895"/>
    <tableColumn id="2927" xr3:uid="{E1FE2C8A-62B6-458A-9CC2-5C3ED250F9CA}" name="Column2896"/>
    <tableColumn id="2928" xr3:uid="{D14991A6-D727-4751-B3F4-298350DB1EA2}" name="Column2897"/>
    <tableColumn id="2929" xr3:uid="{114CFF03-15D7-4166-8D36-401F76F2B32C}" name="Column2898"/>
    <tableColumn id="2930" xr3:uid="{C7A54C11-22A8-48F9-BF56-3BE02CBC3865}" name="Column2899"/>
    <tableColumn id="2931" xr3:uid="{93A230F6-9C33-49D3-A215-F462D52224F3}" name="Column2900"/>
    <tableColumn id="2932" xr3:uid="{27CAE42C-B04C-46A5-9774-68C2AE232694}" name="Column2901"/>
    <tableColumn id="2933" xr3:uid="{3756BD8E-44F8-42A9-96D1-C00A997266FF}" name="Column2902"/>
    <tableColumn id="2934" xr3:uid="{1451982E-376B-4459-BDAD-7BB484689B70}" name="Column2903"/>
    <tableColumn id="2935" xr3:uid="{0FD4D3DD-8F2A-4A99-B0F0-1514F96A7DD6}" name="Column2904"/>
    <tableColumn id="2936" xr3:uid="{3AEE2988-9509-45A5-A47C-013D5C69E7C5}" name="Column2905"/>
    <tableColumn id="2937" xr3:uid="{85164F31-CD3B-4411-9E5B-DE35069CFCB3}" name="Column2906"/>
    <tableColumn id="2938" xr3:uid="{10B14F88-AD0D-4F83-92F3-D15B7C361452}" name="Column2907"/>
    <tableColumn id="2939" xr3:uid="{AEB43289-6BFA-4AE6-8F0F-1DD367B42CB3}" name="Column2908"/>
    <tableColumn id="2940" xr3:uid="{276B00CE-488E-470A-8DE8-008B2A5F6AC3}" name="Column2909"/>
    <tableColumn id="2941" xr3:uid="{1D65D4C3-D286-4F40-9F37-C48562337CE9}" name="Column2910"/>
    <tableColumn id="2942" xr3:uid="{497A00C0-189E-45C2-B415-247FD9E14E8D}" name="Column2911"/>
    <tableColumn id="2943" xr3:uid="{8687E20F-FA44-4E6A-B3BF-DE3091376963}" name="Column2912"/>
    <tableColumn id="2944" xr3:uid="{29E4CDEF-EFDA-4A15-81D3-04EC4D7E25EB}" name="Column2913"/>
    <tableColumn id="2945" xr3:uid="{73DD23F7-0DE4-4FC7-83A8-F82DA0FB625C}" name="Column2914"/>
    <tableColumn id="2946" xr3:uid="{FBBB7B11-8F4F-4C1B-AA23-37CABFD39E12}" name="Column2915"/>
    <tableColumn id="2947" xr3:uid="{1C5E55AB-39A1-4156-8520-6D2AF14594A6}" name="Column2916"/>
    <tableColumn id="2948" xr3:uid="{5A5E5C6F-91BB-410F-ACDC-858632B91271}" name="Column2917"/>
    <tableColumn id="2949" xr3:uid="{36973C32-3282-4AE1-BFAA-6B4B25969261}" name="Column2918"/>
    <tableColumn id="2950" xr3:uid="{01BB6D14-E9E0-411A-9C66-7789622FD1A5}" name="Column2919"/>
    <tableColumn id="2951" xr3:uid="{2F51D845-F876-4A0F-89B0-8D83863216B5}" name="Column2920"/>
    <tableColumn id="2952" xr3:uid="{0C64DDCC-E541-44A9-9F08-3A479ED765D5}" name="Column2921"/>
    <tableColumn id="2953" xr3:uid="{C605D7C5-025E-42AF-ABBB-791DFD6A2200}" name="Column2922"/>
    <tableColumn id="2954" xr3:uid="{6CAC4F12-4D61-4AC4-BA61-E3028B4AD72B}" name="Column2923"/>
    <tableColumn id="2955" xr3:uid="{D95666EE-19DA-46A6-9719-B3413C32237F}" name="Column2924"/>
    <tableColumn id="2956" xr3:uid="{EF0AA17E-8BD3-4E8F-8EDC-222B5CE5CF79}" name="Column2925"/>
    <tableColumn id="2957" xr3:uid="{C9ECE470-0284-49FD-800E-B6DD0A1D88C3}" name="Column2926"/>
    <tableColumn id="2958" xr3:uid="{1ADFDCC4-C36D-4B0A-9898-2FB6B3DC4400}" name="Column2927"/>
    <tableColumn id="2959" xr3:uid="{D8EB208E-1844-40F6-80E6-0AC17A5B3628}" name="Column2928"/>
    <tableColumn id="2960" xr3:uid="{17BCC7FE-3B25-4F5F-921F-85706D5828C0}" name="Column2929"/>
    <tableColumn id="2961" xr3:uid="{353075C9-4D3D-4DC4-97C8-10E8BB730E16}" name="Column2930"/>
    <tableColumn id="2962" xr3:uid="{0EAC4D82-2121-4583-8949-92C3E53F1F8D}" name="Column2931"/>
    <tableColumn id="2963" xr3:uid="{1BEB8DF3-5B49-4616-992B-7DB5F2C3B940}" name="Column2932"/>
    <tableColumn id="2964" xr3:uid="{4EA5D960-6C3C-4999-B06A-F2A4378B405A}" name="Column2933"/>
    <tableColumn id="2965" xr3:uid="{FEC12756-CEEE-46FC-ABA7-AF44AC5D583B}" name="Column2934"/>
    <tableColumn id="2966" xr3:uid="{4E63828B-C5CB-4A87-BE95-EAED55879F52}" name="Column2935"/>
    <tableColumn id="2967" xr3:uid="{C7F5841A-E1FD-463A-83E7-725427D1B2AD}" name="Column2936"/>
    <tableColumn id="2968" xr3:uid="{FFDDBF5C-FCBE-4C5E-95E7-7887D3DB6C7A}" name="Column2937"/>
    <tableColumn id="2969" xr3:uid="{970C7BA2-12E7-4D57-A49A-417AEDF422D3}" name="Column2938"/>
    <tableColumn id="2970" xr3:uid="{0EB69CAC-2ABA-44A2-BE28-0107EA0CCD1D}" name="Column2939"/>
    <tableColumn id="2971" xr3:uid="{B59452CF-F92F-476F-817E-3B6C64F0B34F}" name="Column2940"/>
    <tableColumn id="2972" xr3:uid="{AF25C34F-37F0-424A-AB83-C75A304FB6F5}" name="Column2941"/>
    <tableColumn id="2973" xr3:uid="{0FD05F0B-5D85-4421-BB81-3837D1A44AF8}" name="Column2942"/>
    <tableColumn id="2974" xr3:uid="{FF8263E4-B18A-422E-AD36-2FC3CD58A3C0}" name="Column2943"/>
    <tableColumn id="2975" xr3:uid="{CFCEE595-A5FB-4C4D-8520-60D515855312}" name="Column2944"/>
    <tableColumn id="2976" xr3:uid="{1033B798-3CE8-40B2-89E5-06A1901E9CF1}" name="Column2945"/>
    <tableColumn id="2977" xr3:uid="{81E12691-B9B8-4E02-A042-38F7AB00C9FD}" name="Column2946"/>
    <tableColumn id="2978" xr3:uid="{E0497B3A-1D8E-4800-B702-3FD56FE28CA6}" name="Column2947"/>
    <tableColumn id="2979" xr3:uid="{011660D8-5A17-41E3-B180-84AE6157BC85}" name="Column2948"/>
    <tableColumn id="2980" xr3:uid="{963947EA-EF30-4A30-BD7B-6645A4F7D4F3}" name="Column2949"/>
    <tableColumn id="2981" xr3:uid="{E8FEF4C1-5FDC-4861-AB4E-CFD6F66FBE32}" name="Column2950"/>
    <tableColumn id="2982" xr3:uid="{EA7B9A82-3F64-494E-A481-BAA8699D2AE0}" name="Column2951"/>
    <tableColumn id="2983" xr3:uid="{B7B2DAFD-862F-4108-A888-68E32A73F83C}" name="Column2952"/>
    <tableColumn id="2984" xr3:uid="{46E89160-1302-42FE-9426-02DA67E56C20}" name="Column2953"/>
    <tableColumn id="2985" xr3:uid="{D34DD14A-143B-4BA0-8059-C395866933EF}" name="Column2954"/>
    <tableColumn id="2986" xr3:uid="{1CC5D652-470A-4D46-A52E-6ACCFED4D9D1}" name="Column2955"/>
    <tableColumn id="2987" xr3:uid="{41C2696D-11EE-4084-A749-DED746F4A7A1}" name="Column2956"/>
    <tableColumn id="2988" xr3:uid="{5ABAFED8-0DC7-4122-9A31-70F16AA20A6C}" name="Column2957"/>
    <tableColumn id="2989" xr3:uid="{DD6923C5-0F58-4707-A39D-2D10E41AB077}" name="Column2958"/>
    <tableColumn id="2990" xr3:uid="{3A59362F-243C-4F2E-A43E-3A9C65870771}" name="Column2959"/>
    <tableColumn id="2991" xr3:uid="{4320EF29-B086-4519-B18C-8CE71F67BD3B}" name="Column2960"/>
    <tableColumn id="2992" xr3:uid="{ADA1C06E-5D9E-42B0-89EC-624F4788ED9C}" name="Column2961"/>
    <tableColumn id="2993" xr3:uid="{1AA938A3-AF37-4F86-B314-49FBD5B3B038}" name="Column2962"/>
    <tableColumn id="2994" xr3:uid="{A4BFEF61-6449-471F-800C-30A4501B7929}" name="Column2963"/>
    <tableColumn id="2995" xr3:uid="{67EDDA87-573D-4A4B-87ED-1237B41544DC}" name="Column2964"/>
    <tableColumn id="2996" xr3:uid="{50CA7185-EE43-42A5-98C0-E5F781407B6F}" name="Column2965"/>
    <tableColumn id="2997" xr3:uid="{9DAE49C3-F867-45BD-AA67-13E6F0DDE6D7}" name="Column2966"/>
    <tableColumn id="2998" xr3:uid="{BFDB4BBE-F62F-4745-8DF6-B5D9994E0AC6}" name="Column2967"/>
    <tableColumn id="2999" xr3:uid="{3400C110-D819-486F-A388-F20D5AB048C1}" name="Column2968"/>
    <tableColumn id="3000" xr3:uid="{35D3617E-1CC2-4A7A-9F29-7D9C6EA3C250}" name="Column2969"/>
    <tableColumn id="3001" xr3:uid="{18958689-FB0D-4411-B361-7BF2EC65FAE2}" name="Column2970"/>
    <tableColumn id="3002" xr3:uid="{C61C7677-C211-4FB8-B7F2-6B244008CF3A}" name="Column2971"/>
    <tableColumn id="3003" xr3:uid="{D5732FF6-2944-4B29-B6DF-E4B57853B7D3}" name="Column2972"/>
    <tableColumn id="3004" xr3:uid="{3B2979DC-8142-4172-8476-5E056649345E}" name="Column2973"/>
    <tableColumn id="3005" xr3:uid="{CE859111-51AE-4DAD-A81B-58EDBD626374}" name="Column2974"/>
    <tableColumn id="3006" xr3:uid="{51BEC5E9-CA41-46C3-A099-F8673E840F01}" name="Column2975"/>
    <tableColumn id="3007" xr3:uid="{9DC60304-6F85-4BDE-8104-F27E85BFDD54}" name="Column2976"/>
    <tableColumn id="3008" xr3:uid="{0A3D56AC-B5B0-49FE-B19D-BE5169764434}" name="Column2977"/>
    <tableColumn id="3009" xr3:uid="{7DFF49BE-7AF3-4F16-8138-A87987460ABA}" name="Column2978"/>
    <tableColumn id="3010" xr3:uid="{BC498E73-7096-4E62-B37D-B030043319E6}" name="Column2979"/>
    <tableColumn id="3011" xr3:uid="{61E7C835-403A-4DF6-A9F4-28AC2A1DF270}" name="Column2980"/>
    <tableColumn id="3012" xr3:uid="{7FA63798-1FC5-4663-A722-651DF7602825}" name="Column2981"/>
    <tableColumn id="3013" xr3:uid="{F21433C2-A570-46AD-B1E5-7D8CD3E013C9}" name="Column2982"/>
    <tableColumn id="3014" xr3:uid="{7FD2D124-4155-4DB5-A341-39B232985C3D}" name="Column2983"/>
    <tableColumn id="3015" xr3:uid="{168BF7A8-F57F-48BF-BF3C-02E6E3883719}" name="Column2984"/>
    <tableColumn id="3016" xr3:uid="{0D7F6C14-736A-4D8D-ADE6-DBD8FFB1E682}" name="Column2985"/>
    <tableColumn id="3017" xr3:uid="{EF50FD3C-4FB2-4DE6-8D74-FD2406041DC2}" name="Column2986"/>
    <tableColumn id="3018" xr3:uid="{93FD95F1-C8EC-4E3A-8DE8-E98C7364BA1F}" name="Column2987"/>
    <tableColumn id="3019" xr3:uid="{1AC8373E-254F-465D-BB8E-0AE8CD586044}" name="Column2988"/>
    <tableColumn id="3020" xr3:uid="{F84AC59F-50A0-46C9-B28A-D478758F8ADF}" name="Column2989"/>
    <tableColumn id="3021" xr3:uid="{C2899B59-558E-4670-B0D3-3A1A12FA3D38}" name="Column2990"/>
    <tableColumn id="3022" xr3:uid="{FFBA5CBE-E2ED-4234-B5A6-F69DE36FA747}" name="Column2991"/>
    <tableColumn id="3023" xr3:uid="{77B777B2-7853-4AB2-A373-6ADE6113FA9E}" name="Column2992"/>
    <tableColumn id="3024" xr3:uid="{293E42FA-E709-4657-959D-2A23327DF06E}" name="Column2993"/>
    <tableColumn id="3025" xr3:uid="{5AF63BDA-BCF2-4708-B4D3-B8BC094F64C4}" name="Column2994"/>
    <tableColumn id="3026" xr3:uid="{B871A875-E1D9-4257-96F6-C652537A83D7}" name="Column2995"/>
    <tableColumn id="3027" xr3:uid="{01103523-78DE-4432-8F66-B08D346CA082}" name="Column2996"/>
    <tableColumn id="3028" xr3:uid="{0625E80F-67A7-4AEA-B4BB-1CD4EA1C2458}" name="Column2997"/>
    <tableColumn id="3029" xr3:uid="{3830655B-3D23-4BB2-87CD-17C152E4EA49}" name="Column2998"/>
    <tableColumn id="3030" xr3:uid="{2F2FFB7C-05AF-4F47-B6C0-C51BF3F54074}" name="Column2999"/>
    <tableColumn id="3031" xr3:uid="{8CFFD701-4B8A-461C-AE5E-91A3468234AC}" name="Column3000"/>
    <tableColumn id="3032" xr3:uid="{15643968-5ABB-497B-8307-4062096403ED}" name="Column3001"/>
    <tableColumn id="3033" xr3:uid="{BBE2E85F-60CB-4238-85FB-FE537605CD36}" name="Column3002"/>
    <tableColumn id="3034" xr3:uid="{BDAE0111-D015-4191-AC28-9CC61B73DCCB}" name="Column3003"/>
    <tableColumn id="3035" xr3:uid="{2A0FFA58-2966-41B5-B0FC-29FDD3CA3727}" name="Column3004"/>
    <tableColumn id="3036" xr3:uid="{8A8CF59E-B75C-422A-AD48-477617AC35ED}" name="Column3005"/>
    <tableColumn id="3037" xr3:uid="{4045D9B5-D5F9-4165-9E7F-C3B56828129E}" name="Column3006"/>
    <tableColumn id="3038" xr3:uid="{C7963613-5853-4F88-BE39-532200A1ACF6}" name="Column3007"/>
    <tableColumn id="3039" xr3:uid="{3400EAC8-1239-45C8-BF76-11A4C11D1A8F}" name="Column3008"/>
    <tableColumn id="3040" xr3:uid="{D080256D-48AB-4B87-B327-BA4CEA3B7B75}" name="Column3009"/>
    <tableColumn id="3041" xr3:uid="{F2E369A5-DB6B-45A0-AD32-9AE4AF6713EC}" name="Column3010"/>
    <tableColumn id="3042" xr3:uid="{202E395A-ADEE-42AC-8354-D88868766F2F}" name="Column3011"/>
    <tableColumn id="3043" xr3:uid="{2A4EC93B-E688-47F4-AD8D-9FCA592C0783}" name="Column3012"/>
    <tableColumn id="3044" xr3:uid="{A694097A-6535-4AC9-A5A4-426FFC0958AB}" name="Column3013"/>
    <tableColumn id="3045" xr3:uid="{6A340E74-EE2C-41CA-AAEE-5891AEFDDF9E}" name="Column3014"/>
    <tableColumn id="3046" xr3:uid="{FC56E936-6D3D-42C2-AAFC-E54D4785F6E4}" name="Column3015"/>
    <tableColumn id="3047" xr3:uid="{FFC0A611-417B-4854-9273-9E9FEB6B3725}" name="Column3016"/>
    <tableColumn id="3048" xr3:uid="{8918AADA-B4E9-49C1-BB5E-B07CCD373EBB}" name="Column3017"/>
    <tableColumn id="3049" xr3:uid="{52A8D3B7-D559-4DC6-962B-D1C6CE37A52D}" name="Column3018"/>
    <tableColumn id="3050" xr3:uid="{D30D47AB-A988-42BD-B077-899F3AA6E863}" name="Column3019"/>
    <tableColumn id="3051" xr3:uid="{680C2E91-879A-4940-99ED-2B6A653011CA}" name="Column3020"/>
    <tableColumn id="3052" xr3:uid="{E8017C63-3D0E-4A90-A171-21361C2A04EF}" name="Column3021"/>
    <tableColumn id="3053" xr3:uid="{E5798E63-B822-4AB2-88F6-ECEB14B9D4C9}" name="Column3022"/>
    <tableColumn id="3054" xr3:uid="{654FAD88-D429-4CDD-B067-BC5160AE5DAF}" name="Column3023"/>
    <tableColumn id="3055" xr3:uid="{3FB029D9-D7BE-4061-9A60-12FE625059F2}" name="Column3024"/>
    <tableColumn id="3056" xr3:uid="{93FDADF5-85C2-4C8E-A4AC-4BBF4A216280}" name="Column3025"/>
    <tableColumn id="3057" xr3:uid="{DE15FDEC-3A5E-4B9A-81C0-045C30EB3B63}" name="Column3026"/>
    <tableColumn id="3058" xr3:uid="{F1ACC8A0-B6AF-4773-8AE1-55D9BADAE1B7}" name="Column3027"/>
    <tableColumn id="3059" xr3:uid="{FAE571CA-2A67-4D5F-93A3-092DADD4D873}" name="Column3028"/>
    <tableColumn id="3060" xr3:uid="{E6077F5A-8311-4148-8E56-8B0F1B706A7A}" name="Column3029"/>
    <tableColumn id="3061" xr3:uid="{648A3D06-3F2F-404F-A81D-E652A5F04D43}" name="Column3030"/>
    <tableColumn id="3062" xr3:uid="{0966B202-1E9C-4177-AE5D-6FB19CBC3C10}" name="Column3031"/>
    <tableColumn id="3063" xr3:uid="{DA5B2584-7A97-4175-89D5-C6E340A0AC8C}" name="Column3032"/>
    <tableColumn id="3064" xr3:uid="{E8A52458-BD19-4442-A78D-5688A503A616}" name="Column3033"/>
    <tableColumn id="3065" xr3:uid="{DC157946-AEDA-4C3E-9D10-EF89BFD46476}" name="Column3034"/>
    <tableColumn id="3066" xr3:uid="{601B516B-A95F-4B82-B144-94829A678FE6}" name="Column3035"/>
    <tableColumn id="3067" xr3:uid="{42452CC0-07A0-443A-91E0-440154A7596C}" name="Column3036"/>
    <tableColumn id="3068" xr3:uid="{52358D1B-79F5-4B91-BC55-B29B83DA0365}" name="Column3037"/>
    <tableColumn id="3069" xr3:uid="{069A1342-A717-4BC0-A13F-99F52FF49C9C}" name="Column3038"/>
    <tableColumn id="3070" xr3:uid="{9F76D60E-1744-4601-B93A-538FA2990821}" name="Column3039"/>
    <tableColumn id="3071" xr3:uid="{7DC43C46-1936-4648-AAC6-8E9CB56F7C61}" name="Column3040"/>
    <tableColumn id="3072" xr3:uid="{D9BE380A-7207-42D0-9F17-28F9D5B65AB6}" name="Column3041"/>
    <tableColumn id="3073" xr3:uid="{74E65348-0BA4-4456-A732-D0269A82F94C}" name="Column3042"/>
    <tableColumn id="3074" xr3:uid="{2103F854-807D-4AEE-A8CE-CECA56A274E4}" name="Column3043"/>
    <tableColumn id="3075" xr3:uid="{256E1479-DB7D-4096-9E3D-B7E90E567312}" name="Column3044"/>
    <tableColumn id="3076" xr3:uid="{94490A68-72B4-4224-8EC9-C30845F012A5}" name="Column3045"/>
    <tableColumn id="3077" xr3:uid="{96E67902-2ABA-44FC-B4E1-3D8FE6DB9EBA}" name="Column3046"/>
    <tableColumn id="3078" xr3:uid="{20F0A486-B377-44D2-B19E-B25619BACCA1}" name="Column3047"/>
    <tableColumn id="3079" xr3:uid="{6F445DDF-92DD-4F34-99E4-99A608146277}" name="Column3048"/>
    <tableColumn id="3080" xr3:uid="{BC73E42A-3C15-4223-8E79-BC9B15CA9105}" name="Column3049"/>
    <tableColumn id="3081" xr3:uid="{21AF0A03-0FF5-4D33-AA3F-D829D16EF37B}" name="Column3050"/>
    <tableColumn id="3082" xr3:uid="{BFA80CB2-EA57-4F70-ADAA-03C372941C67}" name="Column3051"/>
    <tableColumn id="3083" xr3:uid="{132537CA-7772-48FE-BEF6-2E277C79491A}" name="Column3052"/>
    <tableColumn id="3084" xr3:uid="{7F3F80D1-9E4D-42A5-B176-D22C3304F899}" name="Column3053"/>
    <tableColumn id="3085" xr3:uid="{DB324A2E-279D-4391-8583-B98856C3AF89}" name="Column3054"/>
    <tableColumn id="3086" xr3:uid="{4AD564E8-D736-426B-AA6B-DB3DFFA1111F}" name="Column3055"/>
    <tableColumn id="3087" xr3:uid="{A4DAA696-65EC-404C-BFA0-6ABB27DFDF0C}" name="Column3056"/>
    <tableColumn id="3088" xr3:uid="{1477A8C7-1217-4355-8DB2-74F143782423}" name="Column3057"/>
    <tableColumn id="3089" xr3:uid="{07E69409-6186-4393-960B-35CA9ABACA80}" name="Column3058"/>
    <tableColumn id="3090" xr3:uid="{652058F5-D09C-4A25-86ED-A50AB284C403}" name="Column3059"/>
    <tableColumn id="3091" xr3:uid="{3271636B-7C45-481B-A213-546757A67473}" name="Column3060"/>
    <tableColumn id="3092" xr3:uid="{78448DE7-671D-4E48-BD2A-6722483C8B05}" name="Column3061"/>
    <tableColumn id="3093" xr3:uid="{EF0DABD1-0837-403D-A075-FDFA249D6533}" name="Column3062"/>
    <tableColumn id="3094" xr3:uid="{6956654B-8EE1-4512-9A5C-093C5D6AC7F3}" name="Column3063"/>
    <tableColumn id="3095" xr3:uid="{1C90B546-0179-4E63-9E82-5B9D212AE9F0}" name="Column3064"/>
    <tableColumn id="3096" xr3:uid="{26B229E3-F02F-42B0-8822-4A5815F15B8A}" name="Column3065"/>
    <tableColumn id="3097" xr3:uid="{B4631DCF-448A-483B-BF54-08704535591F}" name="Column3066"/>
    <tableColumn id="3098" xr3:uid="{0E408907-216F-4932-9FA4-802F3E7F519B}" name="Column3067"/>
    <tableColumn id="3099" xr3:uid="{F45830C3-EADF-4393-BC15-9DC906A615D1}" name="Column3068"/>
    <tableColumn id="3100" xr3:uid="{B5C0AFA8-6689-4EB0-A7DE-9B2694667C9C}" name="Column3069"/>
    <tableColumn id="3101" xr3:uid="{3EEBD5C2-98F7-4725-9052-19513B6E1523}" name="Column3070"/>
    <tableColumn id="3102" xr3:uid="{32226963-B3C5-4B86-89CD-09821B7C423C}" name="Column3071"/>
    <tableColumn id="3103" xr3:uid="{2E3FC973-8BA8-410E-907F-E42A61D6B818}" name="Column3072"/>
    <tableColumn id="3104" xr3:uid="{AC0F23EC-9A45-486F-B2A1-00366455D290}" name="Column3073"/>
    <tableColumn id="3105" xr3:uid="{7D359774-6227-4679-A068-956C89FD7E28}" name="Column3074"/>
    <tableColumn id="3106" xr3:uid="{F3C44068-39FA-49B3-894F-D629F9590A8F}" name="Column3075"/>
    <tableColumn id="3107" xr3:uid="{0D9B6728-9FBE-41FF-86BD-24B43DF5490F}" name="Column3076"/>
    <tableColumn id="3108" xr3:uid="{5693FE65-09B9-4530-AAAB-515E5DF9BCDD}" name="Column3077"/>
    <tableColumn id="3109" xr3:uid="{57C79D30-973F-402A-A95B-AE61DE924DF4}" name="Column3078"/>
    <tableColumn id="3110" xr3:uid="{0E0926EC-68AD-4D33-97E4-2401132A3C34}" name="Column3079"/>
    <tableColumn id="3111" xr3:uid="{F70C2144-9251-4796-84D0-09DC5B0384B7}" name="Column3080"/>
    <tableColumn id="3112" xr3:uid="{B3093AE0-AFBC-4808-AB0A-41EB2B3421B4}" name="Column3081"/>
    <tableColumn id="3113" xr3:uid="{AEB95551-DD36-475A-8445-5A45245D29C4}" name="Column3082"/>
    <tableColumn id="3114" xr3:uid="{F1E487C8-699F-49EF-B1FF-C08B26941A2C}" name="Column3083"/>
    <tableColumn id="3115" xr3:uid="{17EB5C98-715D-4631-962B-65367AD96DB4}" name="Column3084"/>
    <tableColumn id="3116" xr3:uid="{94A47BF2-F043-4442-843B-B21F3A272841}" name="Column3085"/>
    <tableColumn id="3117" xr3:uid="{6DE38D87-FF28-4912-9B28-ECAF1DDF14C5}" name="Column3086"/>
    <tableColumn id="3118" xr3:uid="{C88CA530-E508-4563-BE4E-F86BAAC31DE2}" name="Column3087"/>
    <tableColumn id="3119" xr3:uid="{D232E578-8CD8-4A37-914B-9ACF54700633}" name="Column3088"/>
    <tableColumn id="3120" xr3:uid="{D6D3875A-5290-4424-B3CE-83F92CF1D54A}" name="Column3089"/>
    <tableColumn id="3121" xr3:uid="{DC3CC477-E8B7-4B06-AC6D-4DA2D4063950}" name="Column3090"/>
    <tableColumn id="3122" xr3:uid="{5D5804F0-4FCA-41D7-9AF8-D447C6653610}" name="Column3091"/>
    <tableColumn id="3123" xr3:uid="{234A55B4-22B8-4B66-B53A-BD57C6D01304}" name="Column3092"/>
    <tableColumn id="3124" xr3:uid="{8EF22FC5-773C-4AD6-B90D-C3375346FD43}" name="Column3093"/>
    <tableColumn id="3125" xr3:uid="{A6875125-809D-469F-97E5-3D893CB62A5F}" name="Column3094"/>
    <tableColumn id="3126" xr3:uid="{59E7F73F-324A-4656-847B-7B109A62D14A}" name="Column3095"/>
    <tableColumn id="3127" xr3:uid="{73FA5C2E-E807-4B00-A148-772C569549AB}" name="Column3096"/>
    <tableColumn id="3128" xr3:uid="{4B0D557D-B393-4ED2-A446-2A93B227020E}" name="Column3097"/>
    <tableColumn id="3129" xr3:uid="{30FACA90-4CB9-44B4-8D23-0599BB9B55F3}" name="Column3098"/>
    <tableColumn id="3130" xr3:uid="{1C2469A3-2924-4252-A6F9-1F783700DAF7}" name="Column3099"/>
    <tableColumn id="3131" xr3:uid="{D432A960-FE3A-4C00-8476-E115ABE7DFE5}" name="Column3100"/>
    <tableColumn id="3132" xr3:uid="{03DC24D3-C556-4AD8-AD30-3F67E72991EC}" name="Column3101"/>
    <tableColumn id="3133" xr3:uid="{107645EE-717F-4A37-8AD1-138DFA9E9471}" name="Column3102"/>
    <tableColumn id="3134" xr3:uid="{71E3FA01-7D6E-49C5-8874-EB82B819E2EB}" name="Column3103"/>
    <tableColumn id="3135" xr3:uid="{81706C0D-AAE8-4628-95BC-9A98720FD5E0}" name="Column3104"/>
    <tableColumn id="3136" xr3:uid="{7282E537-D28B-4D18-8788-1BA864C20D32}" name="Column3105"/>
    <tableColumn id="3137" xr3:uid="{DEFF7A93-56FE-43C9-A736-1DD045A596E7}" name="Column3106"/>
    <tableColumn id="3138" xr3:uid="{6F76B974-CE55-44CF-90FE-462044DB2825}" name="Column3107"/>
    <tableColumn id="3139" xr3:uid="{AB218156-956A-4105-972D-7138296DCD05}" name="Column3108"/>
    <tableColumn id="3140" xr3:uid="{E2A9A088-1CF3-433A-8F5E-E4FD84249229}" name="Column3109"/>
    <tableColumn id="3141" xr3:uid="{D1D28895-34E3-49D0-B690-173C45EF1CC5}" name="Column3110"/>
    <tableColumn id="3142" xr3:uid="{861694C6-8A9D-4A45-BD28-7467F4D2F878}" name="Column3111"/>
    <tableColumn id="3143" xr3:uid="{995D7FF6-CCAD-46A5-AB5A-A3F781C40D64}" name="Column3112"/>
    <tableColumn id="3144" xr3:uid="{5CADB6F0-B51F-4749-A19E-0984A74CC58A}" name="Column3113"/>
    <tableColumn id="3145" xr3:uid="{B2FC2CE7-3859-4331-9F2D-CB444AE1E154}" name="Column3114"/>
    <tableColumn id="3146" xr3:uid="{6CF6B43F-6017-495C-A9EA-56FFFB8E0593}" name="Column3115"/>
    <tableColumn id="3147" xr3:uid="{01486AFC-E43A-464E-B1EB-465A6874C76B}" name="Column3116"/>
    <tableColumn id="3148" xr3:uid="{08346548-E62F-4F3A-8752-DBB81F840B3E}" name="Column3117"/>
    <tableColumn id="3149" xr3:uid="{675B50B4-D948-4F24-9E02-A00D672C4589}" name="Column3118"/>
    <tableColumn id="3150" xr3:uid="{4BA7A31B-B22C-46F2-BD50-44FC20BF78E0}" name="Column3119"/>
    <tableColumn id="3151" xr3:uid="{728B5F64-69F9-440E-BEDC-1B3B3133D9F8}" name="Column3120"/>
    <tableColumn id="3152" xr3:uid="{7D28A871-8D6D-4320-B182-FF8780B03A0D}" name="Column3121"/>
    <tableColumn id="3153" xr3:uid="{217E0EF9-8147-414F-AEF9-A923E4E12947}" name="Column3122"/>
    <tableColumn id="3154" xr3:uid="{47DA5A3B-5A71-4045-881A-0CFAD9A1A448}" name="Column3123"/>
    <tableColumn id="3155" xr3:uid="{FC445A5D-5BA0-46CC-9D4C-DC660D2FC001}" name="Column3124"/>
    <tableColumn id="3156" xr3:uid="{0F2B1C37-5D7E-4800-B9BD-79E3F7E2FF06}" name="Column3125"/>
    <tableColumn id="3157" xr3:uid="{DA9DF825-AF71-4871-B72E-87BB40F4E085}" name="Column3126"/>
    <tableColumn id="3158" xr3:uid="{E9822CEA-E951-4EA9-9F9F-4C7B999913DC}" name="Column3127"/>
    <tableColumn id="3159" xr3:uid="{BB5C82A5-DA09-4BA7-B586-0CC1CFC50D6F}" name="Column3128"/>
    <tableColumn id="3160" xr3:uid="{97EADDEA-B2DB-4CFF-BF40-9862DEEFF41F}" name="Column3129"/>
    <tableColumn id="3161" xr3:uid="{20F42347-6BCA-467F-94EE-2DCCFB062F97}" name="Column3130"/>
    <tableColumn id="3162" xr3:uid="{DFA5C5B0-60F8-4759-B777-E0E5522D45BF}" name="Column3131"/>
    <tableColumn id="3163" xr3:uid="{809493C7-4298-403E-AF60-64CC5045FA62}" name="Column3132"/>
    <tableColumn id="3164" xr3:uid="{7052939C-2474-49D4-BEE2-AC3C366DC993}" name="Column3133"/>
    <tableColumn id="3165" xr3:uid="{5614D130-F0DC-4C9F-86FC-D1265A682B0B}" name="Column3134"/>
    <tableColumn id="3166" xr3:uid="{F9CCA82B-BD6E-46B4-AAD7-4C8F49C89F98}" name="Column3135"/>
    <tableColumn id="3167" xr3:uid="{33A83CFA-74FD-4BD0-8FFA-5190D9DB520D}" name="Column3136"/>
    <tableColumn id="3168" xr3:uid="{A1B6031D-0446-466B-8281-C24E2C370B0A}" name="Column3137"/>
    <tableColumn id="3169" xr3:uid="{D81C7EA4-2919-450C-A499-6680A3978329}" name="Column3138"/>
    <tableColumn id="3170" xr3:uid="{B9040869-58B7-4952-A6C6-EB38F97DE661}" name="Column3139"/>
    <tableColumn id="3171" xr3:uid="{6FB07055-A92F-4C23-987D-54B9EF4B1F1D}" name="Column3140"/>
    <tableColumn id="3172" xr3:uid="{B1DDCD07-D4FB-418B-A392-0AF2C2BCF4AD}" name="Column3141"/>
    <tableColumn id="3173" xr3:uid="{020C5547-BA6F-435C-93E8-8132E04F769F}" name="Column3142"/>
    <tableColumn id="3174" xr3:uid="{153F121D-BB0E-4023-96C9-1543CBE172A8}" name="Column3143"/>
    <tableColumn id="3175" xr3:uid="{FC8A9E3E-FB71-4902-854E-84D57DA57686}" name="Column3144"/>
    <tableColumn id="3176" xr3:uid="{6D6B9761-B3DC-4B25-A488-620A4F8E9BDF}" name="Column3145"/>
    <tableColumn id="3177" xr3:uid="{09B6E055-8ED9-4E15-8FB9-DB52B4F59D71}" name="Column3146"/>
    <tableColumn id="3178" xr3:uid="{9BB643D1-195C-44A5-A96F-7BD20A3C1E8F}" name="Column3147"/>
    <tableColumn id="3179" xr3:uid="{A9D1273F-C68E-4395-A2C8-BF636454E319}" name="Column3148"/>
    <tableColumn id="3180" xr3:uid="{F0B5C7D6-3316-42A9-8A9C-17A1332D151A}" name="Column3149"/>
    <tableColumn id="3181" xr3:uid="{02BED2D3-BE8F-4282-9B1A-8117FD483110}" name="Column3150"/>
    <tableColumn id="3182" xr3:uid="{36D08F84-388D-475D-BA4E-E7674CF9B607}" name="Column3151"/>
    <tableColumn id="3183" xr3:uid="{24A622B5-146E-417A-93FB-E3E521AFA505}" name="Column3152"/>
    <tableColumn id="3184" xr3:uid="{58F34EAD-0660-4162-85D0-98EBC0F1F88A}" name="Column3153"/>
    <tableColumn id="3185" xr3:uid="{FA546496-4629-426E-BB1C-D9D556E88AFA}" name="Column3154"/>
    <tableColumn id="3186" xr3:uid="{69BD3CD1-919C-499C-9A69-E8A7CC43ACA4}" name="Column3155"/>
    <tableColumn id="3187" xr3:uid="{99DEE072-CE70-45BD-89EB-FEC91734C34A}" name="Column3156"/>
    <tableColumn id="3188" xr3:uid="{B356057E-6125-4BF4-9E75-BE8BEE036C2C}" name="Column3157"/>
    <tableColumn id="3189" xr3:uid="{9D1C6C30-3ECC-41D0-BD22-090F446A6800}" name="Column3158"/>
    <tableColumn id="3190" xr3:uid="{5199B440-EE91-4E16-9D78-250804B09007}" name="Column3159"/>
    <tableColumn id="3191" xr3:uid="{085A58F6-4DD6-4D75-B09D-D2D2AD575D90}" name="Column3160"/>
    <tableColumn id="3192" xr3:uid="{9455AB19-D5B3-4CFB-A8D3-0BD05B6450A4}" name="Column3161"/>
    <tableColumn id="3193" xr3:uid="{CA5E269C-EFC9-43C0-9348-3C5C5D060501}" name="Column3162"/>
    <tableColumn id="3194" xr3:uid="{93AB0396-F578-447F-BEF9-5EEC2DE2F5BB}" name="Column3163"/>
    <tableColumn id="3195" xr3:uid="{27F49AF3-0944-41DA-8208-A28688368ABD}" name="Column3164"/>
    <tableColumn id="3196" xr3:uid="{2F662814-E21A-4535-B5B4-40F3B76BD637}" name="Column3165"/>
    <tableColumn id="3197" xr3:uid="{E966491E-8FE7-4644-8D42-835A98EBC8D8}" name="Column3166"/>
    <tableColumn id="3198" xr3:uid="{502EBDAD-D4BD-4D67-B67A-90CBF42944CC}" name="Column3167"/>
    <tableColumn id="3199" xr3:uid="{9B2BEBAC-E2CF-4819-BF80-2A7E755449C1}" name="Column3168"/>
    <tableColumn id="3200" xr3:uid="{536C0CA5-C267-47D0-B749-095E9193A8DA}" name="Column3169"/>
    <tableColumn id="3201" xr3:uid="{7DC3479B-6147-4A2B-BA22-524190CCCBBC}" name="Column3170"/>
    <tableColumn id="3202" xr3:uid="{FB42370F-1F71-48DF-A7DD-8BBA1386322A}" name="Column3171"/>
    <tableColumn id="3203" xr3:uid="{F035ABFB-5461-4991-B122-81E03527AB0A}" name="Column3172"/>
    <tableColumn id="3204" xr3:uid="{DCA8C48C-40C4-4F9B-BE0E-CEAB4E7C21F2}" name="Column3173"/>
    <tableColumn id="3205" xr3:uid="{E8F9C4A4-D5FC-4C75-95AD-64615FFA218F}" name="Column3174"/>
    <tableColumn id="3206" xr3:uid="{05199727-7D70-4E6E-8D7C-B728E5995244}" name="Column3175"/>
    <tableColumn id="3207" xr3:uid="{1B0B80CC-3DD3-4D57-BD31-C3E6276D39DD}" name="Column3176"/>
    <tableColumn id="3208" xr3:uid="{637AA9C7-3CCE-400F-B695-89D268F79B20}" name="Column3177"/>
    <tableColumn id="3209" xr3:uid="{F5776C33-0921-4354-99F3-75FBD1B08C3F}" name="Column3178"/>
    <tableColumn id="3210" xr3:uid="{83796B11-A865-4BFF-996A-37FC76AE4CFD}" name="Column3179"/>
    <tableColumn id="3211" xr3:uid="{49EED51C-5D80-420A-BE4B-BDA1AF0F57FC}" name="Column3180"/>
    <tableColumn id="3212" xr3:uid="{1E4913C3-14FC-4918-A58F-56C45E05651F}" name="Column3181"/>
    <tableColumn id="3213" xr3:uid="{91CB6FAE-2B31-437D-AF90-FB128650A4C9}" name="Column3182"/>
    <tableColumn id="3214" xr3:uid="{9D2BC46F-A22F-4BE2-AFCA-0129DAA2EE57}" name="Column3183"/>
    <tableColumn id="3215" xr3:uid="{B08DE0E0-703C-4DD9-8F67-2EC76FED7B2A}" name="Column3184"/>
    <tableColumn id="3216" xr3:uid="{0AADDE85-83AB-4E61-A6B9-50E41367CC15}" name="Column3185"/>
    <tableColumn id="3217" xr3:uid="{7A2DC0CD-2E79-4A9F-8AC1-6F5147636DA4}" name="Column3186"/>
    <tableColumn id="3218" xr3:uid="{A9B9348C-F382-41C5-B0A9-2605502595DA}" name="Column3187"/>
    <tableColumn id="3219" xr3:uid="{19A8ACC6-CF39-4276-BA2B-3A4F4FBD5C2E}" name="Column3188"/>
    <tableColumn id="3220" xr3:uid="{17F2088F-0C7C-4DCA-AB8E-C4B94D091AEE}" name="Column3189"/>
    <tableColumn id="3221" xr3:uid="{B78B5EFE-9ECA-4137-BBDE-3C233BF86142}" name="Column3190"/>
    <tableColumn id="3222" xr3:uid="{8B570B92-75EF-481E-8632-28319A7AD568}" name="Column3191"/>
    <tableColumn id="3223" xr3:uid="{25173596-9A82-49A1-9E26-F459B626E3C1}" name="Column3192"/>
    <tableColumn id="3224" xr3:uid="{EBC637A4-E927-4F9D-91EA-740FF3E58E35}" name="Column3193"/>
    <tableColumn id="3225" xr3:uid="{9F6B0AF1-7070-4C85-AE1A-0996A8CE1BF9}" name="Column3194"/>
    <tableColumn id="3226" xr3:uid="{1A294ECF-D047-4893-B865-8191BBAE7F72}" name="Column3195"/>
    <tableColumn id="3227" xr3:uid="{7F3455D0-E513-4CEA-BCBF-F79ECCFD81BB}" name="Column3196"/>
    <tableColumn id="3228" xr3:uid="{80CF5059-B87D-4AB5-990D-B0804D03FC17}" name="Column3197"/>
    <tableColumn id="3229" xr3:uid="{6203CBDC-D993-4B04-9D10-B21A9C46B9BF}" name="Column3198"/>
    <tableColumn id="3230" xr3:uid="{54657762-7141-478C-9666-C951FDB99721}" name="Column3199"/>
    <tableColumn id="3231" xr3:uid="{78BB62EC-7C8C-404A-8011-681FA704E88E}" name="Column3200"/>
    <tableColumn id="3232" xr3:uid="{3278436E-AAED-4158-822E-5F81D88EF7EC}" name="Column3201"/>
    <tableColumn id="3233" xr3:uid="{2297B061-FA36-4232-805D-7CADE624616C}" name="Column3202"/>
    <tableColumn id="3234" xr3:uid="{DA4F68F9-03FD-42F0-88B7-0D1D0106062E}" name="Column3203"/>
    <tableColumn id="3235" xr3:uid="{8EE2D842-6E02-47AE-AD11-C68F2C12EB93}" name="Column3204"/>
    <tableColumn id="3236" xr3:uid="{52308A8B-4B75-49AA-AFBD-2D3963ED3CB6}" name="Column3205"/>
    <tableColumn id="3237" xr3:uid="{72AE31E5-556C-4B82-B0C1-8F5FE49C6C3C}" name="Column3206"/>
    <tableColumn id="3238" xr3:uid="{0CD8D848-A9A3-4147-845A-BC7EA887B055}" name="Column3207"/>
    <tableColumn id="3239" xr3:uid="{37D4543F-2F2A-4FCC-833A-35CFF974179A}" name="Column3208"/>
    <tableColumn id="3240" xr3:uid="{10F5987A-AF1E-4ABF-A4C8-CAE653953972}" name="Column3209"/>
    <tableColumn id="3241" xr3:uid="{85EBA8C0-E403-431F-B1B2-47B59A7751A8}" name="Column3210"/>
    <tableColumn id="3242" xr3:uid="{640B99F3-9757-43FE-ACD3-4F151664EA60}" name="Column3211"/>
    <tableColumn id="3243" xr3:uid="{98F7BEB3-0A90-4DCF-9D73-68CCDB268CD8}" name="Column3212"/>
    <tableColumn id="3244" xr3:uid="{52A585F0-DD8C-43A3-8CC9-5ED315EA3010}" name="Column3213"/>
    <tableColumn id="3245" xr3:uid="{A7AC0661-69D6-429F-9C9A-9E09D56C03B4}" name="Column3214"/>
    <tableColumn id="3246" xr3:uid="{DA68A1FD-4098-4C64-B5DE-28C602275A26}" name="Column3215"/>
    <tableColumn id="3247" xr3:uid="{1B74845E-74E8-4155-93AA-70B991DC7803}" name="Column3216"/>
    <tableColumn id="3248" xr3:uid="{4E23F34D-2303-42A8-A82A-3B397332E6D0}" name="Column3217"/>
    <tableColumn id="3249" xr3:uid="{856A5180-81AA-4EDD-AA33-09D0556CC779}" name="Column3218"/>
    <tableColumn id="3250" xr3:uid="{A33C2E41-1931-49B9-8E60-3B69A9840DA9}" name="Column3219"/>
    <tableColumn id="3251" xr3:uid="{7DFA4E8A-97F9-41A1-9E85-886727EA8639}" name="Column3220"/>
    <tableColumn id="3252" xr3:uid="{9312D411-2831-441A-BAB3-C5C352ED3743}" name="Column3221"/>
    <tableColumn id="3253" xr3:uid="{61448B64-E4FB-4CA9-98A9-50A183056304}" name="Column3222"/>
    <tableColumn id="3254" xr3:uid="{D04E2BF7-6369-4CFA-AC94-B7ECA0BC671C}" name="Column3223"/>
    <tableColumn id="3255" xr3:uid="{CD903F7E-E107-4173-89A9-81E491BAB571}" name="Column3224"/>
    <tableColumn id="3256" xr3:uid="{954DB08C-2623-4BEB-8046-073739CA6308}" name="Column3225"/>
    <tableColumn id="3257" xr3:uid="{6A3A9612-4C06-4B14-899D-5800B276BA72}" name="Column3226"/>
    <tableColumn id="3258" xr3:uid="{C922D31E-496F-47AF-9ABB-516C5CA8DE53}" name="Column3227"/>
    <tableColumn id="3259" xr3:uid="{7EC7E8B9-6E8A-415F-AA51-6FA9C826865D}" name="Column3228"/>
    <tableColumn id="3260" xr3:uid="{DCDFFB9F-C505-406D-B2E5-CB3CA8B7A723}" name="Column3229"/>
    <tableColumn id="3261" xr3:uid="{7558323C-5FC8-4137-96C1-564A9D95255A}" name="Column3230"/>
    <tableColumn id="3262" xr3:uid="{DAF0F13E-009B-4079-915E-899779247BE2}" name="Column3231"/>
    <tableColumn id="3263" xr3:uid="{F54ACF2F-CA89-4B3B-995A-F9BE8AA555EB}" name="Column3232"/>
    <tableColumn id="3264" xr3:uid="{83D28F6E-05A1-438A-A781-3838052F725C}" name="Column3233"/>
    <tableColumn id="3265" xr3:uid="{1A6F26D4-15A4-4B8F-80C5-E437299F0D70}" name="Column3234"/>
    <tableColumn id="3266" xr3:uid="{1FE48D10-53E5-40F9-A0B6-24809F49F250}" name="Column3235"/>
    <tableColumn id="3267" xr3:uid="{DA29AD65-8EE6-470C-A3C6-96F8E27D30FE}" name="Column3236"/>
    <tableColumn id="3268" xr3:uid="{2B556AF5-8153-4645-B8B5-DC4C3E927234}" name="Column3237"/>
    <tableColumn id="3269" xr3:uid="{4176F12B-7DC4-4368-9B40-1C71987A6D88}" name="Column3238"/>
    <tableColumn id="3270" xr3:uid="{C59DF30E-AD57-4626-A885-F63063D94346}" name="Column3239"/>
    <tableColumn id="3271" xr3:uid="{85AB06D1-826D-43A3-88EC-CF73CB0A3191}" name="Column3240"/>
    <tableColumn id="3272" xr3:uid="{3574CB2A-C7C4-4286-B09F-D88F640D80F0}" name="Column3241"/>
    <tableColumn id="3273" xr3:uid="{D48553D5-B16D-44CD-8D72-2947511D69DC}" name="Column3242"/>
    <tableColumn id="3274" xr3:uid="{48446304-1292-472F-B215-2D3337533949}" name="Column3243"/>
    <tableColumn id="3275" xr3:uid="{A1722AA2-5AF2-48F7-B6AF-A443F5C6910C}" name="Column3244"/>
    <tableColumn id="3276" xr3:uid="{04D985FD-1B9E-4F2C-B5B2-2F3A2FD47F9A}" name="Column3245"/>
    <tableColumn id="3277" xr3:uid="{D69E5DC9-BC28-4AB6-AEC5-347291B9F79F}" name="Column3246"/>
    <tableColumn id="3278" xr3:uid="{65D33283-BCC5-4613-9003-5A67F6B49362}" name="Column3247"/>
    <tableColumn id="3279" xr3:uid="{63363162-64B2-4165-A483-72A690010CB4}" name="Column3248"/>
    <tableColumn id="3280" xr3:uid="{98ACB809-43B9-4520-9D92-8DC346778B97}" name="Column3249"/>
    <tableColumn id="3281" xr3:uid="{F0A2DD4C-DE33-4FC0-8D3E-63BE48B6820E}" name="Column3250"/>
    <tableColumn id="3282" xr3:uid="{4009F40E-D0A7-4A23-BB81-2F337177B3B7}" name="Column3251"/>
    <tableColumn id="3283" xr3:uid="{FA42E558-31DB-4F31-A5D6-93B973EE9948}" name="Column3252"/>
    <tableColumn id="3284" xr3:uid="{BC126556-EAB4-4114-A2B7-193B2772DF08}" name="Column3253"/>
    <tableColumn id="3285" xr3:uid="{E0A62BE1-D7D5-4460-84C0-020CA774F5ED}" name="Column3254"/>
    <tableColumn id="3286" xr3:uid="{F91369F8-9E21-4FFA-9C73-353AE955C8F5}" name="Column3255"/>
    <tableColumn id="3287" xr3:uid="{B883A472-B0BE-4E6C-9482-8A1D40985ECE}" name="Column3256"/>
    <tableColumn id="3288" xr3:uid="{14A59FD1-EA1E-4307-9A84-4AC5F675599B}" name="Column3257"/>
    <tableColumn id="3289" xr3:uid="{55819B6C-2593-48AD-B1AD-53A26A2EAE45}" name="Column3258"/>
    <tableColumn id="3290" xr3:uid="{B1BBFF44-4C51-4F15-9CB2-37D4447BA037}" name="Column3259"/>
    <tableColumn id="3291" xr3:uid="{7940936F-2583-4E01-8C4B-C4FEFEED007C}" name="Column3260"/>
    <tableColumn id="3292" xr3:uid="{39730E44-CA5F-4B48-9E2F-C70660A3AB26}" name="Column3261"/>
    <tableColumn id="3293" xr3:uid="{B5E4A636-17AC-44A5-979E-7D98391C0E6A}" name="Column3262"/>
    <tableColumn id="3294" xr3:uid="{98793868-6F4F-4EAC-9213-B1729BA24842}" name="Column3263"/>
    <tableColumn id="3295" xr3:uid="{0089A3F3-7953-4DEE-AC39-236E8875E33E}" name="Column3264"/>
    <tableColumn id="3296" xr3:uid="{A83DDFEB-D52B-42B0-80B9-A6AD3169C6EF}" name="Column3265"/>
    <tableColumn id="3297" xr3:uid="{9017CBBC-1AAE-49EB-9A5B-C8E35744E0F4}" name="Column3266"/>
    <tableColumn id="3298" xr3:uid="{5B90AB73-D10F-4D9B-AEF0-5D14B03B216D}" name="Column3267"/>
    <tableColumn id="3299" xr3:uid="{F1B9744F-A99F-49A2-9274-74F096F61E2B}" name="Column3268"/>
    <tableColumn id="3300" xr3:uid="{40649478-969C-462B-9A66-CB684AF9305F}" name="Column3269"/>
    <tableColumn id="3301" xr3:uid="{642F55C2-9DF9-44F0-A395-3AB13B0D0D5C}" name="Column3270"/>
    <tableColumn id="3302" xr3:uid="{616FEA25-121D-4591-B825-0DBD340BC6D0}" name="Column3271"/>
    <tableColumn id="3303" xr3:uid="{FD02C8FB-895C-464B-A4DC-CA2F2A17B19D}" name="Column3272"/>
    <tableColumn id="3304" xr3:uid="{3B5E9A99-880C-40A9-83F3-185571E138A2}" name="Column3273"/>
    <tableColumn id="3305" xr3:uid="{C9291D4E-97EF-4FB5-9F31-C70A1AAEEA76}" name="Column3274"/>
    <tableColumn id="3306" xr3:uid="{B8CD998C-43B9-46DE-8379-7059EA09DCCD}" name="Column3275"/>
    <tableColumn id="3307" xr3:uid="{0F67CD83-1650-4FF7-AFC6-B836272BE948}" name="Column3276"/>
    <tableColumn id="3308" xr3:uid="{BD55B3FA-84C4-488F-B0A9-278FB6F7E9FA}" name="Column3277"/>
    <tableColumn id="3309" xr3:uid="{DCC4A69A-BBF5-4AD0-BF15-D7CCF3A7518F}" name="Column3278"/>
    <tableColumn id="3310" xr3:uid="{FBB8E34A-C7D2-40EF-9A3A-D12BAB300BAB}" name="Column3279"/>
    <tableColumn id="3311" xr3:uid="{547B74DD-7CF5-4DBC-AFEE-A1481473CF39}" name="Column3280"/>
    <tableColumn id="3312" xr3:uid="{5CE71171-C6B1-4D2D-93D6-65CCB98A8CEE}" name="Column3281"/>
    <tableColumn id="3313" xr3:uid="{118B5582-807A-44EB-B5C2-12F8561108EF}" name="Column3282"/>
    <tableColumn id="3314" xr3:uid="{B25D44F8-E1A3-4625-A717-0BCE7E76216B}" name="Column3283"/>
    <tableColumn id="3315" xr3:uid="{CB20DC8E-4364-427B-AEF2-467BC8A0D9C1}" name="Column3284"/>
    <tableColumn id="3316" xr3:uid="{F94F86C2-F61D-4785-AF43-43E4E91B4B75}" name="Column3285"/>
    <tableColumn id="3317" xr3:uid="{5A5C9BC6-FA66-4141-B8E6-8ACE566746A4}" name="Column3286"/>
    <tableColumn id="3318" xr3:uid="{8E8FB0BA-3920-4C29-8198-86971650A7E4}" name="Column3287"/>
    <tableColumn id="3319" xr3:uid="{AD99BAE6-97AB-4EA1-8BF4-C47F793BC7CA}" name="Column3288"/>
    <tableColumn id="3320" xr3:uid="{E3E2A2FB-34C1-4DA1-B058-0968E60F9F35}" name="Column3289"/>
    <tableColumn id="3321" xr3:uid="{DF1F2D89-3679-4FCC-8992-A904E5E934D8}" name="Column3290"/>
    <tableColumn id="3322" xr3:uid="{D9F40828-415C-4D1B-A0B9-A3163424DF73}" name="Column3291"/>
    <tableColumn id="3323" xr3:uid="{4B0B1C25-A518-4E0B-A903-7F1B6D10A8F0}" name="Column3292"/>
    <tableColumn id="3324" xr3:uid="{BBB008BA-9857-49E9-845A-E482A29F6575}" name="Column3293"/>
    <tableColumn id="3325" xr3:uid="{EA712AA0-0C6E-4D7F-961D-AF455AB13586}" name="Column3294"/>
    <tableColumn id="3326" xr3:uid="{51A187BA-614C-4D82-A17C-E05F5A32A01F}" name="Column3295"/>
    <tableColumn id="3327" xr3:uid="{A877128C-DE33-4231-84DB-878C328B6CEC}" name="Column3296"/>
    <tableColumn id="3328" xr3:uid="{902B5C48-3AE5-4C96-A2A5-1BD3A7F1E6F1}" name="Column3297"/>
    <tableColumn id="3329" xr3:uid="{96EC7E3F-5DEA-49F8-8C54-406220AD7756}" name="Column3298"/>
    <tableColumn id="3330" xr3:uid="{C1B081DC-C41D-49BE-9E36-FCBE5C63D46C}" name="Column3299"/>
    <tableColumn id="3331" xr3:uid="{60C26883-4EE6-4475-8ED0-E0DA5C99C8EC}" name="Column3300"/>
    <tableColumn id="3332" xr3:uid="{4C57D1FC-5039-4A09-9F90-CD35E77A7162}" name="Column3301"/>
    <tableColumn id="3333" xr3:uid="{00D18636-5ABB-41FB-BB98-C11032030393}" name="Column3302"/>
    <tableColumn id="3334" xr3:uid="{2A23AD82-5461-4832-9308-0490C2C47DCF}" name="Column3303"/>
    <tableColumn id="3335" xr3:uid="{15EC9EEA-FDC7-4D5C-B468-57DD26555C83}" name="Column3304"/>
    <tableColumn id="3336" xr3:uid="{4983A0BE-B32F-47FF-81AE-2BD1A26D6A47}" name="Column3305"/>
    <tableColumn id="3337" xr3:uid="{954C39F6-5F29-4384-8728-27BC2E0F9E2F}" name="Column3306"/>
    <tableColumn id="3338" xr3:uid="{266CD899-4F1C-40E9-A3B9-2DC5C6BEAEB3}" name="Column3307"/>
    <tableColumn id="3339" xr3:uid="{07C3A00D-BFC6-4E1E-BDF9-0C79B8DDB936}" name="Column3308"/>
    <tableColumn id="3340" xr3:uid="{0B23B2A2-4160-49A7-91E1-4E5C108C6F0C}" name="Column3309"/>
    <tableColumn id="3341" xr3:uid="{F17F49F0-5489-4B18-99C5-F8E8D8CB9DDF}" name="Column3310"/>
    <tableColumn id="3342" xr3:uid="{29393F22-5A2F-4187-A92E-DF046381B099}" name="Column3311"/>
    <tableColumn id="3343" xr3:uid="{0A6573CB-083A-4612-B8C2-7989F9AC2580}" name="Column3312"/>
    <tableColumn id="3344" xr3:uid="{68FC8835-F4C4-477E-A8E5-DA79B04DC714}" name="Column3313"/>
    <tableColumn id="3345" xr3:uid="{05A18218-F489-4B4B-A8AB-ACE8551801E7}" name="Column3314"/>
    <tableColumn id="3346" xr3:uid="{872653A0-0878-44D8-89FA-68B12BF1E6FF}" name="Column3315"/>
    <tableColumn id="3347" xr3:uid="{48208FF9-C22F-4DF8-BC17-7591114DD9A4}" name="Column3316"/>
    <tableColumn id="3348" xr3:uid="{027A3168-E650-419B-B292-5A6E5EFEF50F}" name="Column3317"/>
    <tableColumn id="3349" xr3:uid="{CDF32E31-11DD-47F2-8BEF-EEF8DA3E822F}" name="Column3318"/>
    <tableColumn id="3350" xr3:uid="{59472ABC-974B-4C6B-9AA5-FD65FA6977AD}" name="Column3319"/>
    <tableColumn id="3351" xr3:uid="{AEE8EE62-9A09-479A-92E6-7DB0656E0CB9}" name="Column3320"/>
    <tableColumn id="3352" xr3:uid="{8FADABC7-772B-4298-A74F-81B359A9F76A}" name="Column3321"/>
    <tableColumn id="3353" xr3:uid="{BC8EEF5B-27BF-4816-96E1-FB609AF1633F}" name="Column3322"/>
    <tableColumn id="3354" xr3:uid="{FED0C0E5-D055-48C6-A6C6-FD3C0CCBBF6C}" name="Column3323"/>
    <tableColumn id="3355" xr3:uid="{FB228D66-B6E8-4D0C-8CA8-FF04A70418B7}" name="Column3324"/>
    <tableColumn id="3356" xr3:uid="{1C02D4EA-2EB9-4510-8F72-D4FE52E5EEC4}" name="Column3325"/>
    <tableColumn id="3357" xr3:uid="{24FF2AAB-FD11-4609-A3C0-8CF2B02E87B6}" name="Column3326"/>
    <tableColumn id="3358" xr3:uid="{F7AB3469-3947-4AAB-8E72-159215DC4B40}" name="Column3327"/>
    <tableColumn id="3359" xr3:uid="{47ACB1D3-4372-48EC-992C-4725E1D32711}" name="Column3328"/>
    <tableColumn id="3360" xr3:uid="{49290623-0A8F-418C-8529-9DF99EE8B6B4}" name="Column3329"/>
    <tableColumn id="3361" xr3:uid="{9F80777A-6F84-4C88-B2C5-67D9D0CE17A4}" name="Column3330"/>
    <tableColumn id="3362" xr3:uid="{5296A4DB-0949-4E67-8CAB-337949E96665}" name="Column3331"/>
    <tableColumn id="3363" xr3:uid="{9F6801BF-5AF0-4CDF-AB9E-E6AF204C2CF5}" name="Column3332"/>
    <tableColumn id="3364" xr3:uid="{3EDC8BA4-A07F-45C1-9362-927378646FD7}" name="Column3333"/>
    <tableColumn id="3365" xr3:uid="{353DA789-6662-4509-8C14-283BD1A093F0}" name="Column3334"/>
    <tableColumn id="3366" xr3:uid="{DB77E6A4-FA4F-4024-8BDE-1C9FDED14A59}" name="Column3335"/>
    <tableColumn id="3367" xr3:uid="{28A1B501-768F-497C-BFB6-432EA45EB2F9}" name="Column3336"/>
    <tableColumn id="3368" xr3:uid="{7BFF428B-94E3-4F9C-A7D1-905EBB5B8E2F}" name="Column3337"/>
    <tableColumn id="3369" xr3:uid="{7D9F1AF9-752D-461E-AE44-CD938E37C944}" name="Column3338"/>
    <tableColumn id="3370" xr3:uid="{2AA3C9C6-674F-40FF-A623-47D9A7E41FE5}" name="Column3339"/>
    <tableColumn id="3371" xr3:uid="{2D15869F-E598-4D99-81EB-E135263CBF93}" name="Column3340"/>
    <tableColumn id="3372" xr3:uid="{F910248B-3565-4C93-9D31-854F66DCC6F2}" name="Column3341"/>
    <tableColumn id="3373" xr3:uid="{B0A8FB35-61E4-432F-ACCA-F765915D61A6}" name="Column3342"/>
    <tableColumn id="3374" xr3:uid="{FD462104-F1DF-40E3-A3AA-0F4A21304C11}" name="Column3343"/>
    <tableColumn id="3375" xr3:uid="{EB087FD2-0C4B-408E-BF7E-59DCF1A6A1F0}" name="Column3344"/>
    <tableColumn id="3376" xr3:uid="{AD3F56EA-39AD-472A-9AA0-A89116F9F530}" name="Column3345"/>
    <tableColumn id="3377" xr3:uid="{A332B296-C549-4453-A199-6E372480A076}" name="Column3346"/>
    <tableColumn id="3378" xr3:uid="{D74B30A8-833F-42A4-A5F3-E4BB9AD929FB}" name="Column3347"/>
    <tableColumn id="3379" xr3:uid="{E8C8061E-E055-4FB0-B013-F39826C1E24C}" name="Column3348"/>
    <tableColumn id="3380" xr3:uid="{C53CB20F-BA3B-4BA3-A738-7264047A46CF}" name="Column3349"/>
    <tableColumn id="3381" xr3:uid="{D53ED094-A329-47CC-A022-78E2EA6FA6C3}" name="Column3350"/>
    <tableColumn id="3382" xr3:uid="{49F9AEC6-8121-4616-BBFB-2DC0D6A8995C}" name="Column3351"/>
    <tableColumn id="3383" xr3:uid="{4B2FD64F-89EA-4F7A-B23A-64D78E60CFA0}" name="Column3352"/>
    <tableColumn id="3384" xr3:uid="{FD259B5A-F70E-4412-8C5F-4B2F97321C70}" name="Column3353"/>
    <tableColumn id="3385" xr3:uid="{733CE53B-BC08-48ED-AD3B-76DFC1E8A080}" name="Column3354"/>
    <tableColumn id="3386" xr3:uid="{49C69520-23B3-4865-9E1A-03EFF082C378}" name="Column3355"/>
    <tableColumn id="3387" xr3:uid="{7587CF42-365B-4484-B8C7-3B96EBE6717A}" name="Column3356"/>
    <tableColumn id="3388" xr3:uid="{1F2C6B1D-0AF9-488A-9402-8789F6DD955C}" name="Column3357"/>
    <tableColumn id="3389" xr3:uid="{8FABD529-2617-4A6B-AA71-128A3C1D458F}" name="Column3358"/>
    <tableColumn id="3390" xr3:uid="{3506CDF1-50AA-4DE0-9A21-162E7857CA82}" name="Column3359"/>
    <tableColumn id="3391" xr3:uid="{2A0F39DE-5D82-4F54-94F9-DE65A8C725CE}" name="Column3360"/>
    <tableColumn id="3392" xr3:uid="{05CEF76E-85A1-4C37-ABD6-0B047C5965D0}" name="Column3361"/>
    <tableColumn id="3393" xr3:uid="{8F796B47-FD54-4EC4-A79B-FB1B298E4EB5}" name="Column3362"/>
    <tableColumn id="3394" xr3:uid="{F2DDB214-5DDF-4C19-A7C6-7E0C4FDF5AB9}" name="Column3363"/>
    <tableColumn id="3395" xr3:uid="{B0533F8E-D274-4E53-B704-91AC5E7F9A30}" name="Column3364"/>
    <tableColumn id="3396" xr3:uid="{E7D94486-603F-40BD-B565-E7D05C8D4943}" name="Column3365"/>
    <tableColumn id="3397" xr3:uid="{ABA921AC-59BE-4FCF-8C92-03D0618E3C57}" name="Column3366"/>
    <tableColumn id="3398" xr3:uid="{37602F8A-94F8-4D63-89FA-9FFA4172F827}" name="Column3367"/>
    <tableColumn id="3399" xr3:uid="{0BD15EC7-3F51-4164-867C-849F0A23E7E8}" name="Column3368"/>
    <tableColumn id="3400" xr3:uid="{DB3C0313-C269-40F5-9FB7-F010EF859B4C}" name="Column3369"/>
    <tableColumn id="3401" xr3:uid="{8C7E16B5-623C-492A-B02F-CBC9C1F3ADD9}" name="Column3370"/>
    <tableColumn id="3402" xr3:uid="{EC0072C3-DCEA-4FDF-8234-3924323DB8BA}" name="Column3371"/>
    <tableColumn id="3403" xr3:uid="{7ACA199D-DC09-41C9-ABA0-D5EBBAEEAD93}" name="Column3372"/>
    <tableColumn id="3404" xr3:uid="{C3D576BD-0536-4EA2-AD45-A740B0C0DBF4}" name="Column3373"/>
    <tableColumn id="3405" xr3:uid="{A8A31203-5EED-4159-B62A-74361EE9FB32}" name="Column3374"/>
    <tableColumn id="3406" xr3:uid="{A76CEAF0-2799-42A9-88D3-FC16B705CE1F}" name="Column3375"/>
    <tableColumn id="3407" xr3:uid="{D5976887-F87D-46A9-8745-9D90203D1A4A}" name="Column3376"/>
    <tableColumn id="3408" xr3:uid="{E4A30EEF-7A93-4A16-83A1-02066A0B0CAC}" name="Column3377"/>
    <tableColumn id="3409" xr3:uid="{C359E531-5BFA-446A-AE88-56C33360F14B}" name="Column3378"/>
    <tableColumn id="3410" xr3:uid="{683515CA-F294-4DAF-A8BE-BBA191391123}" name="Column3379"/>
    <tableColumn id="3411" xr3:uid="{90F129BD-ED98-4924-BD7D-8CDB4CA3ED66}" name="Column3380"/>
    <tableColumn id="3412" xr3:uid="{9A816BAD-B2F8-4AAB-A7FC-19DCD6500359}" name="Column3381"/>
    <tableColumn id="3413" xr3:uid="{40199B70-966A-4733-BFF1-765581F43910}" name="Column3382"/>
    <tableColumn id="3414" xr3:uid="{28C9B877-B67D-4F9F-85DE-5465887FFC58}" name="Column3383"/>
    <tableColumn id="3415" xr3:uid="{2C8BD9A1-539C-4AB2-AA72-1969F2D46A68}" name="Column3384"/>
    <tableColumn id="3416" xr3:uid="{098A02AA-0134-4839-91F6-B34F86CFF42D}" name="Column3385"/>
    <tableColumn id="3417" xr3:uid="{E85AA8E9-37B1-4DA5-9DDE-0C523FDDE8C1}" name="Column3386"/>
    <tableColumn id="3418" xr3:uid="{0953F548-924C-46C0-82BE-E73307AEFD90}" name="Column3387"/>
    <tableColumn id="3419" xr3:uid="{8471663D-642A-4861-BDCF-788525A6FC84}" name="Column3388"/>
    <tableColumn id="3420" xr3:uid="{22B6C9CE-3CF0-46AA-ADE8-3ED80A24B39A}" name="Column3389"/>
    <tableColumn id="3421" xr3:uid="{465260CE-C18F-4796-AA92-E1E48108B34C}" name="Column3390"/>
    <tableColumn id="3422" xr3:uid="{034AF0F7-87AB-4BD3-A087-60448D8A6921}" name="Column3391"/>
    <tableColumn id="3423" xr3:uid="{1354F89A-7CFD-40EE-8927-5426449F0CEE}" name="Column3392"/>
    <tableColumn id="3424" xr3:uid="{3D8087E8-DF01-44CE-80B9-BD57C76E719B}" name="Column3393"/>
    <tableColumn id="3425" xr3:uid="{6D6F5516-8863-4553-BCDD-853936349CD7}" name="Column3394"/>
    <tableColumn id="3426" xr3:uid="{604B4A96-06F6-40CF-846C-A57469D9D4D5}" name="Column3395"/>
    <tableColumn id="3427" xr3:uid="{EB25A6D9-50C7-491B-8185-1542E16F0BA2}" name="Column3396"/>
    <tableColumn id="3428" xr3:uid="{04399CF9-0C09-4350-B2A5-1A3A46EBE528}" name="Column3397"/>
    <tableColumn id="3429" xr3:uid="{CD4431AF-ED8B-42DE-8AEC-915F9F2927A9}" name="Column3398"/>
    <tableColumn id="3430" xr3:uid="{88A89C45-BE9C-40E0-A977-5EB4C095D2FB}" name="Column3399"/>
    <tableColumn id="3431" xr3:uid="{29479410-FCAA-401C-93B0-505DF6F566F1}" name="Column3400"/>
    <tableColumn id="3432" xr3:uid="{314F2375-FC7E-41D3-BACA-7A63687E6D83}" name="Column3401"/>
    <tableColumn id="3433" xr3:uid="{D57BDC03-8600-4CF7-99E8-9ABBDB637F93}" name="Column3402"/>
    <tableColumn id="3434" xr3:uid="{6580B67E-B15F-46F5-BC8D-97E67AFECEFE}" name="Column3403"/>
    <tableColumn id="3435" xr3:uid="{4149D8E2-ABA3-4FB1-A9A9-37DA1A7E86FB}" name="Column3404"/>
    <tableColumn id="3436" xr3:uid="{CC273E4C-73EF-4478-9E28-D75C9292CBB8}" name="Column3405"/>
    <tableColumn id="3437" xr3:uid="{960595D6-C83D-4C15-800D-23355FC5089F}" name="Column3406"/>
    <tableColumn id="3438" xr3:uid="{90CACE80-57BC-4512-AA39-424D754189B3}" name="Column3407"/>
    <tableColumn id="3439" xr3:uid="{0204F464-2BBC-4A94-908D-8D11B44BDA7D}" name="Column3408"/>
    <tableColumn id="3440" xr3:uid="{CF1C3E35-3ED3-4ED2-B51A-2818C8B2D760}" name="Column3409"/>
    <tableColumn id="3441" xr3:uid="{4C5ED982-A1E3-48FA-A843-8072C3A380F4}" name="Column3410"/>
    <tableColumn id="3442" xr3:uid="{CD026E6D-CDA4-4051-BEA4-C6CA98C72B1B}" name="Column3411"/>
    <tableColumn id="3443" xr3:uid="{51334F51-7008-43B0-93F3-CBE57CBFE8DD}" name="Column3412"/>
    <tableColumn id="3444" xr3:uid="{AE5F5035-75E2-4F6B-B758-18FE48CC785F}" name="Column3413"/>
    <tableColumn id="3445" xr3:uid="{77810B74-97DD-4D40-947E-27F72A8BA001}" name="Column3414"/>
    <tableColumn id="3446" xr3:uid="{15DCD12A-927F-49D0-AC4F-56273E5AAA6B}" name="Column3415"/>
    <tableColumn id="3447" xr3:uid="{0D280636-7166-405A-9805-9997C41B15B0}" name="Column3416"/>
    <tableColumn id="3448" xr3:uid="{E02B3D4B-5579-49A0-9328-DC0E2C64D52B}" name="Column3417"/>
    <tableColumn id="3449" xr3:uid="{8718F744-EE47-4CAB-9242-57FBDD7BE83D}" name="Column3418"/>
    <tableColumn id="3450" xr3:uid="{46313231-C262-41E1-BAE0-14EF05DFD859}" name="Column3419"/>
    <tableColumn id="3451" xr3:uid="{886B4168-2888-4311-BB97-2CDFCD7A24ED}" name="Column3420"/>
    <tableColumn id="3452" xr3:uid="{B70E7B58-AF56-4CA6-A1BF-5B77A61E1D39}" name="Column3421"/>
    <tableColumn id="3453" xr3:uid="{5DDF6CB7-318E-45E5-A725-7127C327DD80}" name="Column3422"/>
    <tableColumn id="3454" xr3:uid="{E58B9C9C-5FC8-4632-8759-6A3A9C64FF70}" name="Column3423"/>
    <tableColumn id="3455" xr3:uid="{C93C464D-E3DA-44EF-88FD-73D7441E7A90}" name="Column3424"/>
    <tableColumn id="3456" xr3:uid="{6810F5DA-BD56-41B7-8A37-854C9082999E}" name="Column3425"/>
    <tableColumn id="3457" xr3:uid="{E76C268C-34A9-43FA-A6D8-37C309C27CEA}" name="Column3426"/>
    <tableColumn id="3458" xr3:uid="{BF450259-4740-4FF8-B246-F9545E95B13E}" name="Column3427"/>
    <tableColumn id="3459" xr3:uid="{850E901C-00B4-4040-9401-A126E6E21B85}" name="Column3428"/>
    <tableColumn id="3460" xr3:uid="{D6C86C2B-F940-4F01-8A7A-2AA4499160B7}" name="Column3429"/>
    <tableColumn id="3461" xr3:uid="{98880B46-816C-4E5E-84F2-E6C24E55E18E}" name="Column3430"/>
    <tableColumn id="3462" xr3:uid="{9705F5CE-939D-46BD-AA52-49D3C9B57DDC}" name="Column3431"/>
    <tableColumn id="3463" xr3:uid="{103E2D9E-9A3C-4256-A198-62A085B24E17}" name="Column3432"/>
    <tableColumn id="3464" xr3:uid="{D74BDDCA-E5D0-47DB-8652-3076987DD642}" name="Column3433"/>
    <tableColumn id="3465" xr3:uid="{488C7A4E-3A6C-40EE-B74F-3E36F3FE7DFC}" name="Column3434"/>
    <tableColumn id="3466" xr3:uid="{A0297136-2E4C-4893-AEFD-24F32D13C73F}" name="Column3435"/>
    <tableColumn id="3467" xr3:uid="{5ACB5938-B50A-41A1-A122-9C2C85582C14}" name="Column3436"/>
    <tableColumn id="3468" xr3:uid="{61C32894-F1F6-4F9E-972E-915FEB729FFE}" name="Column3437"/>
    <tableColumn id="3469" xr3:uid="{56F52F66-AD13-4C7E-A5B2-45598F724A49}" name="Column3438"/>
    <tableColumn id="3470" xr3:uid="{AA1B5337-D215-460F-829E-FB6E3DC9A3BA}" name="Column3439"/>
    <tableColumn id="3471" xr3:uid="{2773C477-9365-4C8F-96E8-605EDD49A06C}" name="Column3440"/>
    <tableColumn id="3472" xr3:uid="{72AC40E6-7CBB-428D-B7A7-481434E2AB32}" name="Column3441"/>
    <tableColumn id="3473" xr3:uid="{2CA6BB20-D294-4C76-ABB0-6213297F9574}" name="Column3442"/>
    <tableColumn id="3474" xr3:uid="{242238E9-21B5-41C8-9273-0B4B326A4D86}" name="Column3443"/>
    <tableColumn id="3475" xr3:uid="{306E4C35-D9E7-4DCF-8881-54DDF29077E9}" name="Column3444"/>
    <tableColumn id="3476" xr3:uid="{4AAE6BB3-2D6A-442A-B02F-D217C3F775E4}" name="Column3445"/>
    <tableColumn id="3477" xr3:uid="{828D187E-B049-47C1-889F-335C65ECF42A}" name="Column3446"/>
    <tableColumn id="3478" xr3:uid="{42856DA8-4BE0-4186-A186-7AFDA9448B06}" name="Column3447"/>
    <tableColumn id="3479" xr3:uid="{447793C2-5347-4481-961D-169F543589B6}" name="Column3448"/>
    <tableColumn id="3480" xr3:uid="{F659AB69-0C9D-48CA-94E1-EB6F2E8BD2A6}" name="Column3449"/>
    <tableColumn id="3481" xr3:uid="{0279B52F-7E6D-4C15-B235-8A588C2465A7}" name="Column3450"/>
    <tableColumn id="3482" xr3:uid="{A4C74629-C2C0-483A-AEE3-D8F1FB7AF9A9}" name="Column3451"/>
    <tableColumn id="3483" xr3:uid="{B09CB046-EFE3-42DE-9877-38E172EF9554}" name="Column3452"/>
    <tableColumn id="3484" xr3:uid="{1D629225-E2AB-4D19-AB3A-A1FD0B00CACE}" name="Column3453"/>
    <tableColumn id="3485" xr3:uid="{6DCEEC0C-8587-43A1-8B5D-C3F6A97121C4}" name="Column3454"/>
    <tableColumn id="3486" xr3:uid="{1D37883B-CCB8-409E-AB90-62C5950469F5}" name="Column3455"/>
    <tableColumn id="3487" xr3:uid="{2B93148F-BEE2-4F88-9F73-60410C5AEDD2}" name="Column3456"/>
    <tableColumn id="3488" xr3:uid="{12BCF539-72A8-4C9E-8940-DCA9232AB039}" name="Column3457"/>
    <tableColumn id="3489" xr3:uid="{CFA2E203-685D-4846-BE9F-25118EFD0005}" name="Column3458"/>
    <tableColumn id="3490" xr3:uid="{F8346F25-1631-4D22-8D12-042BFF82E03F}" name="Column3459"/>
    <tableColumn id="3491" xr3:uid="{1133F927-42C6-4920-A781-25C1BFE2D67F}" name="Column3460"/>
    <tableColumn id="3492" xr3:uid="{4EDC71A5-0BE7-4B48-BCCB-3271B21E7D28}" name="Column3461"/>
    <tableColumn id="3493" xr3:uid="{F69EB02C-993B-4DD2-9265-7172A20B974E}" name="Column3462"/>
    <tableColumn id="3494" xr3:uid="{674AE7A4-9953-4ADD-8176-07EA6E6F1E6D}" name="Column3463"/>
    <tableColumn id="3495" xr3:uid="{6AD17629-F502-42E4-BBDE-1BC3C7EB56D1}" name="Column3464"/>
    <tableColumn id="3496" xr3:uid="{B538C9DD-6FB7-4436-9EB2-1F4E8C77DA1A}" name="Column3465"/>
    <tableColumn id="3497" xr3:uid="{D7A79B4E-0CF3-4BB5-A26D-79F6D8C4073E}" name="Column3466"/>
    <tableColumn id="3498" xr3:uid="{23F5BC41-E1C2-4C72-BBAE-26381E3DD8A4}" name="Column3467"/>
    <tableColumn id="3499" xr3:uid="{6CBB3511-FAFD-4865-9E5E-1A906FD34A46}" name="Column3468"/>
    <tableColumn id="3500" xr3:uid="{D6E37B9D-20F1-435E-9870-9A5A53D84719}" name="Column3469"/>
    <tableColumn id="3501" xr3:uid="{85451D32-B3CA-4D9C-9874-6C72026A7F57}" name="Column3470"/>
    <tableColumn id="3502" xr3:uid="{2D06CD93-2F14-4CEC-90B5-D8B5F2275D47}" name="Column3471"/>
    <tableColumn id="3503" xr3:uid="{C3844B51-DBE2-4DF1-B697-B270D901B960}" name="Column3472"/>
    <tableColumn id="3504" xr3:uid="{B7FF97B4-A157-43F9-955C-FDC4E9F58168}" name="Column3473"/>
    <tableColumn id="3505" xr3:uid="{CAA36BCD-7840-4FC3-8262-21D15154E482}" name="Column3474"/>
    <tableColumn id="3506" xr3:uid="{FCE8E05B-61DA-4F01-8D67-5809751F3A5A}" name="Column3475"/>
    <tableColumn id="3507" xr3:uid="{454D1B9A-EB36-422F-9DAE-A9205641A422}" name="Column3476"/>
    <tableColumn id="3508" xr3:uid="{88A25D35-7EB6-4596-BF8D-84067A7F668D}" name="Column3477"/>
    <tableColumn id="3509" xr3:uid="{F3DE8666-F21A-473F-9AD1-145FD6E043C7}" name="Column3478"/>
    <tableColumn id="3510" xr3:uid="{84DF6B38-4017-4216-9262-ACEC0622F85C}" name="Column3479"/>
    <tableColumn id="3511" xr3:uid="{058E893E-BEAE-460C-96FA-E2FB0DFF35CA}" name="Column3480"/>
    <tableColumn id="3512" xr3:uid="{DCFD54C7-91BD-4E66-A21E-346012AEBA4F}" name="Column3481"/>
    <tableColumn id="3513" xr3:uid="{6F63FA4A-F5E2-45C1-ADA9-C53D328EED39}" name="Column3482"/>
    <tableColumn id="3514" xr3:uid="{6E16F066-4A07-48C0-9713-2989BBD8011A}" name="Column3483"/>
    <tableColumn id="3515" xr3:uid="{3DDBA6AF-9EFE-4640-8FF3-2C39D7C110D7}" name="Column3484"/>
    <tableColumn id="3516" xr3:uid="{5E2A2C64-9C4F-4F01-8F5C-690EADC2BE4B}" name="Column3485"/>
    <tableColumn id="3517" xr3:uid="{B64F1347-95E8-48E8-853F-102BE4205A5C}" name="Column3486"/>
    <tableColumn id="3518" xr3:uid="{31ACB38E-741E-45D2-8D37-E3F204C200A7}" name="Column3487"/>
    <tableColumn id="3519" xr3:uid="{EA41B8B9-CF9B-4C03-AF89-1511C0F90518}" name="Column3488"/>
    <tableColumn id="3520" xr3:uid="{B669D8CC-C3BC-43AB-9A59-A6E2D595B7DA}" name="Column3489"/>
    <tableColumn id="3521" xr3:uid="{4C0CE951-A24F-4C3D-957F-D7B2B4320D04}" name="Column3490"/>
    <tableColumn id="3522" xr3:uid="{AF4B5E71-9748-4AE3-A075-C006A8C1451B}" name="Column3491"/>
    <tableColumn id="3523" xr3:uid="{F1632DE2-9D27-4137-AC62-7455DC2245EF}" name="Column3492"/>
    <tableColumn id="3524" xr3:uid="{2597FE62-F216-40F9-80E9-F1AABBF24092}" name="Column3493"/>
    <tableColumn id="3525" xr3:uid="{5F056399-C85A-4685-BC45-7773DD7701D6}" name="Column3494"/>
    <tableColumn id="3526" xr3:uid="{446807F3-8716-478A-86DD-176E5125E3BF}" name="Column3495"/>
    <tableColumn id="3527" xr3:uid="{0C76044F-C37E-4CD5-90E2-70BDD656EF2B}" name="Column3496"/>
    <tableColumn id="3528" xr3:uid="{A50B5EFB-0C05-46CB-85B6-825183AD12DD}" name="Column3497"/>
    <tableColumn id="3529" xr3:uid="{557B4F1B-BC9D-46E8-ABE6-6DE08AFD8C5C}" name="Column3498"/>
    <tableColumn id="3530" xr3:uid="{3A58ABC3-5A64-46A1-9612-BE33FF9832D1}" name="Column3499"/>
    <tableColumn id="3531" xr3:uid="{2FF55514-624B-455B-A8FF-1B28A0C2896A}" name="Column3500"/>
    <tableColumn id="3532" xr3:uid="{A25D097C-3A07-4C00-994D-6851C88419E2}" name="Column3501"/>
    <tableColumn id="3533" xr3:uid="{1F525C16-137B-4C08-8A43-BF1CF2AEA41A}" name="Column3502"/>
    <tableColumn id="3534" xr3:uid="{52FFB19B-F9DD-4E08-90FE-71E64C3DB1C6}" name="Column3503"/>
    <tableColumn id="3535" xr3:uid="{D7E15D64-47DA-4149-9E40-7C90292C6D96}" name="Column3504"/>
    <tableColumn id="3536" xr3:uid="{8D7DE755-01EE-4C1D-B77E-97A9F16F3EF4}" name="Column3505"/>
    <tableColumn id="3537" xr3:uid="{F37338B4-80A1-44B4-AC24-418864466B30}" name="Column3506"/>
    <tableColumn id="3538" xr3:uid="{3CF3707E-0069-41B9-BCBC-815616D1236E}" name="Column3507"/>
    <tableColumn id="3539" xr3:uid="{6E6B42BB-44AE-4F89-9D94-73AE30B96713}" name="Column3508"/>
    <tableColumn id="3540" xr3:uid="{1A8C85D2-B1A6-41A1-9D93-BBD63EE5FFCB}" name="Column3509"/>
    <tableColumn id="3541" xr3:uid="{E6EB0AA6-270A-401D-9C50-7114402CA5E9}" name="Column3510"/>
    <tableColumn id="3542" xr3:uid="{2FCFB405-E49C-4DD3-8536-7286F24635F9}" name="Column3511"/>
    <tableColumn id="3543" xr3:uid="{FB4E383D-729B-45C7-8403-FC06D7114982}" name="Column3512"/>
    <tableColumn id="3544" xr3:uid="{C6F5FC10-EC38-4D6E-82EA-269E7EF271CB}" name="Column3513"/>
    <tableColumn id="3545" xr3:uid="{217EDF1E-EF27-4E93-8C67-9C7C6A657B1A}" name="Column3514"/>
    <tableColumn id="3546" xr3:uid="{0BDF7CFB-2551-4800-B218-0DC1841B6972}" name="Column3515"/>
    <tableColumn id="3547" xr3:uid="{0BFCB796-D3D4-40B7-9CB6-BE5F9683B918}" name="Column3516"/>
    <tableColumn id="3548" xr3:uid="{C0E26BBF-9DAC-4F7B-A5F0-952EE7C396A7}" name="Column3517"/>
    <tableColumn id="3549" xr3:uid="{5436415C-D5E7-4533-A0D5-F3AA3572DF8B}" name="Column3518"/>
    <tableColumn id="3550" xr3:uid="{5D0F522F-0D85-4C68-BA18-27D423BEA89C}" name="Column3519"/>
    <tableColumn id="3551" xr3:uid="{7E23A411-9A7A-4F4B-97D8-2D5D4DE42D1A}" name="Column3520"/>
    <tableColumn id="3552" xr3:uid="{218E9608-0D51-4856-845B-EFEC1DBB2A79}" name="Column3521"/>
    <tableColumn id="3553" xr3:uid="{CF1EBDF3-3614-4B8B-918C-5B5A5B2DC97F}" name="Column3522"/>
    <tableColumn id="3554" xr3:uid="{64EC0ABB-BB03-4449-A395-016A2FDBB165}" name="Column3523"/>
    <tableColumn id="3555" xr3:uid="{77637D6D-2414-4FA1-8CBA-2EA52957D51C}" name="Column3524"/>
    <tableColumn id="3556" xr3:uid="{1E38293D-0A92-45F7-8765-B6E5D6EE0FA6}" name="Column3525"/>
    <tableColumn id="3557" xr3:uid="{776B1466-CEBA-47EE-B05E-C1F310F3FE2A}" name="Column3526"/>
    <tableColumn id="3558" xr3:uid="{73B56156-5C13-401A-B158-DDE8BB7CA269}" name="Column3527"/>
    <tableColumn id="3559" xr3:uid="{1BD114BA-6D78-4EE2-9CEC-4C6207526FE7}" name="Column3528"/>
    <tableColumn id="3560" xr3:uid="{8A9711E4-1E04-47A6-95E2-31A4C39D14C3}" name="Column3529"/>
    <tableColumn id="3561" xr3:uid="{1398387F-FC2B-4882-99E5-43D50E268138}" name="Column3530"/>
    <tableColumn id="3562" xr3:uid="{C4D88E63-F4B6-48B6-A9E6-D9837BF15E62}" name="Column3531"/>
    <tableColumn id="3563" xr3:uid="{B734DB6C-EB95-41CA-A13E-BBCD9D7FA51E}" name="Column3532"/>
    <tableColumn id="3564" xr3:uid="{98CB8933-A4EC-49EC-BE70-C62D7D1E365C}" name="Column3533"/>
    <tableColumn id="3565" xr3:uid="{603EF9E0-5B2A-420D-B806-2DC0BF352BB4}" name="Column3534"/>
    <tableColumn id="3566" xr3:uid="{9653C2B7-C5FA-4CE6-81AD-9A2199C1C5E6}" name="Column3535"/>
    <tableColumn id="3567" xr3:uid="{6B74959C-22E8-4A91-ACD9-E99D1C5AE3C7}" name="Column3536"/>
    <tableColumn id="3568" xr3:uid="{26A8C9FF-D382-4762-808A-D80902945AB9}" name="Column3537"/>
    <tableColumn id="3569" xr3:uid="{781EEC7A-70B2-457D-B778-3701B10ACF66}" name="Column3538"/>
    <tableColumn id="3570" xr3:uid="{53719DD0-22CF-4E60-9C15-DA1DFA030F07}" name="Column3539"/>
    <tableColumn id="3571" xr3:uid="{D4E5DEB3-B738-4D4D-9E3D-465CFD6F506C}" name="Column3540"/>
    <tableColumn id="3572" xr3:uid="{2E8D14C5-D95F-430B-AD21-447EC375FC16}" name="Column3541"/>
    <tableColumn id="3573" xr3:uid="{9D7F9965-DBB9-4E11-9553-B6F3B9868FF3}" name="Column3542"/>
    <tableColumn id="3574" xr3:uid="{3558C369-D544-4CC8-B584-54DBFBB13455}" name="Column3543"/>
    <tableColumn id="3575" xr3:uid="{EE3ABB3A-B8EE-4906-ADF0-7EFAFE457A02}" name="Column3544"/>
    <tableColumn id="3576" xr3:uid="{D6D78727-A85A-4AB2-8216-A4BC1B02269A}" name="Column3545"/>
    <tableColumn id="3577" xr3:uid="{A558D563-0C59-4ADB-8289-CD5375B6C78F}" name="Column3546"/>
    <tableColumn id="3578" xr3:uid="{683DC351-782E-443A-97B4-FD7B385250B2}" name="Column3547"/>
    <tableColumn id="3579" xr3:uid="{C27E420B-6602-4BEF-ACCE-685E8D6C03DB}" name="Column3548"/>
    <tableColumn id="3580" xr3:uid="{5F668BF3-2B09-4547-9959-B70870E7B70D}" name="Column3549"/>
    <tableColumn id="3581" xr3:uid="{BA03C1D1-12F4-44E7-8BD8-8FA993A1419C}" name="Column3550"/>
    <tableColumn id="3582" xr3:uid="{4B246DA3-CA63-417D-8C7E-4CB0DF1D084A}" name="Column3551"/>
    <tableColumn id="3583" xr3:uid="{556E4EF6-45DE-4BEB-901D-319DB6F12C1B}" name="Column3552"/>
    <tableColumn id="3584" xr3:uid="{2B42AE85-CAE5-4703-9840-96A7C337DCB3}" name="Column3553"/>
    <tableColumn id="3585" xr3:uid="{D168683B-1862-4783-BCF8-7EADDFA35E3C}" name="Column3554"/>
    <tableColumn id="3586" xr3:uid="{08992CC0-9FF5-42E4-A882-DD54B1A70DB6}" name="Column3555"/>
    <tableColumn id="3587" xr3:uid="{6C85E9A5-8AA6-4AC8-ACFE-89163A32F4B8}" name="Column3556"/>
    <tableColumn id="3588" xr3:uid="{E66F2CFF-7C25-4F08-BB38-E4A19657E603}" name="Column3557"/>
    <tableColumn id="3589" xr3:uid="{DAC5A06D-3063-466C-A596-227EDC98A7B4}" name="Column3558"/>
    <tableColumn id="3590" xr3:uid="{B0E6B5A3-5E7A-4D6D-85AA-4DC8B5AEA964}" name="Column3559"/>
    <tableColumn id="3591" xr3:uid="{D1963875-C3FE-4BBB-867C-4924594B4B48}" name="Column3560"/>
    <tableColumn id="3592" xr3:uid="{691EA9C3-30D8-42F9-9119-BBC2E11E488B}" name="Column3561"/>
    <tableColumn id="3593" xr3:uid="{ED3911CE-2D0E-4929-B27D-29890AD53417}" name="Column3562"/>
    <tableColumn id="3594" xr3:uid="{8E11EE83-93D9-4E63-B6CE-1A23CC32B8FC}" name="Column3563"/>
    <tableColumn id="3595" xr3:uid="{224366AD-37C0-430F-B67A-15D5BDF3579F}" name="Column3564"/>
    <tableColumn id="3596" xr3:uid="{2A119B94-BD0D-496C-9E6A-FC2C14263ECA}" name="Column3565"/>
    <tableColumn id="3597" xr3:uid="{75B69961-24B7-43A1-8758-86AB7C1D965E}" name="Column3566"/>
    <tableColumn id="3598" xr3:uid="{B5ACCC67-1B69-42EF-8533-7F3DEBA8121F}" name="Column3567"/>
    <tableColumn id="3599" xr3:uid="{3B4BA4ED-EC73-4687-B6CD-719977E28F96}" name="Column3568"/>
    <tableColumn id="3600" xr3:uid="{5134BD71-1734-41E2-953A-10B3332DE1AA}" name="Column3569"/>
    <tableColumn id="3601" xr3:uid="{0EF4F69D-2B5D-402D-B4F7-466B54355395}" name="Column3570"/>
    <tableColumn id="3602" xr3:uid="{8130139C-5767-45FF-945A-6205D99CC2AF}" name="Column3571"/>
    <tableColumn id="3603" xr3:uid="{488CE2F4-BAB2-478F-BDFD-A61CE8DC9146}" name="Column3572"/>
    <tableColumn id="3604" xr3:uid="{22E63B10-81B0-4EF0-9588-F5E323ADB530}" name="Column3573"/>
    <tableColumn id="3605" xr3:uid="{F04BE650-2CDB-4811-ACA9-4A96318DBC0B}" name="Column3574"/>
    <tableColumn id="3606" xr3:uid="{66458D12-77F7-4E5C-808C-98101865B991}" name="Column3575"/>
    <tableColumn id="3607" xr3:uid="{129CCDDC-F6AD-4FC7-9384-8E3F69A29FF6}" name="Column3576"/>
    <tableColumn id="3608" xr3:uid="{106D7421-6BAB-46C4-9474-50C688B2A51B}" name="Column3577"/>
    <tableColumn id="3609" xr3:uid="{9E088BE1-587E-4B78-857B-6E2C7A1F3FF7}" name="Column3578"/>
    <tableColumn id="3610" xr3:uid="{F0D63211-5E1A-4AA2-A6FD-E322A1BC57D7}" name="Column3579"/>
    <tableColumn id="3611" xr3:uid="{07B6CF35-8B97-42A6-BF65-14D34726C890}" name="Column3580"/>
    <tableColumn id="3612" xr3:uid="{EF380C6F-219A-4750-94B0-330D28EDAF83}" name="Column3581"/>
    <tableColumn id="3613" xr3:uid="{BD4CA96C-FF45-4DE9-BAB1-5E133AF7CD2E}" name="Column3582"/>
    <tableColumn id="3614" xr3:uid="{9C1E72A0-7E42-43CF-AF03-2A82C8763F6C}" name="Column3583"/>
    <tableColumn id="3615" xr3:uid="{233AFF2D-AF56-4AE5-B331-106F715C082B}" name="Column3584"/>
    <tableColumn id="3616" xr3:uid="{1C783E0F-7BC2-4D87-BBE8-997830329EAC}" name="Column3585"/>
    <tableColumn id="3617" xr3:uid="{AEA7CFCE-8A06-4FDF-8BBA-B4AB93F349BC}" name="Column3586"/>
    <tableColumn id="3618" xr3:uid="{AA04C960-2BD0-4F23-B37C-A2D0D6E5B1FE}" name="Column3587"/>
    <tableColumn id="3619" xr3:uid="{E317E0D0-2791-41D9-B9AB-DEC7B05CF759}" name="Column3588"/>
    <tableColumn id="3620" xr3:uid="{97461C69-C05D-461C-88FD-E4B2C842DC18}" name="Column3589"/>
    <tableColumn id="3621" xr3:uid="{A60D3BC1-BEF6-4288-AD16-BE26D1A1001D}" name="Column3590"/>
    <tableColumn id="3622" xr3:uid="{356C863C-EB8A-49E4-8CE5-6A7B0EF20203}" name="Column3591"/>
    <tableColumn id="3623" xr3:uid="{6D8F122D-EB4C-45F3-A671-854FB58A042E}" name="Column3592"/>
    <tableColumn id="3624" xr3:uid="{DAB600B8-8CBB-433F-914E-E8258844F939}" name="Column3593"/>
    <tableColumn id="3625" xr3:uid="{2F0A9633-522C-4E08-AB76-33A3146CF85D}" name="Column3594"/>
    <tableColumn id="3626" xr3:uid="{64904D44-7391-4340-B504-874A7C11CC44}" name="Column3595"/>
    <tableColumn id="3627" xr3:uid="{8B6375B8-58A9-4347-957B-88AB8DDE5E3B}" name="Column3596"/>
    <tableColumn id="3628" xr3:uid="{CB0E4E98-83FA-40E4-8106-B4C7847D5B4B}" name="Column3597"/>
    <tableColumn id="3629" xr3:uid="{E746894F-3D67-486D-9EEF-34EE98ECD1F6}" name="Column3598"/>
    <tableColumn id="3630" xr3:uid="{AD70FB27-3108-4E69-948E-EB07EE027F99}" name="Column3599"/>
    <tableColumn id="3631" xr3:uid="{76E3ADA6-42B0-4ED4-98BD-D98A58DD47E1}" name="Column3600"/>
    <tableColumn id="3632" xr3:uid="{DAA3D61B-1969-4BD6-8C68-79C29F730481}" name="Column3601"/>
    <tableColumn id="3633" xr3:uid="{680A4BB8-F5AE-464A-9CE2-3DB704383F02}" name="Column3602"/>
    <tableColumn id="3634" xr3:uid="{641BA199-72CB-42AF-BF41-B333393DBFD6}" name="Column3603"/>
    <tableColumn id="3635" xr3:uid="{B009D00D-ED6C-42E6-AC24-9BBE7EA22B84}" name="Column3604"/>
    <tableColumn id="3636" xr3:uid="{9307B82C-88C1-4754-A08A-31A6154D7AE0}" name="Column3605"/>
    <tableColumn id="3637" xr3:uid="{27DFCE5F-6F81-49AE-9CC0-B864DBDD02AC}" name="Column3606"/>
    <tableColumn id="3638" xr3:uid="{9738C147-08BE-4839-B0CD-B67CACD66FA9}" name="Column3607"/>
    <tableColumn id="3639" xr3:uid="{648376A9-7A94-4560-9E78-150F42773B36}" name="Column3608"/>
    <tableColumn id="3640" xr3:uid="{203C34D1-5285-41E1-AD39-1C85B148E5AB}" name="Column3609"/>
    <tableColumn id="3641" xr3:uid="{098044B8-3B3C-476A-8875-823F6C276283}" name="Column3610"/>
    <tableColumn id="3642" xr3:uid="{A0D6BD58-FFBD-44F5-8CDA-6A442899C148}" name="Column3611"/>
    <tableColumn id="3643" xr3:uid="{EA9B6533-9653-4A60-B100-725411C75700}" name="Column3612"/>
    <tableColumn id="3644" xr3:uid="{4B79FA0E-23B9-4F86-BF29-AA16DB636C38}" name="Column3613"/>
    <tableColumn id="3645" xr3:uid="{46664FA8-2595-4EBB-9625-3BE6222A58BD}" name="Column3614"/>
    <tableColumn id="3646" xr3:uid="{528A0803-4054-4268-8970-D10EAD1D586C}" name="Column3615"/>
    <tableColumn id="3647" xr3:uid="{45C13A89-D332-462F-9B75-89DA23567568}" name="Column3616"/>
    <tableColumn id="3648" xr3:uid="{588F724C-9A9F-4C8E-8B88-630778BF8C67}" name="Column3617"/>
    <tableColumn id="3649" xr3:uid="{4A8AFF34-2F75-4558-8570-2AD0760575D3}" name="Column3618"/>
    <tableColumn id="3650" xr3:uid="{93EA2EEC-0A05-4348-B3E0-715BF5CE2943}" name="Column3619"/>
    <tableColumn id="3651" xr3:uid="{3F996DE4-20D6-49DE-8ED7-1E6E3D3445CD}" name="Column3620"/>
    <tableColumn id="3652" xr3:uid="{70E35521-8666-4160-A401-1ACF0CF58D54}" name="Column3621"/>
    <tableColumn id="3653" xr3:uid="{26B2BA85-7D3F-4832-9CCF-A92318E220AA}" name="Column3622"/>
    <tableColumn id="3654" xr3:uid="{502A106D-4B33-4FC5-B023-5A5262C2F3A5}" name="Column3623"/>
    <tableColumn id="3655" xr3:uid="{E4B39F08-3EC9-45D7-9A22-24EAB06C726F}" name="Column3624"/>
    <tableColumn id="3656" xr3:uid="{0CEAFF22-D548-4F2F-8C55-961B9EEEE928}" name="Column3625"/>
    <tableColumn id="3657" xr3:uid="{EA3EA901-ED2B-4FE6-B390-214D8C1B324F}" name="Column3626"/>
    <tableColumn id="3658" xr3:uid="{6A44A5D1-3D59-449D-949F-546C879D2157}" name="Column3627"/>
    <tableColumn id="3659" xr3:uid="{372D1577-95CB-4459-AC1D-54E91B113472}" name="Column3628"/>
    <tableColumn id="3660" xr3:uid="{11917768-6B3D-4037-B6ED-81964DA25AFF}" name="Column3629"/>
    <tableColumn id="3661" xr3:uid="{25C9A6A3-7A72-4413-B72C-C427D6866DBA}" name="Column3630"/>
    <tableColumn id="3662" xr3:uid="{86BF83F9-4C42-41C6-8D3A-0740CBCC0176}" name="Column3631"/>
    <tableColumn id="3663" xr3:uid="{5F878EDE-4C82-42D3-9907-0F89DAA143B9}" name="Column3632"/>
    <tableColumn id="3664" xr3:uid="{361BE07E-5C5C-4408-89EE-B139B62746EB}" name="Column3633"/>
    <tableColumn id="3665" xr3:uid="{55C02330-70EB-4418-A24D-65F67A4481D0}" name="Column3634"/>
    <tableColumn id="3666" xr3:uid="{096593C1-D22A-43AA-BB07-1FC8BACF7663}" name="Column3635"/>
    <tableColumn id="3667" xr3:uid="{DE0BE309-7A26-4221-BA9E-F3E8EB7BC89F}" name="Column3636"/>
    <tableColumn id="3668" xr3:uid="{700C6660-E730-421B-B1F9-101C0C92101D}" name="Column3637"/>
    <tableColumn id="3669" xr3:uid="{B87CC972-2B55-455D-B84B-80ECEF5ACBE9}" name="Column3638"/>
    <tableColumn id="3670" xr3:uid="{73238E18-BE99-4066-B6C9-E7F5D553CB5F}" name="Column3639"/>
    <tableColumn id="3671" xr3:uid="{95AD0FCE-8366-4EBD-82FC-92E7C7BC2C1D}" name="Column3640"/>
    <tableColumn id="3672" xr3:uid="{4E867BB3-326F-4AC5-A477-B3BE92D17ACC}" name="Column3641"/>
    <tableColumn id="3673" xr3:uid="{DA5C419E-10E2-40D5-9D56-F5B4C5A034D8}" name="Column3642"/>
    <tableColumn id="3674" xr3:uid="{482D8365-47D4-4F71-9DF8-2C8C7257179E}" name="Column3643"/>
    <tableColumn id="3675" xr3:uid="{2D383720-FE24-456B-837F-D827C0362207}" name="Column3644"/>
    <tableColumn id="3676" xr3:uid="{1116B47D-6855-400F-8037-443BFEFB3E75}" name="Column3645"/>
    <tableColumn id="3677" xr3:uid="{EF97DAE3-0F75-4729-A0C7-8DAEFA41B307}" name="Column3646"/>
    <tableColumn id="3678" xr3:uid="{D31FD473-AFDA-42C6-B37B-E2147684172F}" name="Column3647"/>
    <tableColumn id="3679" xr3:uid="{FCAB9554-AF19-4857-A837-3F456FAF31D7}" name="Column3648"/>
    <tableColumn id="3680" xr3:uid="{50DBD3FC-46CF-43D4-92FA-FC6D23AD47C7}" name="Column3649"/>
    <tableColumn id="3681" xr3:uid="{7E891833-4D48-4923-99F5-63772EE21344}" name="Column3650"/>
    <tableColumn id="3682" xr3:uid="{67E248D8-68BC-4BB8-A00B-61490B1A80DF}" name="Column3651"/>
    <tableColumn id="3683" xr3:uid="{499C0A2B-9E69-43B5-AD21-8D0F2840F988}" name="Column3652"/>
    <tableColumn id="3684" xr3:uid="{4C42AFBB-5019-4B8D-BDE7-EB84B49C7590}" name="Column3653"/>
    <tableColumn id="3685" xr3:uid="{E927F761-C276-4023-8878-1D0868B748F5}" name="Column3654"/>
    <tableColumn id="3686" xr3:uid="{A2DE7261-8707-459C-9D48-8DCEA35C83DE}" name="Column3655"/>
    <tableColumn id="3687" xr3:uid="{900048DA-CFC1-46E6-B5DB-B16748B84157}" name="Column3656"/>
    <tableColumn id="3688" xr3:uid="{6E258BFB-1879-4C6A-AF74-32E72A91F006}" name="Column3657"/>
    <tableColumn id="3689" xr3:uid="{4E6F9759-FD62-4527-A366-C3E11FDB205C}" name="Column3658"/>
    <tableColumn id="3690" xr3:uid="{EBFDBFC0-489D-44CF-B9CF-CA46864CB079}" name="Column3659"/>
    <tableColumn id="3691" xr3:uid="{0EDC6E58-058B-4C58-A5DE-135217F80E1A}" name="Column3660"/>
    <tableColumn id="3692" xr3:uid="{15364A6C-6A46-407D-9530-DF78ADAE9D6E}" name="Column3661"/>
    <tableColumn id="3693" xr3:uid="{9B6A99E9-4487-45C7-9039-2B44F6488BC3}" name="Column3662"/>
    <tableColumn id="3694" xr3:uid="{4E8429FB-A309-4C62-AE43-5FA8005365AA}" name="Column3663"/>
    <tableColumn id="3695" xr3:uid="{7FA31D51-8361-40EF-A411-962413F1B6F2}" name="Column3664"/>
    <tableColumn id="3696" xr3:uid="{330BC797-5E4F-4A08-9C0A-C3581D5B9284}" name="Column3665"/>
    <tableColumn id="3697" xr3:uid="{7C4B4FC4-D8CA-4D0F-8E92-5400557D582E}" name="Column3666"/>
    <tableColumn id="3698" xr3:uid="{1E12E243-ACFE-47EC-A1D7-60506C8169EC}" name="Column3667"/>
    <tableColumn id="3699" xr3:uid="{ABB0662B-BF29-4C68-BD3F-9C95EAC98509}" name="Column3668"/>
    <tableColumn id="3700" xr3:uid="{0BDE9D9C-2857-441C-9BBD-93CC49492731}" name="Column3669"/>
    <tableColumn id="3701" xr3:uid="{12FE3EE9-9D9A-4808-A27E-F673B46F9EE1}" name="Column3670"/>
    <tableColumn id="3702" xr3:uid="{8D3F625C-D9B7-4F30-9EAC-184D640AACD1}" name="Column3671"/>
    <tableColumn id="3703" xr3:uid="{B33AA635-F5FF-456B-A143-506909AB87F8}" name="Column3672"/>
    <tableColumn id="3704" xr3:uid="{1EC008E2-539F-4962-9BD3-F73BC558C21B}" name="Column3673"/>
    <tableColumn id="3705" xr3:uid="{D0BB950E-8518-48DD-BB8A-1B67A83BCAE0}" name="Column3674"/>
    <tableColumn id="3706" xr3:uid="{52E115D7-63AD-4AC7-81A9-3B37E3E71A98}" name="Column3675"/>
    <tableColumn id="3707" xr3:uid="{20757007-8321-4434-BF0E-B072E4490C10}" name="Column3676"/>
    <tableColumn id="3708" xr3:uid="{0E5AB022-1AEB-4FCE-9A36-B992F8EA3059}" name="Column3677"/>
    <tableColumn id="3709" xr3:uid="{9473596F-272C-4D84-BEAB-6A72EF4F90AE}" name="Column3678"/>
    <tableColumn id="3710" xr3:uid="{540B7647-A4F0-49C0-9DF8-2E8C62894557}" name="Column3679"/>
    <tableColumn id="3711" xr3:uid="{97FEE072-92FA-4AFB-8981-A1DB8C4B1478}" name="Column3680"/>
    <tableColumn id="3712" xr3:uid="{4130BC71-EC53-42D9-9E70-8A63D20227A7}" name="Column3681"/>
    <tableColumn id="3713" xr3:uid="{48A7A31B-F52F-42B0-813C-F4D4CF5F51C4}" name="Column3682"/>
    <tableColumn id="3714" xr3:uid="{96054DBA-6EE1-4538-98F9-11BCE930E868}" name="Column3683"/>
    <tableColumn id="3715" xr3:uid="{37E62212-8081-493F-8A6E-08A2C91ADE34}" name="Column3684"/>
    <tableColumn id="3716" xr3:uid="{F63D7713-771D-48B1-87A4-CD918AC2B3A3}" name="Column3685"/>
    <tableColumn id="3717" xr3:uid="{02987DB8-D23D-4F7D-9FEA-2CFC41FC6FC8}" name="Column3686"/>
    <tableColumn id="3718" xr3:uid="{95E69FD9-A43E-4BD6-84A6-87A150C1A18E}" name="Column3687"/>
    <tableColumn id="3719" xr3:uid="{6184626C-689C-4D5F-BFD5-01AF34768A92}" name="Column3688"/>
    <tableColumn id="3720" xr3:uid="{2A148412-8ED6-40BD-AED2-0773008D3C7C}" name="Column3689"/>
    <tableColumn id="3721" xr3:uid="{0894872C-D131-4FE1-8FDB-C6826F205CF5}" name="Column3690"/>
    <tableColumn id="3722" xr3:uid="{CD1BC11D-6B44-44A0-A0F5-393157BB115D}" name="Column3691"/>
    <tableColumn id="3723" xr3:uid="{D8E17A9C-08F3-4C8A-8F66-66448DCE31FB}" name="Column3692"/>
    <tableColumn id="3724" xr3:uid="{371A16D7-94B0-41EE-B3A7-EF042135C5E5}" name="Column3693"/>
    <tableColumn id="3725" xr3:uid="{BA94C833-53AC-486C-BBDA-93E99A8C86CA}" name="Column3694"/>
    <tableColumn id="3726" xr3:uid="{AF7FB698-3EDE-4730-AA69-5CE3DE63A25F}" name="Column3695"/>
    <tableColumn id="3727" xr3:uid="{F8BC0FAB-E41D-47CA-865E-93E267EE11E1}" name="Column3696"/>
    <tableColumn id="3728" xr3:uid="{BDC8C1B0-AE81-4753-A5D5-CCA97AE411BB}" name="Column3697"/>
    <tableColumn id="3729" xr3:uid="{47100A93-30DB-4E45-8267-BEFAA18284F2}" name="Column3698"/>
    <tableColumn id="3730" xr3:uid="{E8A48AEB-F66D-4BC9-A096-1E448BE4936B}" name="Column3699"/>
    <tableColumn id="3731" xr3:uid="{5B9BF077-AFA6-449F-A40A-08EFA6C21A72}" name="Column3700"/>
    <tableColumn id="3732" xr3:uid="{CF903017-5B30-4734-8015-43F61AC4E334}" name="Column3701"/>
    <tableColumn id="3733" xr3:uid="{45D22F8B-0394-402A-A123-79D4B3784087}" name="Column3702"/>
    <tableColumn id="3734" xr3:uid="{334F9D81-D64B-4E20-93D3-99D67D6BE0C1}" name="Column3703"/>
    <tableColumn id="3735" xr3:uid="{B4085FC2-A6E0-4944-B3B1-D92A65F14140}" name="Column3704"/>
    <tableColumn id="3736" xr3:uid="{2F50D04B-AD99-400A-93C3-81B26D2AC6EB}" name="Column3705"/>
    <tableColumn id="3737" xr3:uid="{C1710390-AB07-436F-97BC-FF3AC18D5A99}" name="Column3706"/>
    <tableColumn id="3738" xr3:uid="{8D2C1549-BC04-4EDE-AEC2-4F2D658D3766}" name="Column3707"/>
    <tableColumn id="3739" xr3:uid="{1F7F2FEE-42D2-4B80-B9CE-D5543E970951}" name="Column3708"/>
    <tableColumn id="3740" xr3:uid="{DA285D02-C709-407F-BF0E-05C68252A9C2}" name="Column3709"/>
    <tableColumn id="3741" xr3:uid="{AF3CB5DA-AC9F-4A05-998A-792B616AFFC8}" name="Column3710"/>
    <tableColumn id="3742" xr3:uid="{CB5050C1-F6E8-4DBB-AE7D-4A6438FEB0B4}" name="Column3711"/>
    <tableColumn id="3743" xr3:uid="{8CCE9438-D7C2-4320-810C-659D0AAC09F5}" name="Column3712"/>
    <tableColumn id="3744" xr3:uid="{AF9DDB66-39B4-4A5F-BE58-C6E45F6AB0DC}" name="Column3713"/>
    <tableColumn id="3745" xr3:uid="{3BE316F1-98EA-4272-90AF-714C8ABD8C7D}" name="Column3714"/>
    <tableColumn id="3746" xr3:uid="{60CCC5F5-973E-4C46-936C-340543B7E21D}" name="Column3715"/>
    <tableColumn id="3747" xr3:uid="{16CE147C-EFB7-4DFB-B6AC-56F6610CBB3A}" name="Column3716"/>
    <tableColumn id="3748" xr3:uid="{9CCD64AF-28D8-4079-910E-A6E5BCC4AA54}" name="Column3717"/>
    <tableColumn id="3749" xr3:uid="{28005BC8-8026-42D1-B0F0-9068FD29D8BE}" name="Column3718"/>
    <tableColumn id="3750" xr3:uid="{FB4CDADF-25DB-4EC2-A579-D14302EBB74F}" name="Column3719"/>
    <tableColumn id="3751" xr3:uid="{31F294A0-FA92-4F00-981C-04E98DE29CC8}" name="Column3720"/>
    <tableColumn id="3752" xr3:uid="{19014702-16B7-464A-8814-1C9FB4BBD6F1}" name="Column3721"/>
    <tableColumn id="3753" xr3:uid="{F52AA9A6-FF07-4428-8D37-E422C867F511}" name="Column3722"/>
    <tableColumn id="3754" xr3:uid="{3C6440ED-18C3-4E18-9C5D-B78577DFA905}" name="Column3723"/>
    <tableColumn id="3755" xr3:uid="{6B229010-14D8-4E35-BC06-C6CE47BE1904}" name="Column3724"/>
    <tableColumn id="3756" xr3:uid="{A907A814-2B54-48B8-BB2F-DEC978F25070}" name="Column3725"/>
    <tableColumn id="3757" xr3:uid="{6A821302-C815-4918-84E4-C465BCB9C858}" name="Column3726"/>
    <tableColumn id="3758" xr3:uid="{4351F48C-A864-4251-AC83-6674E092D9B1}" name="Column3727"/>
    <tableColumn id="3759" xr3:uid="{5ECAC80C-7511-4227-8764-3BA8981168D9}" name="Column3728"/>
    <tableColumn id="3760" xr3:uid="{38455A84-259F-4280-B0AF-4B412F4C2F83}" name="Column3729"/>
    <tableColumn id="3761" xr3:uid="{501909C5-029B-453A-81CE-C44145CCF95D}" name="Column3730"/>
    <tableColumn id="3762" xr3:uid="{4F6D0A92-CDEB-4E6A-A13C-E43657141EE6}" name="Column3731"/>
    <tableColumn id="3763" xr3:uid="{7BAC20A6-A3A6-4CDC-9894-862D25127131}" name="Column3732"/>
    <tableColumn id="3764" xr3:uid="{FA7784A1-FE0D-48E0-A602-455827EA4CB0}" name="Column3733"/>
    <tableColumn id="3765" xr3:uid="{6B47EA57-66BC-4E5F-8864-358D0B06F340}" name="Column3734"/>
    <tableColumn id="3766" xr3:uid="{430D9DC9-5AF5-4AE8-8C8D-B2C1A8E7AD2E}" name="Column3735"/>
    <tableColumn id="3767" xr3:uid="{1CE0C350-40D5-49E2-9424-C46EAA78AC1E}" name="Column3736"/>
    <tableColumn id="3768" xr3:uid="{BADDDD32-2244-4E32-9277-C627196B2F6B}" name="Column3737"/>
    <tableColumn id="3769" xr3:uid="{6F3B550A-2FC3-4085-AA02-A0202CF46722}" name="Column3738"/>
    <tableColumn id="3770" xr3:uid="{0DDB4CBA-D707-4BC9-847B-F98D570F2896}" name="Column3739"/>
    <tableColumn id="3771" xr3:uid="{EE30A649-595A-4081-B063-C6FD982D85DF}" name="Column3740"/>
    <tableColumn id="3772" xr3:uid="{672C0812-33AB-4B91-AE51-0A3FF236F0F6}" name="Column3741"/>
    <tableColumn id="3773" xr3:uid="{5CF04E08-32D4-43F9-B611-B74DD4F8DFCF}" name="Column3742"/>
    <tableColumn id="3774" xr3:uid="{91AF77C3-AF91-4059-BBD9-F6F667539FB2}" name="Column3743"/>
    <tableColumn id="3775" xr3:uid="{5384746F-040D-42FC-AC8B-9C1644B88E98}" name="Column3744"/>
    <tableColumn id="3776" xr3:uid="{D12A292B-7C50-48C3-957C-86304E75583A}" name="Column3745"/>
    <tableColumn id="3777" xr3:uid="{6304764A-0C70-46AA-86CB-B8972FA06EE2}" name="Column3746"/>
    <tableColumn id="3778" xr3:uid="{B6E497AB-9727-47B1-8485-10B6555825D1}" name="Column3747"/>
    <tableColumn id="3779" xr3:uid="{9C43A1FF-05FD-4A8D-BAAF-009F7E9D61AD}" name="Column3748"/>
    <tableColumn id="3780" xr3:uid="{2E56C690-D59C-435A-B17D-1CE0F467AC77}" name="Column3749"/>
    <tableColumn id="3781" xr3:uid="{F7E6140E-301F-4638-83CB-E45453444346}" name="Column3750"/>
    <tableColumn id="3782" xr3:uid="{ED4A1D44-BF55-4A92-8279-71E2882821F1}" name="Column3751"/>
    <tableColumn id="3783" xr3:uid="{D2C65FC1-3770-4F93-AF15-47C49CDB6589}" name="Column3752"/>
    <tableColumn id="3784" xr3:uid="{B07A6928-78E2-4894-8FDD-C6C62909DD1D}" name="Column3753"/>
    <tableColumn id="3785" xr3:uid="{A7A9ECA3-4F8D-4CFD-9AF6-8F44990ADFA1}" name="Column3754"/>
    <tableColumn id="3786" xr3:uid="{C8111F26-0D44-4355-B3D7-B18799CDF121}" name="Column3755"/>
    <tableColumn id="3787" xr3:uid="{89BB3E34-3A45-4460-A6C9-D2F6FA600F4C}" name="Column3756"/>
    <tableColumn id="3788" xr3:uid="{7CB921E6-A47B-462F-9DA4-B9415F86AE19}" name="Column3757"/>
    <tableColumn id="3789" xr3:uid="{3CFB011A-7476-4469-A8B2-E4773D031ABD}" name="Column3758"/>
    <tableColumn id="3790" xr3:uid="{4EAFEEBB-07C4-434B-B546-7F272424C5AC}" name="Column3759"/>
    <tableColumn id="3791" xr3:uid="{170AF744-56EE-43F4-AE65-5AB9EC8F7A53}" name="Column3760"/>
    <tableColumn id="3792" xr3:uid="{57597042-67C4-433C-849D-FB2AC803E7B7}" name="Column3761"/>
    <tableColumn id="3793" xr3:uid="{7FD79C4E-5230-4C6E-9C73-34F22ADA27C2}" name="Column3762"/>
    <tableColumn id="3794" xr3:uid="{E6AD163A-D617-4AE9-8D29-D030650CC13B}" name="Column3763"/>
    <tableColumn id="3795" xr3:uid="{915ED56C-824E-4DB4-ABF3-024F886411BA}" name="Column3764"/>
    <tableColumn id="3796" xr3:uid="{E0F091AD-914A-4391-9A49-87AE09E00539}" name="Column3765"/>
    <tableColumn id="3797" xr3:uid="{F427CA33-AD6A-4EDF-92A7-629794605E8C}" name="Column3766"/>
    <tableColumn id="3798" xr3:uid="{69D03992-7D1C-4EB5-B6EB-26F778DCFDA4}" name="Column3767"/>
    <tableColumn id="3799" xr3:uid="{7790183C-4F00-41E4-84DB-E67DD8D1A939}" name="Column3768"/>
    <tableColumn id="3800" xr3:uid="{EFA0D89A-ED06-4EF5-8653-5D7580CEB04A}" name="Column3769"/>
    <tableColumn id="3801" xr3:uid="{F750DBAA-4FBA-44D6-B2F7-3C36F3DEF777}" name="Column3770"/>
    <tableColumn id="3802" xr3:uid="{AAE06592-93A5-4670-85EA-42C6151E1BF0}" name="Column3771"/>
    <tableColumn id="3803" xr3:uid="{EDE5D782-F0E1-4E70-B94A-4E94401B17DE}" name="Column3772"/>
    <tableColumn id="3804" xr3:uid="{D50A9B07-5F4C-4676-85D3-73609C7EA585}" name="Column3773"/>
    <tableColumn id="3805" xr3:uid="{4FE6A5A8-4041-4511-8EA8-114783E19AF5}" name="Column3774"/>
    <tableColumn id="3806" xr3:uid="{AF659F70-C135-464D-A949-E9218AFF7A8B}" name="Column3775"/>
    <tableColumn id="3807" xr3:uid="{0846C625-EF3E-4B95-B56E-A2447CFC8125}" name="Column3776"/>
    <tableColumn id="3808" xr3:uid="{75AD87E3-ADC7-48B4-986C-47FDE199CF33}" name="Column3777"/>
    <tableColumn id="3809" xr3:uid="{2809C4FB-9348-4309-A4EA-07A0BF42F7C1}" name="Column3778"/>
    <tableColumn id="3810" xr3:uid="{2F0AFC2E-AE4B-48C5-AB0E-256FE0D8CBBC}" name="Column3779"/>
    <tableColumn id="3811" xr3:uid="{73583D96-7DD6-4E92-8FA1-9FCBBBE8456A}" name="Column3780"/>
    <tableColumn id="3812" xr3:uid="{51367117-E6A8-4C94-A722-2892C0F657CD}" name="Column3781"/>
    <tableColumn id="3813" xr3:uid="{B49F8B71-15CA-4954-8C03-82B69E04A989}" name="Column3782"/>
    <tableColumn id="3814" xr3:uid="{FA426FDE-2885-4A2A-A7D6-18BF53BF00F3}" name="Column3783"/>
    <tableColumn id="3815" xr3:uid="{295FE294-0038-4EA6-A70A-64AA6F791100}" name="Column3784"/>
    <tableColumn id="3816" xr3:uid="{D408978A-2392-4EFE-99FF-7EA73DC06A0C}" name="Column3785"/>
    <tableColumn id="3817" xr3:uid="{BD1AAD22-B625-4F2D-BA09-BD3583C19AA0}" name="Column3786"/>
    <tableColumn id="3818" xr3:uid="{A4AFDEDB-E818-42B0-BD95-B180CF890A63}" name="Column3787"/>
    <tableColumn id="3819" xr3:uid="{31A550C1-6E84-4F00-9D92-6719A3E3EF14}" name="Column3788"/>
    <tableColumn id="3820" xr3:uid="{913DEA78-455A-4BC2-A2FD-B1E84715AA63}" name="Column3789"/>
    <tableColumn id="3821" xr3:uid="{242187E1-D00A-4842-9205-C58B208D7E16}" name="Column3790"/>
    <tableColumn id="3822" xr3:uid="{436F21AF-D66A-4A37-80D2-C2FB148A705A}" name="Column3791"/>
    <tableColumn id="3823" xr3:uid="{4E8D7FB3-151C-4DAF-9C64-A92F7112A7D5}" name="Column3792"/>
    <tableColumn id="3824" xr3:uid="{F2D33ABC-2DED-40B2-92C3-7F67F28FEEBA}" name="Column3793"/>
    <tableColumn id="3825" xr3:uid="{19D0C9A5-1E1E-4824-BF70-C19C6910B6AA}" name="Column3794"/>
    <tableColumn id="3826" xr3:uid="{09AB062C-61A3-41B7-A35C-C5E7517DEDBB}" name="Column3795"/>
    <tableColumn id="3827" xr3:uid="{BF2348AB-5B6B-4263-9AA4-3300E397D288}" name="Column3796"/>
    <tableColumn id="3828" xr3:uid="{1F86598A-ADB9-40BE-B824-FC3222D5BFD0}" name="Column3797"/>
    <tableColumn id="3829" xr3:uid="{AF5B59B3-A632-4BE8-BFCD-D9D7140C0EBB}" name="Column3798"/>
    <tableColumn id="3830" xr3:uid="{51360BC7-D050-4256-921D-814E05106AA9}" name="Column3799"/>
    <tableColumn id="3831" xr3:uid="{7B6E6078-5339-430C-9650-84B01A5FAE33}" name="Column3800"/>
    <tableColumn id="3832" xr3:uid="{CF021D0E-F28D-49A7-A1EB-94A74CB7A778}" name="Column3801"/>
    <tableColumn id="3833" xr3:uid="{DE95B428-A374-4666-B977-9EDE6507D853}" name="Column3802"/>
    <tableColumn id="3834" xr3:uid="{87840F16-516D-4449-9AA1-217CFE2E419D}" name="Column3803"/>
    <tableColumn id="3835" xr3:uid="{9891C411-9193-4FDE-97EA-3175C6E764A7}" name="Column3804"/>
    <tableColumn id="3836" xr3:uid="{3FB9D300-57E2-4248-961E-F9F36B53C808}" name="Column3805"/>
    <tableColumn id="3837" xr3:uid="{B46E3372-CBFC-4A6F-B31F-9F559E3F1C69}" name="Column3806"/>
    <tableColumn id="3838" xr3:uid="{91AD9AC5-2BD9-4748-AE3E-63AA7DCB09EA}" name="Column3807"/>
    <tableColumn id="3839" xr3:uid="{3E061A27-3F3E-473D-A0C6-B674FAA0841C}" name="Column3808"/>
    <tableColumn id="3840" xr3:uid="{15A5B40D-B510-4DAA-BD5F-3D6800967F1F}" name="Column3809"/>
    <tableColumn id="3841" xr3:uid="{F6C968F4-5463-4664-B772-C471CA547B42}" name="Column3810"/>
    <tableColumn id="3842" xr3:uid="{C495C02E-CC34-465B-91B2-26B7BEF2F357}" name="Column3811"/>
    <tableColumn id="3843" xr3:uid="{7C1E147C-0ACF-4395-8931-1BDB502E504D}" name="Column3812"/>
    <tableColumn id="3844" xr3:uid="{5220C775-E0B7-489D-9C3E-8389126F0C23}" name="Column3813"/>
    <tableColumn id="3845" xr3:uid="{8B96BC3C-00EF-4B73-87D5-7FF85F240489}" name="Column3814"/>
    <tableColumn id="3846" xr3:uid="{4ECC12B0-E296-4CB0-A16A-81824042AC7C}" name="Column3815"/>
    <tableColumn id="3847" xr3:uid="{36252E48-C4AB-40F3-8B03-30E7C4E20F30}" name="Column3816"/>
    <tableColumn id="3848" xr3:uid="{6FCE727D-C8F0-48F6-A793-2E01E6F32516}" name="Column3817"/>
    <tableColumn id="3849" xr3:uid="{9BCE9206-56C8-4300-A5EC-549AB0B08DCD}" name="Column3818"/>
    <tableColumn id="3850" xr3:uid="{1A0DC57F-5AAA-4C94-BCD0-58FD5906696D}" name="Column3819"/>
    <tableColumn id="3851" xr3:uid="{3FB8259E-A949-4917-A636-BC6012D85AB6}" name="Column3820"/>
    <tableColumn id="3852" xr3:uid="{80F04CD8-EF43-4F62-B3F4-B260A7E1EBA4}" name="Column3821"/>
    <tableColumn id="3853" xr3:uid="{5B392FE9-BF8D-4EAD-A493-775EA32A943A}" name="Column3822"/>
    <tableColumn id="3854" xr3:uid="{E7C7FA86-78F5-4C6A-877F-10D639BF5B9D}" name="Column3823"/>
    <tableColumn id="3855" xr3:uid="{A5516DF0-C039-4FBF-9976-438C7C603EE3}" name="Column3824"/>
    <tableColumn id="3856" xr3:uid="{65D25341-DCFB-424C-9DCD-C42BBC96EE7E}" name="Column3825"/>
    <tableColumn id="3857" xr3:uid="{AC35C1D5-CCCE-4053-A5BB-482AAD73F273}" name="Column3826"/>
    <tableColumn id="3858" xr3:uid="{3B1BC21A-7A86-4CD4-83CC-85E9823B216A}" name="Column3827"/>
    <tableColumn id="3859" xr3:uid="{C23DE16A-8BA5-4328-A026-F762C03098F8}" name="Column3828"/>
    <tableColumn id="3860" xr3:uid="{84791A02-C4DF-42FA-9AF3-719650F8352F}" name="Column3829"/>
    <tableColumn id="3861" xr3:uid="{5C5B6331-A7C2-46C1-9872-A5D40FF7DFB4}" name="Column3830"/>
    <tableColumn id="3862" xr3:uid="{3B79F9D2-9DE7-4EFD-94DD-2FF58D5E194F}" name="Column3831"/>
    <tableColumn id="3863" xr3:uid="{4705420F-4902-41E3-AA82-2B744B503BA8}" name="Column3832"/>
    <tableColumn id="3864" xr3:uid="{BC61A78D-10F0-475C-98CF-276D1559DC5A}" name="Column3833"/>
    <tableColumn id="3865" xr3:uid="{B2956625-B0BC-4D5A-BD77-2BDA56BB396C}" name="Column3834"/>
    <tableColumn id="3866" xr3:uid="{F47D306E-BDB3-419A-99CC-6988E17B68C9}" name="Column3835"/>
    <tableColumn id="3867" xr3:uid="{CB98A7A8-5DDA-49B4-BA44-814750A140E9}" name="Column3836"/>
    <tableColumn id="3868" xr3:uid="{44DC1AE3-A58C-4B9D-99EA-5D1ED830D83D}" name="Column3837"/>
    <tableColumn id="3869" xr3:uid="{35845E7B-BE36-40E2-8EE3-97AF69315D76}" name="Column3838"/>
    <tableColumn id="3870" xr3:uid="{F019E70C-BF91-40E7-8C24-6D655012909C}" name="Column3839"/>
    <tableColumn id="3871" xr3:uid="{39AAA47A-A89B-470B-B3C6-711FC23126C5}" name="Column3840"/>
    <tableColumn id="3872" xr3:uid="{658C71E8-3B83-4492-B5A4-98393884E305}" name="Column3841"/>
    <tableColumn id="3873" xr3:uid="{2CF1C216-222C-4721-B6BF-A1BC9AA3C726}" name="Column3842"/>
    <tableColumn id="3874" xr3:uid="{151B90B9-F08C-40E4-B240-F1F26A6A4B33}" name="Column3843"/>
    <tableColumn id="3875" xr3:uid="{3162F444-6C21-45A9-ADB3-0F5E6D8A2D27}" name="Column3844"/>
    <tableColumn id="3876" xr3:uid="{D4AE48B2-13E7-47AE-8738-D730FB531F7E}" name="Column3845"/>
    <tableColumn id="3877" xr3:uid="{407913E6-794C-424D-A186-461C64443FE8}" name="Column3846"/>
    <tableColumn id="3878" xr3:uid="{1A34B7FE-16B4-43D4-A987-F9E96A86EAF6}" name="Column3847"/>
    <tableColumn id="3879" xr3:uid="{7EC7AE83-DF31-4DA7-8CB3-20E4F327BCFB}" name="Column3848"/>
    <tableColumn id="3880" xr3:uid="{D9D5A2DD-F9FF-4DBD-B11F-785D396C6CFA}" name="Column3849"/>
    <tableColumn id="3881" xr3:uid="{A25CF001-9096-4716-A3B8-9D8BC2AC23AE}" name="Column3850"/>
    <tableColumn id="3882" xr3:uid="{3683834A-65A8-4AE8-902C-68764489D151}" name="Column3851"/>
    <tableColumn id="3883" xr3:uid="{56080CD6-9F4F-48F1-B35E-84A2FA2C7017}" name="Column3852"/>
    <tableColumn id="3884" xr3:uid="{314886A8-D294-4AC1-BC2B-690FD8C6B31E}" name="Column3853"/>
    <tableColumn id="3885" xr3:uid="{61FEACAE-9A7D-462C-9D55-601926156742}" name="Column3854"/>
    <tableColumn id="3886" xr3:uid="{8BC7E612-4FDB-4CAE-B977-0BC2A10FC1A4}" name="Column3855"/>
    <tableColumn id="3887" xr3:uid="{0D1B88C0-9CA1-4690-9A00-B02EA56CF55D}" name="Column3856"/>
    <tableColumn id="3888" xr3:uid="{0E069AAA-9DAE-455A-ACFF-A735CC2F64A5}" name="Column3857"/>
    <tableColumn id="3889" xr3:uid="{A02736FA-FC9A-400E-B7F3-FD10974AC8A6}" name="Column3858"/>
    <tableColumn id="3890" xr3:uid="{A95C1702-128C-4769-8AE0-C3EF8F77D667}" name="Column3859"/>
    <tableColumn id="3891" xr3:uid="{50B47438-47ED-46FA-A6F4-661D6AF2B8F0}" name="Column3860"/>
    <tableColumn id="3892" xr3:uid="{B8F198E5-4E82-46F1-820E-D3387449CE2B}" name="Column3861"/>
    <tableColumn id="3893" xr3:uid="{2DB2D484-6662-4A3E-B94E-D444B8450CEB}" name="Column3862"/>
    <tableColumn id="3894" xr3:uid="{D770B518-9E53-4E0C-B5A2-3F9E9C289D2C}" name="Column3863"/>
    <tableColumn id="3895" xr3:uid="{C3978CE4-66CF-4C4D-B98A-A4F4CB320C02}" name="Column3864"/>
    <tableColumn id="3896" xr3:uid="{78D370AD-277D-493F-A52E-8122544A0C0E}" name="Column3865"/>
    <tableColumn id="3897" xr3:uid="{8D50C5CC-9AF2-455C-9A72-ADBA367FA41D}" name="Column3866"/>
    <tableColumn id="3898" xr3:uid="{CFB92C6F-CBB0-4887-B7F8-80AEBD81D77F}" name="Column3867"/>
    <tableColumn id="3899" xr3:uid="{FE29316F-4C25-4BC3-88B9-3079A343860A}" name="Column3868"/>
    <tableColumn id="3900" xr3:uid="{C6988197-04C2-4AF4-B914-9E5749F14AD4}" name="Column3869"/>
    <tableColumn id="3901" xr3:uid="{6F48DF7A-79BE-4D0A-859A-1BAA3FDF0901}" name="Column3870"/>
    <tableColumn id="3902" xr3:uid="{5D0DA346-1A90-484F-8291-408A8A1A3716}" name="Column3871"/>
    <tableColumn id="3903" xr3:uid="{0CC64D7A-760B-4BB8-9A75-B485A39DB55C}" name="Column3872"/>
    <tableColumn id="3904" xr3:uid="{9001699F-2F01-4097-971C-176C883D2D55}" name="Column3873"/>
    <tableColumn id="3905" xr3:uid="{A59EC981-70DB-44BB-9595-22E78FB225F2}" name="Column3874"/>
    <tableColumn id="3906" xr3:uid="{5584B753-0737-4B39-A5B4-35C66FC1F823}" name="Column3875"/>
    <tableColumn id="3907" xr3:uid="{4575AB8F-291F-4505-9652-7C9C8DB8B5D5}" name="Column3876"/>
    <tableColumn id="3908" xr3:uid="{3DDF8980-117B-4FC7-8225-6B391A7E7522}" name="Column3877"/>
    <tableColumn id="3909" xr3:uid="{B8607B40-3C40-4F0B-9D93-AA4D458DB148}" name="Column3878"/>
    <tableColumn id="3910" xr3:uid="{A9D157D7-BA23-468A-9DBF-B34FC169DD10}" name="Column3879"/>
    <tableColumn id="3911" xr3:uid="{AD346809-A7DE-4FB8-B09F-33AF0B26BBBC}" name="Column3880"/>
    <tableColumn id="3912" xr3:uid="{3C21A540-7F48-4F9C-BAA3-2D20C5D7324B}" name="Column3881"/>
    <tableColumn id="3913" xr3:uid="{C7E56ECB-BD4D-4066-A9BC-C545C75D80AF}" name="Column3882"/>
    <tableColumn id="3914" xr3:uid="{91C4C366-927A-47A6-B9D1-F2D645C2573C}" name="Column3883"/>
    <tableColumn id="3915" xr3:uid="{9DDD31A3-4BFB-42AC-AC3B-9C44771D0420}" name="Column3884"/>
    <tableColumn id="3916" xr3:uid="{0281205D-EC73-45F8-8633-836C40C9FFBD}" name="Column3885"/>
    <tableColumn id="3917" xr3:uid="{6C720B57-B62D-4C91-A0D9-447EF2397112}" name="Column3886"/>
    <tableColumn id="3918" xr3:uid="{7831BDC2-6FF7-49F7-805B-D561EA41BAAF}" name="Column3887"/>
    <tableColumn id="3919" xr3:uid="{683609EE-DFBB-4901-8540-F28B5F07872B}" name="Column3888"/>
    <tableColumn id="3920" xr3:uid="{B0967057-20F3-44DE-8E67-586BEBF6AC44}" name="Column3889"/>
    <tableColumn id="3921" xr3:uid="{0AC986AC-8EF0-4BC0-8BB7-F65F2FB654E1}" name="Column3890"/>
    <tableColumn id="3922" xr3:uid="{BF3948AF-FFF9-4C4B-ABA8-70CF2A31F50F}" name="Column3891"/>
    <tableColumn id="3923" xr3:uid="{9FA88DA3-AA79-45CB-9CA2-BF3EC8644D0A}" name="Column3892"/>
    <tableColumn id="3924" xr3:uid="{0C323F88-3E9F-4346-A507-57B8F89ACFE2}" name="Column3893"/>
    <tableColumn id="3925" xr3:uid="{0D31C4E4-5B09-4938-93AC-B773CF45719B}" name="Column3894"/>
    <tableColumn id="3926" xr3:uid="{D0BA0A2B-3B76-4E35-A67E-C80601DF517D}" name="Column3895"/>
    <tableColumn id="3927" xr3:uid="{112E1152-487E-42B1-9A36-BD7FC2DA3803}" name="Column3896"/>
    <tableColumn id="3928" xr3:uid="{BE419EF3-708C-4724-9090-2B5AC7A3FE9A}" name="Column3897"/>
    <tableColumn id="3929" xr3:uid="{AB659B1B-BFF8-44B1-B9B1-A42E34B42768}" name="Column3898"/>
    <tableColumn id="3930" xr3:uid="{2E141B68-3186-4EF0-BE91-ED5ED32BD8E6}" name="Column3899"/>
    <tableColumn id="3931" xr3:uid="{135269FC-FE92-4B7C-95B2-B595B1AC10FF}" name="Column3900"/>
    <tableColumn id="3932" xr3:uid="{E3ED1AA9-8564-4183-9414-B7212D656225}" name="Column3901"/>
    <tableColumn id="3933" xr3:uid="{031CAB22-78CE-49C2-B40C-506610BAF288}" name="Column3902"/>
    <tableColumn id="3934" xr3:uid="{9DA7D4B2-CF97-4D4E-B302-3FAE80AAABDF}" name="Column3903"/>
    <tableColumn id="3935" xr3:uid="{E3297165-89B9-4D49-9631-7E7286030332}" name="Column3904"/>
    <tableColumn id="3936" xr3:uid="{42B6C771-5A61-4464-9196-669D6BDB13AB}" name="Column3905"/>
    <tableColumn id="3937" xr3:uid="{5C51ABC8-0F0E-41CE-B51F-5DC549A136CE}" name="Column3906"/>
    <tableColumn id="3938" xr3:uid="{B3A8740C-FD1E-4E4C-BB29-5709106CEA0F}" name="Column3907"/>
    <tableColumn id="3939" xr3:uid="{EE7F8226-C609-4862-A740-EEDAD57012D0}" name="Column3908"/>
    <tableColumn id="3940" xr3:uid="{DD33433E-A0B7-49A3-A501-F8B370B37083}" name="Column3909"/>
    <tableColumn id="3941" xr3:uid="{9EEC545B-F4FD-4A73-9035-89E75F1452DD}" name="Column3910"/>
    <tableColumn id="3942" xr3:uid="{57DAB6E2-4CCA-41BF-A633-B30E05060712}" name="Column3911"/>
    <tableColumn id="3943" xr3:uid="{81728A24-294D-4EEB-BD6A-4C3542D251CE}" name="Column3912"/>
    <tableColumn id="3944" xr3:uid="{29E796CC-4646-4848-9D99-219F6DCBD974}" name="Column3913"/>
    <tableColumn id="3945" xr3:uid="{DACEC937-7358-4483-B074-1664FB936060}" name="Column3914"/>
    <tableColumn id="3946" xr3:uid="{848CF782-E099-4905-A2AB-43BA7460649F}" name="Column3915"/>
    <tableColumn id="3947" xr3:uid="{13F20460-7429-4820-9B8C-443AB11D50E9}" name="Column3916"/>
    <tableColumn id="3948" xr3:uid="{C46B3202-81EA-4C4C-B541-CE12CA5DD459}" name="Column3917"/>
    <tableColumn id="3949" xr3:uid="{8491D3E1-464C-4460-A262-9CA7EE865BF3}" name="Column3918"/>
    <tableColumn id="3950" xr3:uid="{1308E71D-379F-46D2-A09A-D1E3D98AE8DD}" name="Column3919"/>
    <tableColumn id="3951" xr3:uid="{11392678-2598-43F8-8272-028F9F85EBED}" name="Column3920"/>
    <tableColumn id="3952" xr3:uid="{C6E6C7C1-4251-4F89-969D-2F2DC4D48590}" name="Column3921"/>
    <tableColumn id="3953" xr3:uid="{A3B5F191-53CA-4F6F-9E9D-8BD5E9390ACA}" name="Column3922"/>
    <tableColumn id="3954" xr3:uid="{24D40672-F58E-4C07-9989-DBBC4DAF88FF}" name="Column3923"/>
    <tableColumn id="3955" xr3:uid="{27929238-EE04-48DD-A3CD-F467EA3BC2B9}" name="Column3924"/>
    <tableColumn id="3956" xr3:uid="{46A31C7B-0FD7-488E-80B8-D5D926D46D4B}" name="Column3925"/>
    <tableColumn id="3957" xr3:uid="{6BECF214-E67F-43CC-96F2-8622D18E7B03}" name="Column3926"/>
    <tableColumn id="3958" xr3:uid="{C0737874-1A08-465F-9A7B-2C7DB1614D83}" name="Column3927"/>
    <tableColumn id="3959" xr3:uid="{FCF27E72-DEAD-4EC0-B160-92E03B8CED75}" name="Column3928"/>
    <tableColumn id="3960" xr3:uid="{52AE284E-78A6-4C4B-8889-A2B0957F4C60}" name="Column3929"/>
    <tableColumn id="3961" xr3:uid="{CBAB1D49-A70F-4C90-A1E9-9C9168768327}" name="Column3930"/>
    <tableColumn id="3962" xr3:uid="{73AC79F1-3AA1-45BB-902F-A6AF587D8FA8}" name="Column3931"/>
    <tableColumn id="3963" xr3:uid="{0667FFCE-00CD-4973-B1B2-43E45EFA4F55}" name="Column3932"/>
    <tableColumn id="3964" xr3:uid="{FBA2EC50-56AA-4515-AE71-FE1A7BA93EFE}" name="Column3933"/>
    <tableColumn id="3965" xr3:uid="{B42F9D42-29F2-42C4-BD10-AF2B5A4F9B8E}" name="Column3934"/>
    <tableColumn id="3966" xr3:uid="{407C710E-8E55-439E-8C6A-1B7C692E4F92}" name="Column3935"/>
    <tableColumn id="3967" xr3:uid="{7E2E2E84-DEB9-40A5-A2AE-8A6143CFFA14}" name="Column3936"/>
    <tableColumn id="3968" xr3:uid="{4B8C9556-6E4D-4E11-AAFF-943165E7DFF9}" name="Column3937"/>
    <tableColumn id="3969" xr3:uid="{B5E05513-5007-44F7-BF31-DD8D83B79E88}" name="Column3938"/>
    <tableColumn id="3970" xr3:uid="{FA6FC50A-B53B-40C5-A9E9-A52BBCDF9146}" name="Column3939"/>
    <tableColumn id="3971" xr3:uid="{E28B7D8A-7FCD-4680-AE19-52B5FC9CA504}" name="Column3940"/>
    <tableColumn id="3972" xr3:uid="{A4E5EF53-0312-492F-9DD6-C97BC4602873}" name="Column3941"/>
    <tableColumn id="3973" xr3:uid="{8E567C5F-7F33-4A48-921A-E7BCCFA8C4C2}" name="Column3942"/>
    <tableColumn id="3974" xr3:uid="{87733566-0BE0-4CFA-BE85-D6DF071C63C4}" name="Column3943"/>
    <tableColumn id="3975" xr3:uid="{1491CF2D-BC16-45DB-8EC3-7ED14D2504B0}" name="Column3944"/>
    <tableColumn id="3976" xr3:uid="{E70C714C-3520-4EB5-BF27-50098338B4A3}" name="Column3945"/>
    <tableColumn id="3977" xr3:uid="{A2A40DAF-424C-4A86-9AFD-9081724E2DB4}" name="Column3946"/>
    <tableColumn id="3978" xr3:uid="{650E1A5B-84C3-45A8-AE3C-22AFEFE51052}" name="Column3947"/>
    <tableColumn id="3979" xr3:uid="{C65478D7-CB90-41AA-81DB-1D0EAD10D0E6}" name="Column3948"/>
    <tableColumn id="3980" xr3:uid="{A9471EB5-165A-49BD-8DD7-63A91A3194EF}" name="Column3949"/>
    <tableColumn id="3981" xr3:uid="{3CE50B1A-9923-4939-9382-1A34CB67975B}" name="Column3950"/>
    <tableColumn id="3982" xr3:uid="{0CF75161-EA8F-4054-9F3F-628230AE2AFE}" name="Column3951"/>
    <tableColumn id="3983" xr3:uid="{9E17E628-BAC7-4335-8B03-600688A1A4E5}" name="Column3952"/>
    <tableColumn id="3984" xr3:uid="{812CBC68-E3A8-416C-9119-8A520ACDDF18}" name="Column3953"/>
    <tableColumn id="3985" xr3:uid="{DBB4A2F2-CA84-429A-9B3F-A2B04816AF67}" name="Column3954"/>
    <tableColumn id="3986" xr3:uid="{A6C520C7-CDA3-49A4-AA79-4665A7192FE6}" name="Column3955"/>
    <tableColumn id="3987" xr3:uid="{7B271CF3-7897-4962-A491-54072833AE28}" name="Column3956"/>
    <tableColumn id="3988" xr3:uid="{47453CE6-FED9-4EA3-B1F9-DD30EFFBD641}" name="Column3957"/>
    <tableColumn id="3989" xr3:uid="{DBEB09AA-F7F1-4691-9321-5855C0614392}" name="Column3958"/>
    <tableColumn id="3990" xr3:uid="{65F1E80A-828B-4A4A-94AF-59347C23C296}" name="Column3959"/>
    <tableColumn id="3991" xr3:uid="{7C6E7A79-162C-4FC4-B6C4-8441FB074FEF}" name="Column3960"/>
    <tableColumn id="3992" xr3:uid="{587FD855-08BE-465F-A77B-B3DDE8936545}" name="Column3961"/>
    <tableColumn id="3993" xr3:uid="{E833CEA1-0963-4CFB-8BAD-58398FCA08B1}" name="Column3962"/>
    <tableColumn id="3994" xr3:uid="{B643664B-DA06-41A4-AA67-071E3951B65B}" name="Column3963"/>
    <tableColumn id="3995" xr3:uid="{39A391AF-1EA3-4EE6-8930-BB33423EDB4C}" name="Column3964"/>
    <tableColumn id="3996" xr3:uid="{8B62E36F-1178-469C-B70B-4D150DA85B1E}" name="Column3965"/>
    <tableColumn id="3997" xr3:uid="{910295D3-AF0C-4010-A8A0-5E857243C936}" name="Column3966"/>
    <tableColumn id="3998" xr3:uid="{7D382E96-BB88-4A74-B01B-008046865C06}" name="Column3967"/>
    <tableColumn id="3999" xr3:uid="{3C060D4F-5CEA-4697-86D3-252D955FA413}" name="Column3968"/>
    <tableColumn id="4000" xr3:uid="{6A47EE48-A561-4F73-87BF-C29225F3C532}" name="Column3969"/>
    <tableColumn id="4001" xr3:uid="{5698DA70-76DC-4910-8B0F-3C298D23B227}" name="Column3970"/>
    <tableColumn id="4002" xr3:uid="{FC01614A-6964-44B2-B701-688241D776DB}" name="Column3971"/>
    <tableColumn id="4003" xr3:uid="{4DC835D5-7C5A-40AC-8A1B-4EC2ADE7A9FA}" name="Column3972"/>
    <tableColumn id="4004" xr3:uid="{A0FCC9C7-8721-4DAB-9DC5-3921F214B45F}" name="Column3973"/>
    <tableColumn id="4005" xr3:uid="{740CE8B5-F676-41C2-AA2C-3641D9F433F0}" name="Column3974"/>
    <tableColumn id="4006" xr3:uid="{B9259799-5931-4675-BEBC-095AFAD3B8C7}" name="Column3975"/>
    <tableColumn id="4007" xr3:uid="{4278151D-835A-42AF-81BD-4C1A10359883}" name="Column3976"/>
    <tableColumn id="4008" xr3:uid="{83A3CAE4-CDC1-4818-AD1D-59ABE22D53FD}" name="Column3977"/>
    <tableColumn id="4009" xr3:uid="{D0AA45F3-327D-44F3-9241-000AAF69C294}" name="Column3978"/>
    <tableColumn id="4010" xr3:uid="{B2FE66C6-1192-494C-9FFA-632FB0269104}" name="Column3979"/>
    <tableColumn id="4011" xr3:uid="{26364AB9-ECD8-486E-97F5-91601554A875}" name="Column3980"/>
    <tableColumn id="4012" xr3:uid="{C4ACC072-8F93-4BD2-9948-35461D172EEE}" name="Column3981"/>
    <tableColumn id="4013" xr3:uid="{40F78F41-E762-49A6-A080-67C8202B29FA}" name="Column3982"/>
    <tableColumn id="4014" xr3:uid="{9B241949-8C4B-4BB8-97AC-0BD060BE70AB}" name="Column3983"/>
    <tableColumn id="4015" xr3:uid="{5E43CB92-4E5E-41AA-BE6B-0761DF92A464}" name="Column3984"/>
    <tableColumn id="4016" xr3:uid="{F9346B7B-51AE-4937-8ECA-5E048183718C}" name="Column3985"/>
    <tableColumn id="4017" xr3:uid="{DEB545AC-38A6-44F3-927F-7D136001E5ED}" name="Column3986"/>
    <tableColumn id="4018" xr3:uid="{B850F439-6FBB-4A5F-B290-D52C7BFE6788}" name="Column3987"/>
    <tableColumn id="4019" xr3:uid="{2D46567A-A1A5-46B9-8A0C-AEDDE998D1AE}" name="Column3988"/>
    <tableColumn id="4020" xr3:uid="{5ECDE3A4-7A23-490D-BA06-5D0347354C3B}" name="Column3989"/>
    <tableColumn id="4021" xr3:uid="{BB7A6A35-DC1F-43D8-8151-504955D4B0E4}" name="Column3990"/>
    <tableColumn id="4022" xr3:uid="{F4537DE2-9801-4E47-BA3F-FE11AAFB2D2E}" name="Column3991"/>
    <tableColumn id="4023" xr3:uid="{F392DE8F-E358-46FE-AD1E-9D5CD3016D04}" name="Column3992"/>
    <tableColumn id="4024" xr3:uid="{63C98819-AEBC-43B9-A108-9F330B38E981}" name="Column3993"/>
    <tableColumn id="4025" xr3:uid="{47031F0F-747F-49F3-8C0D-B35F16BBAA95}" name="Column3994"/>
    <tableColumn id="4026" xr3:uid="{53ED4613-7868-44BA-81F0-B2D1C00953B9}" name="Column3995"/>
    <tableColumn id="4027" xr3:uid="{961BB303-50F9-4B72-B1AC-2F90E47DE849}" name="Column3996"/>
    <tableColumn id="4028" xr3:uid="{F4C3D549-C585-4B39-82B8-4C1427A69797}" name="Column3997"/>
    <tableColumn id="4029" xr3:uid="{B2128BEF-F096-4FA0-8880-6CB7286BC360}" name="Column3998"/>
    <tableColumn id="4030" xr3:uid="{81FCE228-CAEF-49FD-8764-BC69D59EBF60}" name="Column3999"/>
    <tableColumn id="4031" xr3:uid="{785820E2-33F8-4359-9F98-94DD2E66120F}" name="Column4000"/>
    <tableColumn id="4032" xr3:uid="{F1709F23-5AB9-46FC-81FF-1FD35BD7B6A6}" name="Column4001"/>
    <tableColumn id="4033" xr3:uid="{5BD10B64-98E2-49C6-85A8-8B3F5DE71FC2}" name="Column4002"/>
    <tableColumn id="4034" xr3:uid="{AAE2DB86-15E4-45D1-B12D-C87B8AB843F2}" name="Column4003"/>
    <tableColumn id="4035" xr3:uid="{EBC8D1E8-4105-4F74-A19E-19A520B73855}" name="Column4004"/>
    <tableColumn id="4036" xr3:uid="{90D94C63-84CC-44B3-8CA2-2D6DFDD371D6}" name="Column4005"/>
    <tableColumn id="4037" xr3:uid="{05B66BEC-8891-45E5-A751-CB1CB76A18AF}" name="Column4006"/>
    <tableColumn id="4038" xr3:uid="{FE46B2F3-85B4-4C96-974B-8580947D30C9}" name="Column4007"/>
    <tableColumn id="4039" xr3:uid="{FC79E4B9-0329-4E7C-9EEF-88602ADCB332}" name="Column4008"/>
    <tableColumn id="4040" xr3:uid="{3D7E8687-D362-46D3-BE87-655CA4545F32}" name="Column4009"/>
    <tableColumn id="4041" xr3:uid="{769762F6-575C-4488-BEEE-2E144DE0906F}" name="Column4010"/>
    <tableColumn id="4042" xr3:uid="{8FD9E13B-AE4E-488E-AA4A-FD528FF07FC4}" name="Column4011"/>
    <tableColumn id="4043" xr3:uid="{F4F636BE-57DA-480B-9690-409127B9E5A4}" name="Column4012"/>
    <tableColumn id="4044" xr3:uid="{DE4A370E-DBE2-4D52-A9E7-5C60DEBCE20D}" name="Column4013"/>
    <tableColumn id="4045" xr3:uid="{3CC699A8-6694-467D-93EE-480DBFD02604}" name="Column4014"/>
    <tableColumn id="4046" xr3:uid="{D73D3E4F-C714-4F8E-8CB0-2C3EBC504BE6}" name="Column4015"/>
    <tableColumn id="4047" xr3:uid="{C82398B9-95E5-4726-B1E1-363F51900DAF}" name="Column4016"/>
    <tableColumn id="4048" xr3:uid="{8D55419D-214A-4A2F-81EE-0A8F058FD929}" name="Column4017"/>
    <tableColumn id="4049" xr3:uid="{1EB0230B-4B45-4332-9062-9278CFB3FE09}" name="Column4018"/>
    <tableColumn id="4050" xr3:uid="{E0C87661-70A5-4810-BFB5-3B3AB1D8DA48}" name="Column4019"/>
    <tableColumn id="4051" xr3:uid="{4A0EF2B5-54CC-4865-9D34-3BD5420AC48F}" name="Column4020"/>
    <tableColumn id="4052" xr3:uid="{27D327F8-08E6-4EE1-856D-0E198CCC18A4}" name="Column4021"/>
    <tableColumn id="4053" xr3:uid="{87BCB4FC-89EA-450C-AF61-51E617922A25}" name="Column4022"/>
    <tableColumn id="4054" xr3:uid="{1C287531-2E0C-4EEC-A5C4-080D78F1605F}" name="Column4023"/>
    <tableColumn id="4055" xr3:uid="{3F3EC369-5A2F-4849-85BA-6B45FE4CF17A}" name="Column4024"/>
    <tableColumn id="4056" xr3:uid="{94B6D64B-C825-48B2-B902-446E265898EE}" name="Column4025"/>
    <tableColumn id="4057" xr3:uid="{6C5A2842-9099-407F-8EDE-7E3FFF22091C}" name="Column4026"/>
    <tableColumn id="4058" xr3:uid="{F3C9F1E7-412A-4E71-8820-E8A71A3621C9}" name="Column4027"/>
    <tableColumn id="4059" xr3:uid="{AFD18647-EACC-484A-ACAB-A9C545FC0D53}" name="Column4028"/>
    <tableColumn id="4060" xr3:uid="{7B4E5475-3253-4AD4-B690-CB63F727E63A}" name="Column4029"/>
    <tableColumn id="4061" xr3:uid="{B528C3B7-2B84-45D5-8054-A11741769557}" name="Column4030"/>
    <tableColumn id="4062" xr3:uid="{EF4545A9-EB79-4F0D-90DA-412D5FE377F3}" name="Column4031"/>
    <tableColumn id="4063" xr3:uid="{AF484162-5463-468F-B1B4-89C5B6C50CFF}" name="Column4032"/>
    <tableColumn id="4064" xr3:uid="{150EF9BE-4689-4549-8718-AB76ACEF8A29}" name="Column4033"/>
    <tableColumn id="4065" xr3:uid="{E2DAF5AA-655C-4E5D-9DB1-0D335B2A61DF}" name="Column4034"/>
    <tableColumn id="4066" xr3:uid="{3D1ADD93-46AD-4331-9474-CADBFA8CD3D8}" name="Column4035"/>
    <tableColumn id="4067" xr3:uid="{46EEC393-6EA6-4DF6-B8AC-9241E19B52F1}" name="Column4036"/>
    <tableColumn id="4068" xr3:uid="{9AB2E97C-F381-4A3E-B652-C50D6101A649}" name="Column4037"/>
    <tableColumn id="4069" xr3:uid="{D540D6FA-9EC7-4785-9BD6-1BF0496C298B}" name="Column4038"/>
    <tableColumn id="4070" xr3:uid="{EBF36064-0F2E-42F7-9C51-39BCA2A14412}" name="Column4039"/>
    <tableColumn id="4071" xr3:uid="{753EF677-6C93-45D9-9E6E-B6F11BE370C3}" name="Column4040"/>
    <tableColumn id="4072" xr3:uid="{40AD72B3-9098-4862-81B0-84E21FAEE099}" name="Column4041"/>
    <tableColumn id="4073" xr3:uid="{C10D7D47-2FBC-4953-B92E-B69AD73632AE}" name="Column4042"/>
    <tableColumn id="4074" xr3:uid="{E34C88CA-340A-4C19-89E6-33BA9769FE12}" name="Column4043"/>
    <tableColumn id="4075" xr3:uid="{8482A33A-4AD1-480C-A55D-2D93B0EF0DA5}" name="Column4044"/>
    <tableColumn id="4076" xr3:uid="{A6F634A7-5B23-4664-8E3B-317266DCA527}" name="Column4045"/>
    <tableColumn id="4077" xr3:uid="{096B6F92-8FA1-41BE-8761-369C4CD2F9CF}" name="Column4046"/>
    <tableColumn id="4078" xr3:uid="{DC8CF7D0-F5C2-4AD4-95CF-0B2BE78F1078}" name="Column4047"/>
    <tableColumn id="4079" xr3:uid="{BE049897-281A-4AA7-BB07-DC8662D567AF}" name="Column4048"/>
    <tableColumn id="4080" xr3:uid="{B1E51AAF-77E9-4D8C-9E80-B30102049984}" name="Column4049"/>
    <tableColumn id="4081" xr3:uid="{77F8A8E5-E550-4B0F-A23D-F5B0C10BF7C1}" name="Column4050"/>
    <tableColumn id="4082" xr3:uid="{D53DEA30-5062-4D4D-BAC1-AAA810078887}" name="Column4051"/>
    <tableColumn id="4083" xr3:uid="{0B6545B0-E063-44F7-842B-6AE153285B12}" name="Column4052"/>
    <tableColumn id="4084" xr3:uid="{1B1BBF60-7A3F-425F-BD6D-C5F7F1496C9B}" name="Column4053"/>
    <tableColumn id="4085" xr3:uid="{AB0120BE-60E1-47FC-AA07-4E3CB85419C0}" name="Column4054"/>
    <tableColumn id="4086" xr3:uid="{82ECD593-A71F-49B4-9213-24E77CBB9E37}" name="Column4055"/>
    <tableColumn id="4087" xr3:uid="{070D2792-1FE3-4DCF-A530-FE736F40A7B7}" name="Column4056"/>
    <tableColumn id="4088" xr3:uid="{0E9A79CB-D201-4CB7-A2FB-6E3BE7D2BD78}" name="Column4057"/>
    <tableColumn id="4089" xr3:uid="{18084D28-E2F8-4FAC-A385-1AE43041A6D3}" name="Column4058"/>
    <tableColumn id="4090" xr3:uid="{9AB6B93B-A330-4B41-B753-D9D8DFF52A03}" name="Column4059"/>
    <tableColumn id="4091" xr3:uid="{0440B398-02EE-4FED-A272-76597F69857C}" name="Column4060"/>
    <tableColumn id="4092" xr3:uid="{B7E38A60-392E-4B5E-A6B0-F6261D532475}" name="Column4061"/>
    <tableColumn id="4093" xr3:uid="{A10A054E-5C26-4045-991F-ADF4E229491D}" name="Column4062"/>
    <tableColumn id="4094" xr3:uid="{FFB1C171-2536-46D1-B3A3-87BA8F00C3FD}" name="Column4063"/>
    <tableColumn id="4095" xr3:uid="{99B7D7AB-03FB-47D8-8175-18F8C3F196D7}" name="Column4064"/>
    <tableColumn id="4096" xr3:uid="{9A8D02F5-F33F-49FD-9AE0-1081DF25593F}" name="Column4065"/>
    <tableColumn id="4097" xr3:uid="{D4F1418D-41EA-496B-870D-14E06E960E64}" name="Column4066"/>
    <tableColumn id="4098" xr3:uid="{2AE16099-A243-4383-98AB-BAADB774D875}" name="Column4067"/>
    <tableColumn id="4099" xr3:uid="{052F2D4B-AB0E-4070-AD18-18652F4BB8C7}" name="Column4068"/>
    <tableColumn id="4100" xr3:uid="{B9055EA7-88D2-4C5F-8E69-6B7B4533FA6E}" name="Column4069"/>
    <tableColumn id="4101" xr3:uid="{74395E26-EB62-40A7-A17E-68A6EDC73575}" name="Column4070"/>
    <tableColumn id="4102" xr3:uid="{9D2264FD-9EDA-4DE6-B133-03DB22F4783E}" name="Column4071"/>
    <tableColumn id="4103" xr3:uid="{23DF7F47-A837-4E46-973B-9A901EAC43EC}" name="Column4072"/>
    <tableColumn id="4104" xr3:uid="{92660A54-90AF-4672-A2BE-067F9DAEB691}" name="Column4073"/>
    <tableColumn id="4105" xr3:uid="{C1EED174-C663-46DC-88E8-81994300BFA4}" name="Column4074"/>
    <tableColumn id="4106" xr3:uid="{734892AE-5862-440F-AABD-20595CF1D535}" name="Column4075"/>
    <tableColumn id="4107" xr3:uid="{D390D04C-1DD6-4C86-87A7-EA2A372EA9C8}" name="Column4076"/>
    <tableColumn id="4108" xr3:uid="{B35BE1D9-EEDF-47C4-934C-AF05CDC6EC4E}" name="Column4077"/>
    <tableColumn id="4109" xr3:uid="{6A30B0D0-4817-498D-BD98-1DE2D0AAE80D}" name="Column4078"/>
    <tableColumn id="4110" xr3:uid="{7132CD51-5B70-4327-9B2E-F4AE49B8581A}" name="Column4079"/>
    <tableColumn id="4111" xr3:uid="{798A459B-D444-46EE-928B-3E94C91CD5B4}" name="Column4080"/>
    <tableColumn id="4112" xr3:uid="{0A743C36-B048-4B86-A210-B56AAC1A4D8C}" name="Column4081"/>
    <tableColumn id="4113" xr3:uid="{01B6BE0C-9C73-4E68-9186-A6B29B26386A}" name="Column4082"/>
    <tableColumn id="4114" xr3:uid="{E524929E-0822-4F26-A71E-4251514DC7D8}" name="Column4083"/>
    <tableColumn id="4115" xr3:uid="{C89CCF8E-B3D2-4F17-8D31-CA43A910669C}" name="Column4084"/>
    <tableColumn id="4116" xr3:uid="{0A2FFAFD-ED33-4BAB-9F90-A5F08250D753}" name="Column4085"/>
    <tableColumn id="4117" xr3:uid="{1ADABAD2-0A52-4571-B530-0A16A8A1F3DC}" name="Column4086"/>
    <tableColumn id="4118" xr3:uid="{94BE9BA4-899D-42FE-B8A0-12B71C9A9872}" name="Column4087"/>
    <tableColumn id="4119" xr3:uid="{9B5BB7EB-00FE-49B5-9A92-73DB84F98213}" name="Column4088"/>
    <tableColumn id="4120" xr3:uid="{D33CB919-8AFE-4A6D-A2B0-A583C49C869F}" name="Column4089"/>
    <tableColumn id="4121" xr3:uid="{AC10C5BF-5EA7-4181-A786-38EA491AD939}" name="Column4090"/>
    <tableColumn id="4122" xr3:uid="{C2CD0A2B-E151-425F-ACD9-85BFA49907BB}" name="Column4091"/>
    <tableColumn id="4123" xr3:uid="{42CD5C9C-D694-456F-887A-68BC0606BB7F}" name="Column4092"/>
    <tableColumn id="4124" xr3:uid="{D76035D3-A9FE-426B-BC03-0A263953251A}" name="Column4093"/>
    <tableColumn id="4125" xr3:uid="{CA2088E5-588C-4CB6-81AB-D9936B3B8670}" name="Column4094"/>
    <tableColumn id="4126" xr3:uid="{F244CC87-FD48-4CFC-AD8D-0D2636D34D20}" name="Column4095"/>
    <tableColumn id="4127" xr3:uid="{58237D1B-292A-4781-B5AC-206C0CA958AA}" name="Column4096"/>
    <tableColumn id="4128" xr3:uid="{8B848BB0-038C-4669-A974-15A072AB1DF1}" name="Column4097"/>
    <tableColumn id="4129" xr3:uid="{7981FE84-F023-4920-944E-30373DD61DBC}" name="Column4098"/>
    <tableColumn id="4130" xr3:uid="{0DD23D36-8D35-4CDF-845F-477E6EFEE89D}" name="Column4099"/>
    <tableColumn id="4131" xr3:uid="{EA8AA1CB-38C1-4B9B-8D0D-76CE661EC9A0}" name="Column4100"/>
    <tableColumn id="4132" xr3:uid="{EB405484-C825-428F-B6C1-1B56DE1F408E}" name="Column4101"/>
    <tableColumn id="4133" xr3:uid="{7F0F552B-FC64-4113-B47A-71FDB5D5192F}" name="Column4102"/>
    <tableColumn id="4134" xr3:uid="{90D6877C-D371-457F-9C4A-729A24383566}" name="Column4103"/>
    <tableColumn id="4135" xr3:uid="{C4073E57-35D3-4ABB-AE9E-A727C602A9AE}" name="Column4104"/>
    <tableColumn id="4136" xr3:uid="{C307E932-FF62-433E-8F7D-8D04A179D075}" name="Column4105"/>
    <tableColumn id="4137" xr3:uid="{95366580-44B0-475C-AFDE-DB77634D5F37}" name="Column4106"/>
    <tableColumn id="4138" xr3:uid="{E9997C80-B1A9-4897-92A1-8C09E3D11184}" name="Column4107"/>
    <tableColumn id="4139" xr3:uid="{E575B271-676C-411B-914A-BD1F9004B099}" name="Column4108"/>
    <tableColumn id="4140" xr3:uid="{5B8E6C56-4770-4EF3-8B4F-D0DA08E2819E}" name="Column4109"/>
    <tableColumn id="4141" xr3:uid="{1EC5B48F-9000-42F0-8814-D256AB6BCCB7}" name="Column4110"/>
    <tableColumn id="4142" xr3:uid="{30FE086A-C22E-46AD-9B66-5CDD37AD6D5C}" name="Column4111"/>
    <tableColumn id="4143" xr3:uid="{8BFA501F-0DC9-4B95-BB32-2424C3AFB2BE}" name="Column4112"/>
    <tableColumn id="4144" xr3:uid="{0B99CB78-D85C-4334-AEC3-A5355C5A489A}" name="Column4113"/>
    <tableColumn id="4145" xr3:uid="{8F18571B-C6AA-452C-8934-A464AB00F816}" name="Column4114"/>
    <tableColumn id="4146" xr3:uid="{F4D24B11-4237-48F0-94FD-A237D9C95EDC}" name="Column4115"/>
    <tableColumn id="4147" xr3:uid="{2081A119-3694-460C-BE16-13860B53B8EE}" name="Column4116"/>
    <tableColumn id="4148" xr3:uid="{7068F9CF-F795-46DE-9D12-B67266BCD64A}" name="Column4117"/>
    <tableColumn id="4149" xr3:uid="{B86FCF19-8FD3-401E-AAB5-2AE406843D07}" name="Column4118"/>
    <tableColumn id="4150" xr3:uid="{4D046341-6339-40F5-8B5D-A682BF5FDA43}" name="Column4119"/>
    <tableColumn id="4151" xr3:uid="{0020FDD8-9353-4F61-A5FC-DAB443C01413}" name="Column4120"/>
    <tableColumn id="4152" xr3:uid="{441D0283-3ADD-4AC1-B24C-74E6A1A08373}" name="Column4121"/>
    <tableColumn id="4153" xr3:uid="{CE00BED6-1041-4E92-BE4A-7BDD4B818E60}" name="Column4122"/>
    <tableColumn id="4154" xr3:uid="{CF4FA553-2E81-4ABD-AF07-B0D9CA001065}" name="Column4123"/>
    <tableColumn id="4155" xr3:uid="{D01EED48-2D52-4693-B9A4-E2C4EB53229D}" name="Column4124"/>
    <tableColumn id="4156" xr3:uid="{209A107D-7F3C-4F65-9A3B-BD4EFF1FC830}" name="Column4125"/>
    <tableColumn id="4157" xr3:uid="{C4E88F90-36E1-4165-B33D-B75F7B680A03}" name="Column4126"/>
    <tableColumn id="4158" xr3:uid="{E777993A-AD95-4354-B956-BF52F62299CF}" name="Column4127"/>
    <tableColumn id="4159" xr3:uid="{7750AF6C-9058-4F5C-A8DA-49A06B536289}" name="Column4128"/>
    <tableColumn id="4160" xr3:uid="{F539A76F-8C30-4BEC-8E16-54E34CC18EB0}" name="Column4129"/>
    <tableColumn id="4161" xr3:uid="{C95FC6D0-7B28-4017-A4B6-5D0FEDACBCD2}" name="Column4130"/>
    <tableColumn id="4162" xr3:uid="{9D376081-E108-4FBA-B274-7F4DB52278AD}" name="Column4131"/>
    <tableColumn id="4163" xr3:uid="{ED8B6638-B4CD-43F4-A387-7A189331FAA7}" name="Column4132"/>
    <tableColumn id="4164" xr3:uid="{5FD1FCB7-D517-4BEB-9179-47CFDF03DF00}" name="Column4133"/>
    <tableColumn id="4165" xr3:uid="{41768EAE-2E60-4724-B145-34A57E23AA45}" name="Column4134"/>
    <tableColumn id="4166" xr3:uid="{C2E038C4-19EC-448F-B29A-5114FCE889A5}" name="Column4135"/>
    <tableColumn id="4167" xr3:uid="{BC3F3FB9-6ACD-460A-A5EB-2DF47C9EF413}" name="Column4136"/>
    <tableColumn id="4168" xr3:uid="{B06BB2A4-5889-4EAB-8145-D5997E708A5F}" name="Column4137"/>
    <tableColumn id="4169" xr3:uid="{E181418E-D55D-4EEA-A562-37E744B96147}" name="Column4138"/>
    <tableColumn id="4170" xr3:uid="{15EDB565-1D04-40CB-938F-86EDB2128DF0}" name="Column4139"/>
    <tableColumn id="4171" xr3:uid="{2031E0FC-ACAC-4AEA-8921-0853BE449E56}" name="Column4140"/>
    <tableColumn id="4172" xr3:uid="{EC0CE3EC-F979-40E3-9073-B53D005CB382}" name="Column4141"/>
    <tableColumn id="4173" xr3:uid="{4DD28E40-AD22-492A-B359-366F94A0E0DD}" name="Column4142"/>
    <tableColumn id="4174" xr3:uid="{5D0F1F52-9C38-47D1-8622-EB378A38FAC1}" name="Column4143"/>
    <tableColumn id="4175" xr3:uid="{A138BABC-1128-4C14-88E6-A0B6AD94E664}" name="Column4144"/>
    <tableColumn id="4176" xr3:uid="{7F01D5B9-3BD1-437D-B536-67C47CF000F7}" name="Column4145"/>
    <tableColumn id="4177" xr3:uid="{8BDB1C3A-2863-4208-A4A9-0336647AB4DE}" name="Column4146"/>
    <tableColumn id="4178" xr3:uid="{E43EFB63-9CDC-4332-9C6B-B97D765F23F3}" name="Column4147"/>
    <tableColumn id="4179" xr3:uid="{D7DD3C93-FD89-477F-9EEE-DC53CCAFB9D3}" name="Column4148"/>
    <tableColumn id="4180" xr3:uid="{768EB45A-675A-4589-BACD-EA7A6B68073D}" name="Column4149"/>
    <tableColumn id="4181" xr3:uid="{7195278A-0163-4F70-9F4A-57E9BDE4DF59}" name="Column4150"/>
    <tableColumn id="4182" xr3:uid="{2BF31A81-FE33-4A48-8328-8AA17BE6C22D}" name="Column4151"/>
    <tableColumn id="4183" xr3:uid="{BFC53FF7-B8C1-4634-9372-3A13E5F00D08}" name="Column4152"/>
    <tableColumn id="4184" xr3:uid="{7216C584-809F-474E-8D53-23CF9D1BD120}" name="Column4153"/>
    <tableColumn id="4185" xr3:uid="{3C3C1157-C013-46B9-9EBC-03F078A7722A}" name="Column4154"/>
    <tableColumn id="4186" xr3:uid="{8BC0D69B-71D7-469F-97B9-196CC0BBAEEF}" name="Column4155"/>
    <tableColumn id="4187" xr3:uid="{7DB1EBFE-9A5A-4F3C-BDDC-658CE5B1CE54}" name="Column4156"/>
    <tableColumn id="4188" xr3:uid="{A4EB0EC1-59D8-4A73-814B-3062184E286B}" name="Column4157"/>
    <tableColumn id="4189" xr3:uid="{4BA3CC11-D63E-426A-9AB3-8113279827A0}" name="Column4158"/>
    <tableColumn id="4190" xr3:uid="{ADCDB945-8F06-44DD-BE37-C90B2508EF87}" name="Column4159"/>
    <tableColumn id="4191" xr3:uid="{ECA5FDA1-B6B6-41F2-A0D3-4A757099C9B5}" name="Column4160"/>
    <tableColumn id="4192" xr3:uid="{E4CD8076-5F1A-4EBC-8780-D0B81F2BA10F}" name="Column4161"/>
    <tableColumn id="4193" xr3:uid="{BE6983BB-EA36-48E5-8F94-AF5112CC1613}" name="Column4162"/>
    <tableColumn id="4194" xr3:uid="{CB2F16AB-C05A-4E1F-8C7E-CC0D5AE00EFF}" name="Column4163"/>
    <tableColumn id="4195" xr3:uid="{DC132EC8-AD0E-471F-AD01-5FEA3EB9161C}" name="Column4164"/>
    <tableColumn id="4196" xr3:uid="{17424E84-F30E-4921-89FE-98BF14FD1F72}" name="Column4165"/>
    <tableColumn id="4197" xr3:uid="{12B79961-FA96-4276-AFB9-42524EF7FCB8}" name="Column4166"/>
    <tableColumn id="4198" xr3:uid="{592AB6CE-6907-48BD-89D4-945F295FCF31}" name="Column4167"/>
    <tableColumn id="4199" xr3:uid="{16D504C6-CE6F-4685-8701-9AA04E1FD83E}" name="Column4168"/>
    <tableColumn id="4200" xr3:uid="{950B11EE-19C0-431D-AC4C-11613F38719A}" name="Column4169"/>
    <tableColumn id="4201" xr3:uid="{BC7F6AF1-1607-4DE8-937A-722D0F5813C3}" name="Column4170"/>
    <tableColumn id="4202" xr3:uid="{68E316AA-39CC-4A18-BB8D-0872ACEB4683}" name="Column4171"/>
    <tableColumn id="4203" xr3:uid="{96078D02-E9E4-4506-B00E-C02B2C63794E}" name="Column4172"/>
    <tableColumn id="4204" xr3:uid="{26B6D4D4-651D-405F-A22B-C70BFEF8F192}" name="Column4173"/>
    <tableColumn id="4205" xr3:uid="{DDADB073-A4D3-4AF8-88B1-6B1F930999B7}" name="Column4174"/>
    <tableColumn id="4206" xr3:uid="{CE8D8706-F17E-48C6-A689-63B7EB7AF50C}" name="Column4175"/>
    <tableColumn id="4207" xr3:uid="{9E8FAF1F-ACAF-4F21-B721-8DEF8262C12A}" name="Column4176"/>
    <tableColumn id="4208" xr3:uid="{E4206087-5CBB-40CB-B570-6BD36418E38B}" name="Column4177"/>
    <tableColumn id="4209" xr3:uid="{5685A99D-068F-4390-8923-C54DDC14113A}" name="Column4178"/>
    <tableColumn id="4210" xr3:uid="{C65C7576-E843-4643-AF19-67FE0ECE173B}" name="Column4179"/>
    <tableColumn id="4211" xr3:uid="{65D190A2-D828-4550-9D9C-77FE55B42C65}" name="Column4180"/>
    <tableColumn id="4212" xr3:uid="{B430BE7E-FE50-4453-BB1C-6593FB847ED6}" name="Column4181"/>
    <tableColumn id="4213" xr3:uid="{8B692F39-4E1D-4D4A-A9B6-2B96B51A7978}" name="Column4182"/>
    <tableColumn id="4214" xr3:uid="{F84EF5F4-E312-4B64-AFDC-50F699F80E80}" name="Column4183"/>
    <tableColumn id="4215" xr3:uid="{9D242D03-C8FF-4B1F-94A7-AD764D9A6DBE}" name="Column4184"/>
    <tableColumn id="4216" xr3:uid="{780FAB27-1D7D-4058-8FDA-50C4A8A39332}" name="Column4185"/>
    <tableColumn id="4217" xr3:uid="{03EAF9BA-1F15-4B90-8E91-564B536E5012}" name="Column4186"/>
    <tableColumn id="4218" xr3:uid="{3DE3626B-31F6-47C6-8782-11B378224585}" name="Column4187"/>
    <tableColumn id="4219" xr3:uid="{6250BF2E-9B82-490B-810D-B6A4133A2B32}" name="Column4188"/>
    <tableColumn id="4220" xr3:uid="{BA19FBF9-55B4-4C4B-9D94-1642566D0951}" name="Column4189"/>
    <tableColumn id="4221" xr3:uid="{DC008373-A9FF-4E00-B19D-0A53DB4D5A42}" name="Column4190"/>
    <tableColumn id="4222" xr3:uid="{82BB7B3E-44C0-48AD-8AFC-DB2AF4FDD26E}" name="Column4191"/>
    <tableColumn id="4223" xr3:uid="{66B1BCF0-FE4F-4932-AEA1-3218E663AB0E}" name="Column4192"/>
    <tableColumn id="4224" xr3:uid="{260B09B4-3C4A-4D82-8650-27277123E5E2}" name="Column4193"/>
    <tableColumn id="4225" xr3:uid="{2FD1A4F3-0B09-4143-AEBA-099E9C35F0AF}" name="Column4194"/>
    <tableColumn id="4226" xr3:uid="{7298A7CB-6671-4CD2-97BB-5AEEF7F410DF}" name="Column4195"/>
    <tableColumn id="4227" xr3:uid="{2836716F-6889-4719-A045-564B8C18182C}" name="Column4196"/>
    <tableColumn id="4228" xr3:uid="{72C16C75-A25F-488B-95E2-3A454B8CE851}" name="Column4197"/>
    <tableColumn id="4229" xr3:uid="{52E21B93-FF9F-40A5-8C60-DA433B9512DD}" name="Column4198"/>
    <tableColumn id="4230" xr3:uid="{596BD193-E8D9-4166-939D-B3412FA5E86B}" name="Column4199"/>
    <tableColumn id="4231" xr3:uid="{53AF383C-C576-45C3-A288-EA0CC613F677}" name="Column4200"/>
    <tableColumn id="4232" xr3:uid="{E056254C-0300-4510-A8FA-454AA6DB8D40}" name="Column4201"/>
    <tableColumn id="4233" xr3:uid="{AEA39764-87F8-437C-A3AC-ED888D85432A}" name="Column4202"/>
    <tableColumn id="4234" xr3:uid="{4A2BF67E-3E82-4DDC-9DFD-4973938E564E}" name="Column4203"/>
    <tableColumn id="4235" xr3:uid="{B2CD2F2C-C25D-4581-A94A-CB8798D7463D}" name="Column4204"/>
    <tableColumn id="4236" xr3:uid="{D72F5139-F09A-4959-96E8-04C28893E039}" name="Column4205"/>
    <tableColumn id="4237" xr3:uid="{07CD2BCC-C2D5-4C7A-855B-CECD0846283B}" name="Column4206"/>
    <tableColumn id="4238" xr3:uid="{99156EF5-662F-43A2-B16D-2B517D3A581B}" name="Column4207"/>
    <tableColumn id="4239" xr3:uid="{9AFD6ADC-07F8-4597-A986-44A1ED796228}" name="Column4208"/>
    <tableColumn id="4240" xr3:uid="{91BA877E-0C5A-4616-A2A3-19E1D4DAB9E8}" name="Column4209"/>
    <tableColumn id="4241" xr3:uid="{3A9A1D93-2645-47C1-B4B6-F74E38F983FD}" name="Column4210"/>
    <tableColumn id="4242" xr3:uid="{F627AB90-203F-4867-B47A-A52FCDDE682F}" name="Column4211"/>
    <tableColumn id="4243" xr3:uid="{4A877C04-F56E-4355-A8FB-1BC5E29E8087}" name="Column4212"/>
    <tableColumn id="4244" xr3:uid="{9A82433C-3448-4F6A-BC5D-935FDF2FB2AA}" name="Column4213"/>
    <tableColumn id="4245" xr3:uid="{D5053A4B-BCED-41BA-BB71-154C32843B12}" name="Column4214"/>
    <tableColumn id="4246" xr3:uid="{BC337D18-F7F8-4FC1-A301-881039A45A6C}" name="Column4215"/>
    <tableColumn id="4247" xr3:uid="{208DE561-1C5E-49A7-AF2A-89B054902C35}" name="Column4216"/>
    <tableColumn id="4248" xr3:uid="{4D80BA4C-A41C-44E8-B158-5064B2334D3F}" name="Column4217"/>
    <tableColumn id="4249" xr3:uid="{7A25E201-1515-40D7-AF13-B831947354F6}" name="Column4218"/>
    <tableColumn id="4250" xr3:uid="{E9C27740-8C8D-4073-BD76-0124D8DB483A}" name="Column4219"/>
    <tableColumn id="4251" xr3:uid="{CE9B1A54-F1E7-42B6-A5E0-285E5255AFA4}" name="Column4220"/>
    <tableColumn id="4252" xr3:uid="{6D85453F-8BFF-49F2-9DBB-37861002C49C}" name="Column4221"/>
    <tableColumn id="4253" xr3:uid="{96A9B48E-777E-4C8D-A0F9-0FAC94BFC62C}" name="Column4222"/>
    <tableColumn id="4254" xr3:uid="{E8711B58-E365-4ACB-B03E-24F543E3FFEF}" name="Column4223"/>
    <tableColumn id="4255" xr3:uid="{AA5F087B-EF87-43E0-87D3-73628693BFB9}" name="Column4224"/>
    <tableColumn id="4256" xr3:uid="{8398A06C-E731-42C4-BE72-F0BE01A77575}" name="Column4225"/>
    <tableColumn id="4257" xr3:uid="{C59A2ED5-102F-466E-9D8C-E8E61A643F40}" name="Column4226"/>
    <tableColumn id="4258" xr3:uid="{CEC8C6EB-6438-4149-81FC-1540FBFB383E}" name="Column4227"/>
    <tableColumn id="4259" xr3:uid="{A5A2B0E2-6AD9-42A2-BFFF-D03C239AD23D}" name="Column4228"/>
    <tableColumn id="4260" xr3:uid="{161FD932-125D-4838-815E-59CCB38FBF2E}" name="Column4229"/>
    <tableColumn id="4261" xr3:uid="{9411EF1C-0FE3-4AA8-98AF-278915E6BA12}" name="Column4230"/>
    <tableColumn id="4262" xr3:uid="{876EC2EF-B10B-431B-B1DB-6BD4B63272FA}" name="Column4231"/>
    <tableColumn id="4263" xr3:uid="{C25CC99F-19CD-44C2-9A49-89076C95F5D6}" name="Column4232"/>
    <tableColumn id="4264" xr3:uid="{FE0C0806-8399-4ECD-839C-F42545B0006E}" name="Column4233"/>
    <tableColumn id="4265" xr3:uid="{794A3017-0E8F-4046-89C9-FD4E64C15A46}" name="Column4234"/>
    <tableColumn id="4266" xr3:uid="{B8072811-980F-4670-9388-650ACB5E904B}" name="Column4235"/>
    <tableColumn id="4267" xr3:uid="{9467BB18-D5F0-46F0-8737-FB818043760F}" name="Column4236"/>
    <tableColumn id="4268" xr3:uid="{5868BD13-5BF0-46E4-B737-E33255579B05}" name="Column4237"/>
    <tableColumn id="4269" xr3:uid="{CB962351-23B7-4643-B993-F2FFDDD4C488}" name="Column4238"/>
    <tableColumn id="4270" xr3:uid="{C7F0AEA2-7F93-4222-8F63-072730A54912}" name="Column4239"/>
    <tableColumn id="4271" xr3:uid="{F2027E27-D30C-465F-8AC0-05613A78754E}" name="Column4240"/>
    <tableColumn id="4272" xr3:uid="{F0BF4489-6418-4383-9FDD-B92A0DE187BC}" name="Column4241"/>
    <tableColumn id="4273" xr3:uid="{3D0C2982-3D25-44F5-8F39-DDF05F4434F6}" name="Column4242"/>
    <tableColumn id="4274" xr3:uid="{D6A509CF-7C45-4A79-88B2-BDA55EABA1B7}" name="Column4243"/>
    <tableColumn id="4275" xr3:uid="{87A4D766-9D5A-4F90-BB97-EDB61A9B81E8}" name="Column4244"/>
    <tableColumn id="4276" xr3:uid="{639C00BF-A4F5-49F2-B04B-D730DEF19F3D}" name="Column4245"/>
    <tableColumn id="4277" xr3:uid="{DF9982D9-1E1D-4414-BFA7-0D9BC72D8EF0}" name="Column4246"/>
    <tableColumn id="4278" xr3:uid="{35FC5B3B-59F7-4D02-B66D-79744F50EC9D}" name="Column4247"/>
    <tableColumn id="4279" xr3:uid="{5488E16C-D713-48DE-80AA-DF285A59D3E6}" name="Column4248"/>
    <tableColumn id="4280" xr3:uid="{40858F06-1F29-4C21-BD53-60B921971ABD}" name="Column4249"/>
    <tableColumn id="4281" xr3:uid="{D915AAA2-CE98-46CA-912B-1988EB4540F9}" name="Column4250"/>
    <tableColumn id="4282" xr3:uid="{DB25B9E5-F0CB-419A-B12B-2AA2BA6144C3}" name="Column4251"/>
    <tableColumn id="4283" xr3:uid="{483D4180-EDA7-45AC-88A3-4A9A64A05691}" name="Column4252"/>
    <tableColumn id="4284" xr3:uid="{CAC13539-AAE7-4F0B-A3FB-6DDB1DBD5F49}" name="Column4253"/>
    <tableColumn id="4285" xr3:uid="{3740B620-C8F0-4E18-B9CB-A071BFC837B3}" name="Column4254"/>
    <tableColumn id="4286" xr3:uid="{A82E81FC-3B8A-457B-B0A3-31980E2A3418}" name="Column4255"/>
    <tableColumn id="4287" xr3:uid="{CB8BA692-0EF9-485B-A15A-9F23C2675BD2}" name="Column4256"/>
    <tableColumn id="4288" xr3:uid="{8551A0A9-C1B5-42F8-982B-5955061DAA9A}" name="Column4257"/>
    <tableColumn id="4289" xr3:uid="{98BA0DC6-E237-4539-9546-5129FEB1012F}" name="Column4258"/>
    <tableColumn id="4290" xr3:uid="{C0C046B8-C19D-4C1A-8C55-79DFA32DC93C}" name="Column4259"/>
    <tableColumn id="4291" xr3:uid="{4D0AB5DE-2C66-4F20-9763-0AA8E660D2B5}" name="Column4260"/>
    <tableColumn id="4292" xr3:uid="{0BE8E18D-EB43-4802-B318-3394EC0E5EE8}" name="Column4261"/>
    <tableColumn id="4293" xr3:uid="{453A9044-A754-40D4-BC24-C3EE697D1A17}" name="Column4262"/>
    <tableColumn id="4294" xr3:uid="{40B92773-9751-413B-BAB6-B5CA48C0F0EA}" name="Column4263"/>
    <tableColumn id="4295" xr3:uid="{9516B2C7-544A-42C3-9A2F-DCE945261A53}" name="Column4264"/>
    <tableColumn id="4296" xr3:uid="{535B02EB-A9E5-424E-BBD1-9C19043A3E25}" name="Column4265"/>
    <tableColumn id="4297" xr3:uid="{55A3AB0F-A035-4EA8-AABF-FAAA13A6B856}" name="Column4266"/>
    <tableColumn id="4298" xr3:uid="{B3CDAB8E-ADAE-4BDF-902A-B3118C3DE8D7}" name="Column4267"/>
    <tableColumn id="4299" xr3:uid="{0F044CA0-DCF2-4739-8910-8BFAAE6C0B50}" name="Column4268"/>
    <tableColumn id="4300" xr3:uid="{771722C7-4795-4D5C-9973-FC88827DB3DD}" name="Column4269"/>
    <tableColumn id="4301" xr3:uid="{8861B4A0-9E42-4F0D-AD04-404D7B2CFEF0}" name="Column4270"/>
    <tableColumn id="4302" xr3:uid="{9A615B14-0610-4298-89BE-B993968E5B1A}" name="Column4271"/>
    <tableColumn id="4303" xr3:uid="{82112F54-5F4B-45AB-8897-2A350AE6B194}" name="Column4272"/>
    <tableColumn id="4304" xr3:uid="{2A2C134F-D87E-4D0E-A760-7E77020ECD39}" name="Column4273"/>
    <tableColumn id="4305" xr3:uid="{17A1619E-EB07-42F9-A3E4-146419C0AD19}" name="Column4274"/>
    <tableColumn id="4306" xr3:uid="{3530491C-2C11-4B9F-B696-1D4C2F99C29F}" name="Column4275"/>
    <tableColumn id="4307" xr3:uid="{5B9EDB7F-7590-4EEA-ABD8-E9DDBBB5F12A}" name="Column4276"/>
    <tableColumn id="4308" xr3:uid="{D6B60144-0B24-4DB5-9DAF-66687F2FDA52}" name="Column4277"/>
    <tableColumn id="4309" xr3:uid="{3F673ECC-1B52-4327-A6FF-387682A1E75D}" name="Column4278"/>
    <tableColumn id="4310" xr3:uid="{25D48D0D-353B-4B01-B67E-21B1BC4EBBEF}" name="Column4279"/>
    <tableColumn id="4311" xr3:uid="{CD1F7DF7-0731-4C84-882E-F7DB30764CEA}" name="Column4280"/>
    <tableColumn id="4312" xr3:uid="{6BF13ABA-BD36-4AED-A914-AF0BBC57C6DB}" name="Column4281"/>
    <tableColumn id="4313" xr3:uid="{7532A77D-A8E8-4F50-AC4E-45A8366924E2}" name="Column4282"/>
    <tableColumn id="4314" xr3:uid="{C09B7921-082C-4610-BA95-9ADE3A4A27B6}" name="Column4283"/>
    <tableColumn id="4315" xr3:uid="{4092D69F-F88F-49D2-8C27-0CF53BF4D431}" name="Column4284"/>
    <tableColumn id="4316" xr3:uid="{E10FDB70-2C4C-4048-9351-E517688FCBA2}" name="Column4285"/>
    <tableColumn id="4317" xr3:uid="{CBFD893E-ABA8-4257-8A78-4C4BC68BD324}" name="Column4286"/>
    <tableColumn id="4318" xr3:uid="{1547F3C8-F9CF-4105-83FB-B3CBE453414C}" name="Column4287"/>
    <tableColumn id="4319" xr3:uid="{6C08CF21-07FB-48AB-ACE0-2FD99E1F1CF5}" name="Column4288"/>
    <tableColumn id="4320" xr3:uid="{DE92D67C-55F8-4C80-ABC8-2C7F3710AEC6}" name="Column4289"/>
    <tableColumn id="4321" xr3:uid="{B10A4A3A-46C6-4572-874E-051A1CDF02F1}" name="Column4290"/>
    <tableColumn id="4322" xr3:uid="{503BC86C-9AC1-4E00-A00C-3328EE031126}" name="Column4291"/>
    <tableColumn id="4323" xr3:uid="{0E30AB4D-7504-4D9C-A7AA-5F12B47F6463}" name="Column4292"/>
    <tableColumn id="4324" xr3:uid="{3D5DE0F0-C95F-45BF-86E4-B06C82B696A9}" name="Column4293"/>
    <tableColumn id="4325" xr3:uid="{E2749851-C7B1-46D0-BDD1-B0DDFB4BC6A2}" name="Column4294"/>
    <tableColumn id="4326" xr3:uid="{9452B4B0-1B10-4D5C-BF83-AB7CB42D7480}" name="Column4295"/>
    <tableColumn id="4327" xr3:uid="{60936510-211A-48E4-96A6-71EC8C30FF3A}" name="Column4296"/>
    <tableColumn id="4328" xr3:uid="{57959A73-8A32-43B1-A3B4-117B1D9441F8}" name="Column4297"/>
    <tableColumn id="4329" xr3:uid="{0D3F4AB0-63DF-431E-A9D9-8964C21EBD11}" name="Column4298"/>
    <tableColumn id="4330" xr3:uid="{34680EF7-1EF2-4403-8CD4-37EB065ACF0B}" name="Column4299"/>
    <tableColumn id="4331" xr3:uid="{7660E8C6-08FF-4E0F-BCE5-F1085E7FF6BA}" name="Column4300"/>
    <tableColumn id="4332" xr3:uid="{1DA0062F-CA86-48AB-BF0F-5C25F998DFAC}" name="Column4301"/>
    <tableColumn id="4333" xr3:uid="{64A87CE5-795E-4AFE-93B2-D77B84A7E28D}" name="Column4302"/>
    <tableColumn id="4334" xr3:uid="{F3DC4815-99A2-4520-AC9A-C00ED317A49F}" name="Column4303"/>
    <tableColumn id="4335" xr3:uid="{8B361014-CA85-45CF-BDEC-B4B5E8472ECC}" name="Column4304"/>
    <tableColumn id="4336" xr3:uid="{98CC8DF1-CC5F-47EC-92BE-10A39BFBAF95}" name="Column4305"/>
    <tableColumn id="4337" xr3:uid="{91965DA1-1536-447F-A701-7F7B8235B286}" name="Column4306"/>
    <tableColumn id="4338" xr3:uid="{4091EE46-0A64-4277-8C4A-F0F5F8B8727A}" name="Column4307"/>
    <tableColumn id="4339" xr3:uid="{B5011EDB-5773-4BB4-B64B-989A4112E9A7}" name="Column4308"/>
    <tableColumn id="4340" xr3:uid="{E7CE7C91-7237-4056-8048-B1B8067A594D}" name="Column4309"/>
    <tableColumn id="4341" xr3:uid="{CB5D2194-17EB-4DBF-A9AC-E1DBD48498BF}" name="Column4310"/>
    <tableColumn id="4342" xr3:uid="{6E4F37C9-E78A-4178-AA74-5017A7F33392}" name="Column4311"/>
    <tableColumn id="4343" xr3:uid="{CA00D2D9-DBF5-4A41-B615-730247EED9A3}" name="Column4312"/>
    <tableColumn id="4344" xr3:uid="{D67FF829-03F6-40FC-803A-4B00D201FC44}" name="Column4313"/>
    <tableColumn id="4345" xr3:uid="{4BCFFA31-64FC-484A-9AD1-F2403FD96F87}" name="Column4314"/>
    <tableColumn id="4346" xr3:uid="{AF3B639A-5CB2-471F-BAD4-3CBC88056255}" name="Column4315"/>
    <tableColumn id="4347" xr3:uid="{CF86E074-6BEF-4BDE-AA4A-8564B39D9630}" name="Column4316"/>
    <tableColumn id="4348" xr3:uid="{9692401D-45E1-45D5-891B-FF8054FA9532}" name="Column4317"/>
    <tableColumn id="4349" xr3:uid="{E0222392-0DB0-4FD3-943D-EEF62355A0F1}" name="Column4318"/>
    <tableColumn id="4350" xr3:uid="{9BA59D6C-5A8F-40C9-8C5C-012425F47068}" name="Column4319"/>
    <tableColumn id="4351" xr3:uid="{921D0C2B-9EBF-4B1F-B857-D069C6F5E509}" name="Column4320"/>
    <tableColumn id="4352" xr3:uid="{8E6C50AF-1FB6-42A7-ADFC-2DCE8FE6D599}" name="Column4321"/>
    <tableColumn id="4353" xr3:uid="{D7963A62-7354-47AA-82C7-7B7BD0F01742}" name="Column4322"/>
    <tableColumn id="4354" xr3:uid="{44E54644-E0CA-4C6C-B9F3-95FAA013B780}" name="Column4323"/>
    <tableColumn id="4355" xr3:uid="{71CAAE49-AE94-426C-9DA1-1B04CA3ECAC0}" name="Column4324"/>
    <tableColumn id="4356" xr3:uid="{9DFBBC35-49A0-4F6E-9672-EE3CB94D6AB4}" name="Column4325"/>
    <tableColumn id="4357" xr3:uid="{FF36A3B9-42F8-40B2-94BA-D6E25BAA8C25}" name="Column4326"/>
    <tableColumn id="4358" xr3:uid="{AF1CA164-DD7B-4B83-A4EC-18D4E98C16E7}" name="Column4327"/>
    <tableColumn id="4359" xr3:uid="{92EAB548-26D3-4ACD-92B4-87830F9C6761}" name="Column4328"/>
    <tableColumn id="4360" xr3:uid="{399694B9-F3B6-4E92-ABA0-FECAE8322D5C}" name="Column4329"/>
    <tableColumn id="4361" xr3:uid="{5B268871-6413-4F08-8A3B-994B5AB30F7D}" name="Column4330"/>
    <tableColumn id="4362" xr3:uid="{79EA121C-BDC0-4C9F-8AD5-564987CACD3F}" name="Column4331"/>
    <tableColumn id="4363" xr3:uid="{0F2D8C40-71E2-4360-BA69-A77E080F6781}" name="Column4332"/>
    <tableColumn id="4364" xr3:uid="{4E49B7E1-591C-478B-8BFA-1059D974B8F7}" name="Column4333"/>
    <tableColumn id="4365" xr3:uid="{2F23D988-263A-4EF4-94E2-29B344DFEE62}" name="Column4334"/>
    <tableColumn id="4366" xr3:uid="{F9E455C3-6892-4616-A18E-D86512CDA7F9}" name="Column4335"/>
    <tableColumn id="4367" xr3:uid="{2E840DD4-1C25-4CD7-901B-943DC258A63D}" name="Column4336"/>
    <tableColumn id="4368" xr3:uid="{E987D4BF-26A9-4A67-86AA-2A9B7FF0C7C9}" name="Column4337"/>
    <tableColumn id="4369" xr3:uid="{3F2D26E6-449E-4549-9567-7525391615CD}" name="Column4338"/>
    <tableColumn id="4370" xr3:uid="{5DC0EAF2-59CB-486C-ADF0-58A940355BE5}" name="Column4339"/>
    <tableColumn id="4371" xr3:uid="{D6A18B5D-9DC9-478D-9C7C-35985A9FB3A7}" name="Column4340"/>
    <tableColumn id="4372" xr3:uid="{4FC69594-44AA-4D46-8E53-CD8878F12167}" name="Column4341"/>
    <tableColumn id="4373" xr3:uid="{3C4ACB20-D5B9-4A8C-97D9-46171D49B351}" name="Column4342"/>
    <tableColumn id="4374" xr3:uid="{13E57AFA-1DFD-4091-BA80-A7FABF55377E}" name="Column4343"/>
    <tableColumn id="4375" xr3:uid="{A183BB2D-5E44-406B-A407-DC155920BBD9}" name="Column4344"/>
    <tableColumn id="4376" xr3:uid="{867CC18A-4D98-42A5-B0E2-B6CFB1A863C2}" name="Column4345"/>
    <tableColumn id="4377" xr3:uid="{88F84E96-9F02-4E88-A0F5-5AF74172875E}" name="Column4346"/>
    <tableColumn id="4378" xr3:uid="{92CEEEF0-DEE1-4839-A9C2-2F87E4411388}" name="Column4347"/>
    <tableColumn id="4379" xr3:uid="{1B9E1F01-4E0F-4F5F-80C0-0F1C88F61C47}" name="Column4348"/>
    <tableColumn id="4380" xr3:uid="{ED136E38-FE94-4472-9829-4612F73FE6D7}" name="Column4349"/>
    <tableColumn id="4381" xr3:uid="{2E0E2526-48AD-410A-A495-32973EB1633A}" name="Column4350"/>
    <tableColumn id="4382" xr3:uid="{52B71955-6B31-49B6-934D-D306C57A46F7}" name="Column4351"/>
    <tableColumn id="4383" xr3:uid="{150406A8-6A7F-48A6-BB79-C31259F9DED6}" name="Column4352"/>
    <tableColumn id="4384" xr3:uid="{3D40CD62-BD78-45EF-8343-CE1495A507F5}" name="Column4353"/>
    <tableColumn id="4385" xr3:uid="{D7BB8F68-05AA-48A7-B543-CFB11DD37394}" name="Column4354"/>
    <tableColumn id="4386" xr3:uid="{51763F4E-03AB-4C31-8328-27FE348F1F68}" name="Column4355"/>
    <tableColumn id="4387" xr3:uid="{171659FF-CC00-443A-A929-B4C237B313DD}" name="Column4356"/>
    <tableColumn id="4388" xr3:uid="{870C6A70-BADA-4493-9DFF-4DBBF2CD3203}" name="Column4357"/>
    <tableColumn id="4389" xr3:uid="{D272FA69-5048-4623-B4FE-6166F2C9A16F}" name="Column4358"/>
    <tableColumn id="4390" xr3:uid="{6ADA6899-FDD4-430E-8B34-9BEB8B8BCD0F}" name="Column4359"/>
    <tableColumn id="4391" xr3:uid="{CBE0CEB6-BD71-4520-956E-187DB2BF3410}" name="Column4360"/>
    <tableColumn id="4392" xr3:uid="{6C36CE13-B65D-49B8-B745-8586424AF142}" name="Column4361"/>
    <tableColumn id="4393" xr3:uid="{D90DFF72-E9CF-4EF9-B83D-A4D001A4B6AC}" name="Column4362"/>
    <tableColumn id="4394" xr3:uid="{C0D6C4B6-04AF-434B-98B1-AD2BAB9D6FB9}" name="Column4363"/>
    <tableColumn id="4395" xr3:uid="{68874F33-55F4-4178-B358-6915D55997DD}" name="Column4364"/>
    <tableColumn id="4396" xr3:uid="{DCD31010-8C9E-4EDA-B808-7ADBA4B488DF}" name="Column4365"/>
    <tableColumn id="4397" xr3:uid="{55294BD9-0387-4EC1-B8CD-3C723D307C78}" name="Column4366"/>
    <tableColumn id="4398" xr3:uid="{1C8B00B2-43A1-49CD-99F6-ABD147C09710}" name="Column4367"/>
    <tableColumn id="4399" xr3:uid="{A6B58E87-319F-4B34-B5A6-2D7502FB5ADE}" name="Column4368"/>
    <tableColumn id="4400" xr3:uid="{CF354419-8337-49F4-AB4D-51FD3EE63366}" name="Column4369"/>
    <tableColumn id="4401" xr3:uid="{A2048C9D-56E9-4983-8806-D4BF20031D08}" name="Column4370"/>
    <tableColumn id="4402" xr3:uid="{3638E0DF-9477-49AE-A49C-0A2840015C39}" name="Column4371"/>
    <tableColumn id="4403" xr3:uid="{6B676378-89F5-4B2B-BDD9-DD0445A0219F}" name="Column4372"/>
    <tableColumn id="4404" xr3:uid="{3AE519F8-0CA0-4D0E-A593-3F84DE384762}" name="Column4373"/>
    <tableColumn id="4405" xr3:uid="{E504AF13-B7BD-4878-AE36-F2389757F73A}" name="Column4374"/>
    <tableColumn id="4406" xr3:uid="{F66F1942-4AC1-4B70-B286-0066632D4F80}" name="Column4375"/>
    <tableColumn id="4407" xr3:uid="{FEAB65E5-3A4A-453B-977C-4AC07CFBCCEC}" name="Column4376"/>
    <tableColumn id="4408" xr3:uid="{BF927ED5-5CC7-43E7-BAA3-1D9D35C6C78D}" name="Column4377"/>
    <tableColumn id="4409" xr3:uid="{B624E969-083A-4BDB-A38E-0149080401ED}" name="Column4378"/>
    <tableColumn id="4410" xr3:uid="{FA572652-82A9-4BE0-867E-12F8AC2931CE}" name="Column4379"/>
    <tableColumn id="4411" xr3:uid="{5AB00F7F-8255-406C-B7C9-D4F65348251A}" name="Column4380"/>
    <tableColumn id="4412" xr3:uid="{8AF862D1-6FE8-4CC9-9098-DA8ED965B39C}" name="Column4381"/>
    <tableColumn id="4413" xr3:uid="{B2E07BB7-6C59-404E-A4A6-59E214BBF3E8}" name="Column4382"/>
    <tableColumn id="4414" xr3:uid="{B1C66C67-27DA-46F9-8342-27CB1BE23DF0}" name="Column4383"/>
    <tableColumn id="4415" xr3:uid="{176B24F0-AB1C-45FB-A9E3-8D04F3C5841E}" name="Column4384"/>
    <tableColumn id="4416" xr3:uid="{9DFB8532-1ED7-4226-875B-BB893CBB29B0}" name="Column4385"/>
    <tableColumn id="4417" xr3:uid="{24B35873-4813-468A-82D1-71AAF2737B90}" name="Column4386"/>
    <tableColumn id="4418" xr3:uid="{76D9A58E-D4F1-406E-B43A-A1B6A17155C2}" name="Column4387"/>
    <tableColumn id="4419" xr3:uid="{E199F28F-08AC-43A8-BDD7-F81545C75A2C}" name="Column4388"/>
    <tableColumn id="4420" xr3:uid="{D306FE10-9B2F-4D44-BB89-28C8D049E6C4}" name="Column4389"/>
    <tableColumn id="4421" xr3:uid="{BA1AA297-A358-4320-B256-EDF138C634B6}" name="Column4390"/>
    <tableColumn id="4422" xr3:uid="{60D8D654-3C69-4E83-93D3-A78BB8680CF4}" name="Column4391"/>
    <tableColumn id="4423" xr3:uid="{A459A09F-AEB2-4EC7-B837-21482FEC28AF}" name="Column4392"/>
    <tableColumn id="4424" xr3:uid="{E127AC3E-5457-4B91-9619-D6B837BC1D2A}" name="Column4393"/>
    <tableColumn id="4425" xr3:uid="{2647CEAE-5986-441F-9B2C-F7A0A609B66A}" name="Column4394"/>
    <tableColumn id="4426" xr3:uid="{B5D23DA0-7FFE-4E3C-AEE2-014DA13D6FAA}" name="Column4395"/>
    <tableColumn id="4427" xr3:uid="{31483C8C-BD00-4AD4-9883-D51652295CAE}" name="Column4396"/>
    <tableColumn id="4428" xr3:uid="{7A6C5DAC-812E-4637-B31D-AC422EF91A1C}" name="Column4397"/>
    <tableColumn id="4429" xr3:uid="{AFDDF343-38A3-425F-AB99-88AE9AAE09EC}" name="Column4398"/>
    <tableColumn id="4430" xr3:uid="{9703BD02-0980-4C27-B258-8190D0F5EC99}" name="Column4399"/>
    <tableColumn id="4431" xr3:uid="{EE66983A-F16A-47BF-A482-03DFD7271FD3}" name="Column4400"/>
    <tableColumn id="4432" xr3:uid="{4F42D4E6-CFFF-453F-9977-F028C3B7D616}" name="Column4401"/>
    <tableColumn id="4433" xr3:uid="{DDC9520F-0CAF-459E-A271-4E3C83BC7B58}" name="Column4402"/>
    <tableColumn id="4434" xr3:uid="{9CB8339F-99D1-4A44-A1C0-CE1568AD002C}" name="Column4403"/>
    <tableColumn id="4435" xr3:uid="{57C1415E-D7E8-40D8-8833-510F1723BA5E}" name="Column4404"/>
    <tableColumn id="4436" xr3:uid="{E28B110E-C250-4600-9691-28E40E0CABB4}" name="Column4405"/>
    <tableColumn id="4437" xr3:uid="{06623572-FF29-45DA-A09C-2E75C4899FC8}" name="Column4406"/>
    <tableColumn id="4438" xr3:uid="{D8B7FCA2-B429-434E-9935-9A222D7ADB40}" name="Column4407"/>
    <tableColumn id="4439" xr3:uid="{822C8201-1145-4130-B36B-6FB01D2450FD}" name="Column4408"/>
    <tableColumn id="4440" xr3:uid="{E67A6814-6079-4C1B-9362-054BA7B3237A}" name="Column4409"/>
    <tableColumn id="4441" xr3:uid="{2BCFDB64-EBA6-40F6-926E-C296D619C7EE}" name="Column4410"/>
    <tableColumn id="4442" xr3:uid="{1CA99A4C-7A1E-4F86-8E32-5B6EA2E042FC}" name="Column4411"/>
    <tableColumn id="4443" xr3:uid="{7FBC14B5-006D-4A10-B36B-16AE899D85D5}" name="Column4412"/>
    <tableColumn id="4444" xr3:uid="{1D33FE36-F47F-4101-AF7E-DFF7EF067F78}" name="Column4413"/>
    <tableColumn id="4445" xr3:uid="{66284271-27C0-4EC0-B7BC-5BEA02B3E647}" name="Column4414"/>
    <tableColumn id="4446" xr3:uid="{1ACBF791-D434-43AA-B1F5-D7A8AC8DBC4B}" name="Column4415"/>
    <tableColumn id="4447" xr3:uid="{427081A8-7B9E-4B3D-8B87-BDD0699DA807}" name="Column4416"/>
    <tableColumn id="4448" xr3:uid="{E67ADDD4-37EA-48E1-9526-2F6839C0EC2D}" name="Column4417"/>
    <tableColumn id="4449" xr3:uid="{09D7C15A-49BA-4B45-A68D-A017B317F81A}" name="Column4418"/>
    <tableColumn id="4450" xr3:uid="{125F92B3-9271-4CC1-93B2-20C61A89B592}" name="Column4419"/>
    <tableColumn id="4451" xr3:uid="{8456E4DC-C4AE-487D-87D5-2BCE8DDC554A}" name="Column4420"/>
    <tableColumn id="4452" xr3:uid="{9B05CCFC-4EFF-4021-8B23-499934CCABDD}" name="Column4421"/>
    <tableColumn id="4453" xr3:uid="{B8EFC98A-CE9B-48F1-92BF-5EBC1735F3C8}" name="Column4422"/>
    <tableColumn id="4454" xr3:uid="{46F2CED4-AB51-4436-9630-C705BD492D0B}" name="Column4423"/>
    <tableColumn id="4455" xr3:uid="{29A096C2-2130-4941-ADCC-CFD4207349E1}" name="Column4424"/>
    <tableColumn id="4456" xr3:uid="{7C1774DE-8E73-4F02-BCE9-28DE3707650F}" name="Column4425"/>
    <tableColumn id="4457" xr3:uid="{77CE0CC5-9124-4353-8B09-2772D9AF943B}" name="Column4426"/>
    <tableColumn id="4458" xr3:uid="{37FB649D-A237-4FFB-ACB0-E902BA20451A}" name="Column4427"/>
    <tableColumn id="4459" xr3:uid="{86ACB284-FAFD-4F7D-9688-0B576126D654}" name="Column4428"/>
    <tableColumn id="4460" xr3:uid="{6692E805-6B01-4919-ABE9-3B82C2285D65}" name="Column4429"/>
    <tableColumn id="4461" xr3:uid="{E6C6F790-E5DA-4648-B74A-7B368D2AE6CB}" name="Column4430"/>
    <tableColumn id="4462" xr3:uid="{5AAEF138-B527-4BC2-B160-75E4EAFB75D0}" name="Column4431"/>
    <tableColumn id="4463" xr3:uid="{AE23064D-512B-47FC-B216-22BBAFB2E6A9}" name="Column4432"/>
    <tableColumn id="4464" xr3:uid="{231E6669-5B77-46B0-B124-36E346EA3C90}" name="Column4433"/>
    <tableColumn id="4465" xr3:uid="{44C86677-08EF-4824-9071-80F705C21DEB}" name="Column4434"/>
    <tableColumn id="4466" xr3:uid="{39A039CF-0018-4A97-8D57-74077FA967F8}" name="Column4435"/>
    <tableColumn id="4467" xr3:uid="{25534FBB-FEE3-4416-97F8-8A0EEFE90676}" name="Column4436"/>
    <tableColumn id="4468" xr3:uid="{DFD77052-9958-4277-ABF6-2B17AF86C321}" name="Column4437"/>
    <tableColumn id="4469" xr3:uid="{431BD057-10D3-4239-8F20-81310FDBC0D1}" name="Column4438"/>
    <tableColumn id="4470" xr3:uid="{E9ABAD7C-9C43-4CE0-9216-43B1CF072E8A}" name="Column4439"/>
    <tableColumn id="4471" xr3:uid="{9CDF4F44-FD4D-476D-B32D-2458D19001EA}" name="Column4440"/>
    <tableColumn id="4472" xr3:uid="{63BA9B8C-D7ED-41B7-9ADC-C8497BF223B3}" name="Column4441"/>
    <tableColumn id="4473" xr3:uid="{453EC83B-E44F-4B95-871F-F3815B107B2C}" name="Column4442"/>
    <tableColumn id="4474" xr3:uid="{EC0E6DC5-ABFF-413F-B58D-F5952C08BE31}" name="Column4443"/>
    <tableColumn id="4475" xr3:uid="{61B610BC-3C74-46EC-B5D9-E2D8D03551E6}" name="Column4444"/>
    <tableColumn id="4476" xr3:uid="{EF1D64AF-1E29-4881-BF0F-9DE6F702177D}" name="Column4445"/>
    <tableColumn id="4477" xr3:uid="{57F6C806-949F-4B2B-898A-B1FB5ECD5AF0}" name="Column4446"/>
    <tableColumn id="4478" xr3:uid="{A923E747-DC54-4D57-BF14-88D64F4CD9B5}" name="Column4447"/>
    <tableColumn id="4479" xr3:uid="{CD051F5B-4B6C-467D-A68B-F8DC269EA186}" name="Column4448"/>
    <tableColumn id="4480" xr3:uid="{0DACA6C9-613F-4B13-ADFB-ABBFE678586F}" name="Column4449"/>
    <tableColumn id="4481" xr3:uid="{5D208E88-57BA-4277-BBF4-CA09914F14D4}" name="Column4450"/>
    <tableColumn id="4482" xr3:uid="{CE535994-75EF-4739-82DB-026E3BBCC3D5}" name="Column4451"/>
    <tableColumn id="4483" xr3:uid="{4E1D26DC-D0DD-48E5-AFA9-B6C82BE13B32}" name="Column4452"/>
    <tableColumn id="4484" xr3:uid="{D6A9972F-95F0-4997-B430-75BE155A11A3}" name="Column4453"/>
    <tableColumn id="4485" xr3:uid="{EA1FA908-CDE7-441A-A805-566C3C76C250}" name="Column4454"/>
    <tableColumn id="4486" xr3:uid="{D8D2DAA5-27CF-4A70-851A-DA7B6C44870E}" name="Column4455"/>
    <tableColumn id="4487" xr3:uid="{B26D62D9-4B25-41D1-9237-635A3E7503FA}" name="Column4456"/>
    <tableColumn id="4488" xr3:uid="{0B465956-0852-4920-90D1-FB34A56E667A}" name="Column4457"/>
    <tableColumn id="4489" xr3:uid="{C7D395C8-DD9E-48AB-8BA8-32C02F08A9AC}" name="Column4458"/>
    <tableColumn id="4490" xr3:uid="{F7AB1700-229A-421B-B843-12A6419B4435}" name="Column4459"/>
    <tableColumn id="4491" xr3:uid="{7A8FC40A-417A-458E-BCAA-BF68491716ED}" name="Column4460"/>
    <tableColumn id="4492" xr3:uid="{367C31B5-5EBD-4473-8607-FADF2802F003}" name="Column4461"/>
    <tableColumn id="4493" xr3:uid="{D1003CFA-4CED-4DEE-92E2-E8FA0643468F}" name="Column4462"/>
    <tableColumn id="4494" xr3:uid="{BDFD5487-03A7-4AE3-BB68-0A0F709CD001}" name="Column4463"/>
    <tableColumn id="4495" xr3:uid="{1631EDC8-6F13-438C-8A1E-183FB2CF016A}" name="Column4464"/>
    <tableColumn id="4496" xr3:uid="{BE4616DB-C4AF-4798-955B-A7898AE14AAC}" name="Column4465"/>
    <tableColumn id="4497" xr3:uid="{A2860154-660F-48DC-88D3-F21B7FBC8EC2}" name="Column4466"/>
    <tableColumn id="4498" xr3:uid="{B03C989F-E1D3-427A-8AA4-EC8E3C994E61}" name="Column4467"/>
    <tableColumn id="4499" xr3:uid="{DC4E3373-B212-4D2B-82B8-063BBB29A975}" name="Column4468"/>
    <tableColumn id="4500" xr3:uid="{F54B4793-CF82-4F51-AA19-EF056323D194}" name="Column4469"/>
    <tableColumn id="4501" xr3:uid="{F79DA27F-98B8-45EF-A48B-D192D9139B7E}" name="Column4470"/>
    <tableColumn id="4502" xr3:uid="{2CE0EB29-3930-44D7-B029-1F4E09D5E202}" name="Column4471"/>
    <tableColumn id="4503" xr3:uid="{E0605A51-AA52-4824-8AF9-802ECC25905F}" name="Column4472"/>
    <tableColumn id="4504" xr3:uid="{8AD6D653-E00D-42AB-B96F-67E8EFBEE1AB}" name="Column4473"/>
    <tableColumn id="4505" xr3:uid="{E0C7A824-E630-4100-B6A8-94ABF8039D3F}" name="Column4474"/>
    <tableColumn id="4506" xr3:uid="{CC682108-29A5-4FD0-AC6B-4031080E513C}" name="Column4475"/>
    <tableColumn id="4507" xr3:uid="{CFB2F8D8-C688-4D6B-8AE8-767737AA8BC0}" name="Column4476"/>
    <tableColumn id="4508" xr3:uid="{D1A7F174-5F24-4585-B08C-24E28EBCD728}" name="Column4477"/>
    <tableColumn id="4509" xr3:uid="{2AF78396-CB16-4CF9-B918-FE272225EBD2}" name="Column4478"/>
    <tableColumn id="4510" xr3:uid="{24DB8BB2-F94C-4937-98B5-7AC8EE76018F}" name="Column4479"/>
    <tableColumn id="4511" xr3:uid="{BBF37E89-2D8D-4FC6-BDF8-8B9358E1463C}" name="Column4480"/>
    <tableColumn id="4512" xr3:uid="{FB523F86-2C6F-4928-9BFC-4A17F60DBE22}" name="Column4481"/>
    <tableColumn id="4513" xr3:uid="{0CC00504-B89C-477B-9696-3FB20253C39E}" name="Column4482"/>
    <tableColumn id="4514" xr3:uid="{5B673E3A-D297-4390-A6D8-68BE5A86BBA9}" name="Column4483"/>
    <tableColumn id="4515" xr3:uid="{47444C0B-D939-4F23-81CE-0615EDEF7C95}" name="Column4484"/>
    <tableColumn id="4516" xr3:uid="{52087934-18FF-4878-9C2A-97CA59D55C96}" name="Column4485"/>
    <tableColumn id="4517" xr3:uid="{BD95E480-A520-4EAD-99FC-F6BE330FA4E7}" name="Column4486"/>
    <tableColumn id="4518" xr3:uid="{BCD273A6-D48E-47CD-B451-A341EDB8FDAF}" name="Column4487"/>
    <tableColumn id="4519" xr3:uid="{7A67166C-92B9-45ED-8AF6-C050F98A1FC7}" name="Column4488"/>
    <tableColumn id="4520" xr3:uid="{DA257407-F4BB-46A4-809B-8923DD1BDFC4}" name="Column4489"/>
    <tableColumn id="4521" xr3:uid="{B30CB786-6D20-43F1-AE17-8D91C7423802}" name="Column4490"/>
    <tableColumn id="4522" xr3:uid="{94E48F26-E144-4B4D-BD32-0DA5D66FE9B2}" name="Column4491"/>
    <tableColumn id="4523" xr3:uid="{B11EAB8F-7988-4FD0-93E0-707586458879}" name="Column4492"/>
    <tableColumn id="4524" xr3:uid="{CED994BD-68D8-43A4-A135-1F2A05778107}" name="Column4493"/>
    <tableColumn id="4525" xr3:uid="{4D64FB89-B0B6-4092-AAC1-73F1912A1F5C}" name="Column4494"/>
    <tableColumn id="4526" xr3:uid="{7B867F84-12D8-4304-8FB8-EE3E235FF874}" name="Column4495"/>
    <tableColumn id="4527" xr3:uid="{A0BFAC80-BEA4-4ACC-8E13-9D22B28304AD}" name="Column4496"/>
    <tableColumn id="4528" xr3:uid="{A068C09D-2D46-4E7E-8382-9DC4E373C540}" name="Column4497"/>
    <tableColumn id="4529" xr3:uid="{D2E346DE-6C47-4AB5-AEC9-6BC6551CAB3E}" name="Column4498"/>
    <tableColumn id="4530" xr3:uid="{534EE9F4-624B-4753-80B0-CCC381EB0179}" name="Column4499"/>
    <tableColumn id="4531" xr3:uid="{747A91E6-17D7-46C7-BCE9-A9BBF072D397}" name="Column4500"/>
    <tableColumn id="4532" xr3:uid="{0CBC79B9-9DF1-414B-8A0C-8C0FEE150B9A}" name="Column4501"/>
    <tableColumn id="4533" xr3:uid="{A543B9B3-DB21-4230-ABF2-127759B9733B}" name="Column4502"/>
    <tableColumn id="4534" xr3:uid="{96747DE8-BAA7-4FDB-9742-28D7C375EB39}" name="Column4503"/>
    <tableColumn id="4535" xr3:uid="{5B391F5D-8B8B-428F-B180-582E58E9CD8E}" name="Column4504"/>
    <tableColumn id="4536" xr3:uid="{354C1057-8461-4878-A0D2-B3CAA3D951C9}" name="Column4505"/>
    <tableColumn id="4537" xr3:uid="{2221A322-E7CD-49B2-8B0C-B735EB87F549}" name="Column4506"/>
    <tableColumn id="4538" xr3:uid="{609FAF7E-0A33-406B-AC2A-4811FFC00D14}" name="Column4507"/>
    <tableColumn id="4539" xr3:uid="{390BF86A-D33B-4FBD-9EBD-E7215F7F8D6C}" name="Column4508"/>
    <tableColumn id="4540" xr3:uid="{15B60F14-F002-4E23-985E-A3D3B388CE72}" name="Column4509"/>
    <tableColumn id="4541" xr3:uid="{F5E2B931-1B88-40EE-BDA8-3302D9105A35}" name="Column4510"/>
    <tableColumn id="4542" xr3:uid="{B9D6745A-063D-4955-AB4B-21881E5EF981}" name="Column4511"/>
    <tableColumn id="4543" xr3:uid="{8518A7CA-0E59-4526-88C9-C52C05758671}" name="Column4512"/>
    <tableColumn id="4544" xr3:uid="{A086CD54-BC6F-49E0-8BD4-04F958ED88B6}" name="Column4513"/>
    <tableColumn id="4545" xr3:uid="{815A67DB-8D00-43F4-A25E-AA429829E684}" name="Column4514"/>
    <tableColumn id="4546" xr3:uid="{F0ACE700-9A72-4DD5-872B-79476EC3EC04}" name="Column4515"/>
    <tableColumn id="4547" xr3:uid="{F563D20D-133F-4976-AF2A-8B7B48B53C3C}" name="Column4516"/>
    <tableColumn id="4548" xr3:uid="{0EE796BC-18ED-4689-ADE3-E306D71ED9FC}" name="Column4517"/>
    <tableColumn id="4549" xr3:uid="{296DB6AC-2D2F-4901-BDD7-FC21C663136A}" name="Column4518"/>
    <tableColumn id="4550" xr3:uid="{1B4ADB07-96B5-42D0-91AB-BA2D0E57E36F}" name="Column4519"/>
    <tableColumn id="4551" xr3:uid="{18E4F73D-B9F6-4694-8F9D-450E4CA50FD9}" name="Column4520"/>
    <tableColumn id="4552" xr3:uid="{8C1AA06A-12AD-4F1D-B3BD-D70D7F8D7D44}" name="Column4521"/>
    <tableColumn id="4553" xr3:uid="{79320619-5E6B-4003-ABBF-FC1B530B4439}" name="Column4522"/>
    <tableColumn id="4554" xr3:uid="{A8EAA28F-B3A6-4273-AE2E-8599CC683194}" name="Column4523"/>
    <tableColumn id="4555" xr3:uid="{DBD4A77D-071D-468F-B6F7-0E7ADC191D1B}" name="Column4524"/>
    <tableColumn id="4556" xr3:uid="{188C91A3-6D00-4B8C-8953-D551F6E75F5B}" name="Column4525"/>
    <tableColumn id="4557" xr3:uid="{22E0D752-39DF-4D76-83D3-F0F63670350B}" name="Column4526"/>
    <tableColumn id="4558" xr3:uid="{4FE10EA4-6F5A-4C8D-AA39-6C71984F6C81}" name="Column4527"/>
    <tableColumn id="4559" xr3:uid="{FAFEA006-50FF-4DF3-BDA2-F600CF910620}" name="Column4528"/>
    <tableColumn id="4560" xr3:uid="{FD60DE2A-1030-4467-B87F-B64EBDABB483}" name="Column4529"/>
    <tableColumn id="4561" xr3:uid="{CEB71140-07F1-479B-AF7F-58C631A60CBF}" name="Column4530"/>
    <tableColumn id="4562" xr3:uid="{238D6B1B-D2B1-453E-9A2A-A4F83BAF5D54}" name="Column4531"/>
    <tableColumn id="4563" xr3:uid="{5513035C-B3C1-45ED-8273-962180E47832}" name="Column4532"/>
    <tableColumn id="4564" xr3:uid="{A46AB6D1-7A6A-4AC7-8813-BEA516974926}" name="Column4533"/>
    <tableColumn id="4565" xr3:uid="{984E75AC-41BC-4B52-B6ED-150913E2F646}" name="Column4534"/>
    <tableColumn id="4566" xr3:uid="{3EA08AE2-353D-41ED-97E6-3B57F8E378E8}" name="Column4535"/>
    <tableColumn id="4567" xr3:uid="{72595B97-2B2B-4E72-A1F1-F26935B060E6}" name="Column4536"/>
    <tableColumn id="4568" xr3:uid="{F38A4859-D25B-4E0E-B41F-A93D80F9592C}" name="Column4537"/>
    <tableColumn id="4569" xr3:uid="{5D8ECBD3-1E95-4B67-8498-EBA79D1D93BC}" name="Column4538"/>
    <tableColumn id="4570" xr3:uid="{8337A3FF-64E2-4AD2-A479-3BB3629A7F4F}" name="Column4539"/>
    <tableColumn id="4571" xr3:uid="{88117ACF-3FF4-46D4-A019-4F7126060951}" name="Column4540"/>
    <tableColumn id="4572" xr3:uid="{9FDB2029-E9D1-4F8A-8DE3-7DF7CAEF6318}" name="Column4541"/>
    <tableColumn id="4573" xr3:uid="{DB376867-F553-484D-8875-0071087C7173}" name="Column4542"/>
    <tableColumn id="4574" xr3:uid="{77E0BF95-E58F-4021-99CC-C03ECDEDB542}" name="Column4543"/>
    <tableColumn id="4575" xr3:uid="{D73D0D95-FB15-4B5C-A654-05BFD127ED2B}" name="Column4544"/>
    <tableColumn id="4576" xr3:uid="{D718DBC9-3DB0-4E97-A3A8-2A0E16AD28EE}" name="Column4545"/>
    <tableColumn id="4577" xr3:uid="{A98126E6-B374-484E-9FE3-87E5AECEB329}" name="Column4546"/>
    <tableColumn id="4578" xr3:uid="{1BC3C76F-4E02-4B0D-98FD-444FD93015C2}" name="Column4547"/>
    <tableColumn id="4579" xr3:uid="{FD2F79F2-1402-472C-9C6B-03911D8AF455}" name="Column4548"/>
    <tableColumn id="4580" xr3:uid="{C058EDE9-D25B-4DD9-8E5B-E8F00D5FD3B8}" name="Column4549"/>
    <tableColumn id="4581" xr3:uid="{03825838-125F-446D-B020-45C273790DE9}" name="Column4550"/>
    <tableColumn id="4582" xr3:uid="{CE8BE5CB-A682-4C15-8013-84BA0222ED28}" name="Column4551"/>
    <tableColumn id="4583" xr3:uid="{919BE203-F439-4BA8-A58F-7F84DB30E0D0}" name="Column4552"/>
    <tableColumn id="4584" xr3:uid="{304AED1E-C8CB-40F0-A600-2C33179E1589}" name="Column4553"/>
    <tableColumn id="4585" xr3:uid="{FC8F0B61-51DE-4CE4-B35A-A5CA7941D132}" name="Column4554"/>
    <tableColumn id="4586" xr3:uid="{EFACB2ED-F4A0-4509-B784-10B0429272C1}" name="Column4555"/>
    <tableColumn id="4587" xr3:uid="{D4228AAB-FFBC-4785-B0F5-6CC0C3293704}" name="Column4556"/>
    <tableColumn id="4588" xr3:uid="{D87CBEB2-2AEE-4303-95AA-0D9EACAEBAC9}" name="Column4557"/>
    <tableColumn id="4589" xr3:uid="{88E862BE-A1B8-4A3D-845E-C6D32DA37385}" name="Column4558"/>
    <tableColumn id="4590" xr3:uid="{2A82F595-2288-4060-B3A1-924231E13470}" name="Column4559"/>
    <tableColumn id="4591" xr3:uid="{B473C04B-7EB9-4F52-9EC4-104A7AC11942}" name="Column4560"/>
    <tableColumn id="4592" xr3:uid="{F80186B6-B41E-4283-8AA2-86EBF36AC0EA}" name="Column4561"/>
    <tableColumn id="4593" xr3:uid="{3524F4B3-CC0E-48DE-AFE2-475FDF275BB7}" name="Column4562"/>
    <tableColumn id="4594" xr3:uid="{47F89784-E4FC-4723-B308-7401140281F3}" name="Column4563"/>
    <tableColumn id="4595" xr3:uid="{29CACB1A-D3A9-40C1-864D-5778607F5F92}" name="Column4564"/>
    <tableColumn id="4596" xr3:uid="{FA39F3ED-3E65-49DC-A3A1-760FBB2760C3}" name="Column4565"/>
    <tableColumn id="4597" xr3:uid="{808BFE5B-2262-4548-92E6-060A027D9B07}" name="Column4566"/>
    <tableColumn id="4598" xr3:uid="{8C284FB2-1AB4-4109-B620-F7FBAD4C217F}" name="Column4567"/>
    <tableColumn id="4599" xr3:uid="{0459EFEE-3BEB-48F1-8E4E-9F69839F8A15}" name="Column4568"/>
    <tableColumn id="4600" xr3:uid="{FC1E8639-A1D4-4268-B6CC-A98F6CD655F0}" name="Column4569"/>
    <tableColumn id="4601" xr3:uid="{E1276CCC-02DC-4E47-878D-481C4545660A}" name="Column4570"/>
    <tableColumn id="4602" xr3:uid="{11363063-E7E1-4830-8295-94D3AFEC3F21}" name="Column4571"/>
    <tableColumn id="4603" xr3:uid="{9F44A7AA-3863-458D-B5BF-CE5EBDC334DE}" name="Column4572"/>
    <tableColumn id="4604" xr3:uid="{E11F635F-6D6F-4DB5-A453-66FAA0ABE6BB}" name="Column4573"/>
    <tableColumn id="4605" xr3:uid="{56780512-22CE-4262-99DD-12C993E084BA}" name="Column4574"/>
    <tableColumn id="4606" xr3:uid="{64DB9C14-EAE5-440F-A975-E583C48F3E7F}" name="Column4575"/>
    <tableColumn id="4607" xr3:uid="{E04296E9-DA49-498A-A2F2-36031720276B}" name="Column4576"/>
    <tableColumn id="4608" xr3:uid="{BFCA1E5C-3091-4F74-91DE-FBB3D699228B}" name="Column4577"/>
    <tableColumn id="4609" xr3:uid="{59820E65-303A-40FB-BBC9-E9E8D467F392}" name="Column4578"/>
    <tableColumn id="4610" xr3:uid="{4EDF8ECE-78AF-4263-8258-2A40C1709939}" name="Column4579"/>
    <tableColumn id="4611" xr3:uid="{2DF7CF6C-B5C8-45A9-B5FF-BCE60693A450}" name="Column4580"/>
    <tableColumn id="4612" xr3:uid="{DFA881BD-8D82-4230-9254-F4C5C0852576}" name="Column4581"/>
    <tableColumn id="4613" xr3:uid="{E7C4D4AD-A33E-46FB-B67B-E4975A519276}" name="Column4582"/>
    <tableColumn id="4614" xr3:uid="{5E4235EC-3835-4A5F-A246-72C81C1D1485}" name="Column4583"/>
    <tableColumn id="4615" xr3:uid="{AF2BD8CC-CB5E-41A2-9F71-4671BD98E53E}" name="Column4584"/>
    <tableColumn id="4616" xr3:uid="{32FAD261-8B2D-4BAF-BA73-2BF8455A258D}" name="Column4585"/>
    <tableColumn id="4617" xr3:uid="{F18DE274-FC57-422C-AA8A-17A8A23ED676}" name="Column4586"/>
    <tableColumn id="4618" xr3:uid="{CABD9071-4684-4CBA-B528-12BD5E4D5DDA}" name="Column4587"/>
    <tableColumn id="4619" xr3:uid="{226EC481-DA9C-49DC-B5D0-F197A7AD529D}" name="Column4588"/>
    <tableColumn id="4620" xr3:uid="{A52245C9-0FBD-438C-ABA1-D5133740A946}" name="Column4589"/>
    <tableColumn id="4621" xr3:uid="{7249C3FA-0E77-42EC-9ED0-346BF1240C3E}" name="Column4590"/>
    <tableColumn id="4622" xr3:uid="{9907B20C-F9C7-4A89-8A53-1B90737378D4}" name="Column4591"/>
    <tableColumn id="4623" xr3:uid="{27245B2F-C50A-4DAA-AC09-D6876AFE0CCF}" name="Column4592"/>
    <tableColumn id="4624" xr3:uid="{5EFC0E9F-E1B7-4FBB-8109-F6400655859A}" name="Column4593"/>
    <tableColumn id="4625" xr3:uid="{623ED648-E82D-4A80-A9B2-C39F327D81C0}" name="Column4594"/>
    <tableColumn id="4626" xr3:uid="{9CB4218C-3DC0-4E97-86D5-2179134979F2}" name="Column4595"/>
    <tableColumn id="4627" xr3:uid="{C7034E11-2563-45CD-8E63-ACB04B0560D8}" name="Column4596"/>
    <tableColumn id="4628" xr3:uid="{6CC77F86-848B-4B44-AB11-4359F0E5042C}" name="Column4597"/>
    <tableColumn id="4629" xr3:uid="{6669E4B2-C532-4FDC-A781-DC4D589B39A5}" name="Column4598"/>
    <tableColumn id="4630" xr3:uid="{13A2F265-697E-4064-9FD9-F0EA2AC76380}" name="Column4599"/>
    <tableColumn id="4631" xr3:uid="{E557ED38-37CB-4877-8DA4-AD3E6A04AF87}" name="Column4600"/>
    <tableColumn id="4632" xr3:uid="{80EFBF5C-A22D-4E22-8A50-2E3F458D74C8}" name="Column4601"/>
    <tableColumn id="4633" xr3:uid="{9E7F715B-2339-4994-A34B-27362B8D6C23}" name="Column4602"/>
    <tableColumn id="4634" xr3:uid="{0EC67C0F-21B2-4CDE-8030-C521267752D7}" name="Column4603"/>
    <tableColumn id="4635" xr3:uid="{A2264D81-C5A6-4AE3-942D-161F8462A5B5}" name="Column4604"/>
    <tableColumn id="4636" xr3:uid="{5AD358A2-B50A-4B00-AE79-6771291F68B9}" name="Column4605"/>
    <tableColumn id="4637" xr3:uid="{5DB70C96-5ED0-44A2-9918-AF0F7448E50B}" name="Column4606"/>
    <tableColumn id="4638" xr3:uid="{B37FA151-10CC-45B9-B44E-08420986A245}" name="Column4607"/>
    <tableColumn id="4639" xr3:uid="{1452F24E-5921-4EC5-8F66-E50F1DF848C3}" name="Column4608"/>
    <tableColumn id="4640" xr3:uid="{157F8270-7BE8-4A78-8D05-658FF2800C88}" name="Column4609"/>
    <tableColumn id="4641" xr3:uid="{D5C474A6-4CDE-403D-9A9F-291644AC34E3}" name="Column4610"/>
    <tableColumn id="4642" xr3:uid="{FA37CFCC-0E1A-4AF8-BED0-F8D92893E202}" name="Column4611"/>
    <tableColumn id="4643" xr3:uid="{AC6F9F97-D225-4AB4-B0A2-D34C287FB257}" name="Column4612"/>
    <tableColumn id="4644" xr3:uid="{86ADC5FC-FD5F-4F5A-AA6C-A2ECE66A27B6}" name="Column4613"/>
    <tableColumn id="4645" xr3:uid="{DCB0C0D6-9CD8-40E3-BD68-42159CB576EB}" name="Column4614"/>
    <tableColumn id="4646" xr3:uid="{BE3BC58F-237B-40DA-992B-1AFD8729826F}" name="Column4615"/>
    <tableColumn id="4647" xr3:uid="{CA4A8452-4323-4043-80AE-99452CDED1A1}" name="Column4616"/>
    <tableColumn id="4648" xr3:uid="{73E5B2E9-D256-4853-8263-15B4889B65AD}" name="Column4617"/>
    <tableColumn id="4649" xr3:uid="{53B76660-8DEC-4C72-962C-2228A61B39FC}" name="Column4618"/>
    <tableColumn id="4650" xr3:uid="{FF9D45D9-3CA0-4153-82CB-A1B90C85C2D0}" name="Column4619"/>
    <tableColumn id="4651" xr3:uid="{D9341EA0-CFF2-42D4-A395-E1F3C7E70B1B}" name="Column4620"/>
    <tableColumn id="4652" xr3:uid="{9659C708-3E64-4C26-ADA7-153692FB2E7E}" name="Column4621"/>
    <tableColumn id="4653" xr3:uid="{6F174CDC-462B-4304-AD9A-E10865349B02}" name="Column4622"/>
    <tableColumn id="4654" xr3:uid="{94F10D17-FF35-4003-8BC3-9497CB0FF277}" name="Column4623"/>
    <tableColumn id="4655" xr3:uid="{62D6EAC0-E501-4F85-A1B5-A7B1ED134AE6}" name="Column4624"/>
    <tableColumn id="4656" xr3:uid="{EC0C9925-A3DC-461D-8ECA-3B1543502D9B}" name="Column4625"/>
    <tableColumn id="4657" xr3:uid="{CA337AF3-D287-4362-A427-70952FAD3C9A}" name="Column4626"/>
    <tableColumn id="4658" xr3:uid="{861731F4-1DD1-4E22-A486-80FB11436453}" name="Column4627"/>
    <tableColumn id="4659" xr3:uid="{EFBDBA4E-2FD5-4AB7-9818-EDF6B7AC2402}" name="Column4628"/>
    <tableColumn id="4660" xr3:uid="{0C4F3B50-7517-4242-BDC0-121A59CD4C89}" name="Column4629"/>
    <tableColumn id="4661" xr3:uid="{6BB61AA0-0D57-40A4-8A04-F841786DBD28}" name="Column4630"/>
    <tableColumn id="4662" xr3:uid="{B013F254-29C0-4811-A04C-226949FE1DCF}" name="Column4631"/>
    <tableColumn id="4663" xr3:uid="{D70BAE2F-5B9E-48A2-BD4D-BF568AF8BDF7}" name="Column4632"/>
    <tableColumn id="4664" xr3:uid="{5EB77535-E456-4D3A-9C76-AFF92012DCC9}" name="Column4633"/>
    <tableColumn id="4665" xr3:uid="{338425FE-723A-4900-BA43-EEED392976E8}" name="Column4634"/>
    <tableColumn id="4666" xr3:uid="{3C0DF788-6B0F-4068-8D91-9FB9F6F781BA}" name="Column4635"/>
    <tableColumn id="4667" xr3:uid="{1C0B9201-E833-445D-AB7D-A839652C6F6B}" name="Column4636"/>
    <tableColumn id="4668" xr3:uid="{22F910EE-C366-4338-A1D0-4D8AD6FBD9E4}" name="Column4637"/>
    <tableColumn id="4669" xr3:uid="{4D79EDC0-B27F-4FF1-8BB8-B7EAFAF14767}" name="Column4638"/>
    <tableColumn id="4670" xr3:uid="{7590932D-D1DC-49CB-A1F3-5AFD8B1862EF}" name="Column4639"/>
    <tableColumn id="4671" xr3:uid="{3010CCC5-4992-4C31-891C-0A9340114355}" name="Column4640"/>
    <tableColumn id="4672" xr3:uid="{D372F7AB-151A-467D-B64F-8BE4B7BE93F0}" name="Column4641"/>
    <tableColumn id="4673" xr3:uid="{37FA31D1-F447-4DDE-819A-E638FAFB0C85}" name="Column4642"/>
    <tableColumn id="4674" xr3:uid="{4102CDCE-57A6-47FF-A507-6CE1E12F85C8}" name="Column4643"/>
    <tableColumn id="4675" xr3:uid="{FFA2C1B6-142D-469E-AA3D-F7FD68DDA73E}" name="Column4644"/>
    <tableColumn id="4676" xr3:uid="{BD0C55AC-0B30-4BAF-99C9-879F07548307}" name="Column4645"/>
    <tableColumn id="4677" xr3:uid="{58A00CA7-FB4D-410C-B2BA-DD9A325488A5}" name="Column4646"/>
    <tableColumn id="4678" xr3:uid="{7E27473E-BBC4-43BE-AE65-ADE3D1CE7EDB}" name="Column4647"/>
    <tableColumn id="4679" xr3:uid="{98247ED2-CCB9-4786-85CC-7B934B52B523}" name="Column4648"/>
    <tableColumn id="4680" xr3:uid="{CC738193-C68E-48E9-B9BB-322E998B9C85}" name="Column4649"/>
    <tableColumn id="4681" xr3:uid="{B1A0C302-8385-4EED-8A29-E8607A3648ED}" name="Column4650"/>
    <tableColumn id="4682" xr3:uid="{F77CDD3A-E519-43C4-89D4-E1822D08675E}" name="Column4651"/>
    <tableColumn id="4683" xr3:uid="{5DB890B5-9D1E-4135-971F-A8475E10DFC0}" name="Column4652"/>
    <tableColumn id="4684" xr3:uid="{1577C73F-3F50-4FEA-82DE-84363D9F21C2}" name="Column4653"/>
    <tableColumn id="4685" xr3:uid="{F9E3EC35-2366-424D-A176-34E2747BA7D1}" name="Column4654"/>
    <tableColumn id="4686" xr3:uid="{02F84B5A-74FD-4DB3-9E60-781C571FE2A7}" name="Column4655"/>
    <tableColumn id="4687" xr3:uid="{E8480867-6905-49D4-BBE4-92AC3074F7A8}" name="Column4656"/>
    <tableColumn id="4688" xr3:uid="{3F7B0EF7-5464-4BDC-B431-F820CBF3AD9D}" name="Column4657"/>
    <tableColumn id="4689" xr3:uid="{9C3E730F-2E8A-411E-B828-87F64857A510}" name="Column4658"/>
    <tableColumn id="4690" xr3:uid="{A1C8D187-0622-4382-945E-07B3C27B65A5}" name="Column4659"/>
    <tableColumn id="4691" xr3:uid="{0B7023F1-7C45-434A-9CF6-6B9FD5AB9F19}" name="Column4660"/>
    <tableColumn id="4692" xr3:uid="{162EAC75-2D9B-476F-A302-A2A91AA1209D}" name="Column4661"/>
    <tableColumn id="4693" xr3:uid="{ABC78979-5981-47C8-8446-7640F7A0FAE8}" name="Column4662"/>
    <tableColumn id="4694" xr3:uid="{E8188B2C-CFE6-44CC-B659-8FDE52AB4C91}" name="Column4663"/>
    <tableColumn id="4695" xr3:uid="{93415455-F006-46F4-97B1-CDB4BA4778DB}" name="Column4664"/>
    <tableColumn id="4696" xr3:uid="{DBBDAFD2-60EC-49D6-8C32-58324C29F358}" name="Column4665"/>
    <tableColumn id="4697" xr3:uid="{1A68DB2B-AB29-4867-9A29-745765259380}" name="Column4666"/>
    <tableColumn id="4698" xr3:uid="{C65E4203-E631-400B-BEED-E41F08E25094}" name="Column4667"/>
    <tableColumn id="4699" xr3:uid="{4295293D-CEB3-4924-9F29-AF545DB06CF4}" name="Column4668"/>
    <tableColumn id="4700" xr3:uid="{E0D58D34-5B0D-471B-A05B-BA066C372321}" name="Column4669"/>
    <tableColumn id="4701" xr3:uid="{D7B2F27A-E8F7-4CA7-A71B-EF66582DEDE4}" name="Column4670"/>
    <tableColumn id="4702" xr3:uid="{5F4CAB87-94BD-44D7-94B3-627E6F75F240}" name="Column4671"/>
    <tableColumn id="4703" xr3:uid="{2AE9A0AA-A936-43A0-A9F0-29FD862AE486}" name="Column4672"/>
    <tableColumn id="4704" xr3:uid="{8B5F3F46-5B1A-4657-B6B8-35CF050C6A4D}" name="Column4673"/>
    <tableColumn id="4705" xr3:uid="{19FB5090-2653-42E4-9CA9-60F7FE3123E1}" name="Column4674"/>
    <tableColumn id="4706" xr3:uid="{60FC9933-A0B8-46A1-A25F-9C322193740F}" name="Column4675"/>
    <tableColumn id="4707" xr3:uid="{D8545AAB-DC9A-4C6B-BA1E-1E4B2F06A608}" name="Column4676"/>
    <tableColumn id="4708" xr3:uid="{7A97ED33-C0A9-4B62-B53B-B99BB847F197}" name="Column4677"/>
    <tableColumn id="4709" xr3:uid="{9905A266-599E-4DB5-A7DC-C84D6968C919}" name="Column4678"/>
    <tableColumn id="4710" xr3:uid="{02CEF3C9-D625-4110-B420-769436F16985}" name="Column4679"/>
    <tableColumn id="4711" xr3:uid="{9891771F-30D0-403B-82F9-A462C7F0A895}" name="Column4680"/>
    <tableColumn id="4712" xr3:uid="{911E8683-B7A7-452D-AE67-AA0A195486DA}" name="Column4681"/>
    <tableColumn id="4713" xr3:uid="{4182CEE0-76F3-4233-AACB-16E4AB52C6D3}" name="Column4682"/>
    <tableColumn id="4714" xr3:uid="{4B3D0A94-CDEA-4937-AABF-4E5814AC40E2}" name="Column4683"/>
    <tableColumn id="4715" xr3:uid="{ABC6A57C-6F11-4516-9429-10E33943A387}" name="Column4684"/>
    <tableColumn id="4716" xr3:uid="{1767E75C-6FA9-433B-9F9C-7EA09E096769}" name="Column4685"/>
    <tableColumn id="4717" xr3:uid="{4DFFA7DB-1E65-4663-9541-BE8DE8C17AC0}" name="Column4686"/>
    <tableColumn id="4718" xr3:uid="{442A6CC9-5672-4C05-BBFA-E629F6A36815}" name="Column4687"/>
    <tableColumn id="4719" xr3:uid="{5886E26C-AB2A-4672-934B-F8319DE89E6F}" name="Column4688"/>
    <tableColumn id="4720" xr3:uid="{DB9B19F8-B244-42E3-ACF6-1892459D6479}" name="Column4689"/>
    <tableColumn id="4721" xr3:uid="{0EEAE809-75DA-4AD2-935C-9D90ACAD79D5}" name="Column4690"/>
    <tableColumn id="4722" xr3:uid="{1430A287-7978-4B67-967C-D6BE55C790F8}" name="Column4691"/>
    <tableColumn id="4723" xr3:uid="{4417D8E3-614A-4DFA-BDFB-B792A439EB77}" name="Column4692"/>
    <tableColumn id="4724" xr3:uid="{9D096596-05DF-4B96-8CC1-A620F8FE64F2}" name="Column4693"/>
    <tableColumn id="4725" xr3:uid="{541AB970-0224-4844-B05E-35629EC38AC9}" name="Column4694"/>
    <tableColumn id="4726" xr3:uid="{A62F4501-E787-4C02-A6DA-4FAAB93D8433}" name="Column4695"/>
    <tableColumn id="4727" xr3:uid="{2B81084E-8921-4E1A-BC91-88B41AFA74FD}" name="Column4696"/>
    <tableColumn id="4728" xr3:uid="{C4DB74DF-8CBB-458F-BF37-C707CC614FFE}" name="Column4697"/>
    <tableColumn id="4729" xr3:uid="{CE267935-2CAA-461C-A7C9-FDD7A5DF9CE1}" name="Column4698"/>
    <tableColumn id="4730" xr3:uid="{4CB2B989-7686-4803-82AF-A26DA593F106}" name="Column4699"/>
    <tableColumn id="4731" xr3:uid="{174537D6-7A8A-4E3D-964B-67426C015026}" name="Column4700"/>
    <tableColumn id="4732" xr3:uid="{02481BC1-27FF-4965-B8B6-58E022B5A9CC}" name="Column4701"/>
    <tableColumn id="4733" xr3:uid="{49C68A69-0EE9-409A-A3C7-2FE9864A8EF1}" name="Column4702"/>
    <tableColumn id="4734" xr3:uid="{7ECC9F1B-5564-4F67-9970-0D4AA5C7E847}" name="Column4703"/>
    <tableColumn id="4735" xr3:uid="{4C84C84B-EDA0-4141-9D7B-DDAD20DF165B}" name="Column4704"/>
    <tableColumn id="4736" xr3:uid="{F9D19993-A915-4DE5-9176-3F6183E13B89}" name="Column4705"/>
    <tableColumn id="4737" xr3:uid="{C00DD9B6-0243-47C5-B918-967EEDF7A5E5}" name="Column4706"/>
    <tableColumn id="4738" xr3:uid="{D003D374-3AEE-4279-910E-21DB483F9C72}" name="Column4707"/>
    <tableColumn id="4739" xr3:uid="{F9A457B9-2BED-420F-863F-869C90A8158D}" name="Column4708"/>
    <tableColumn id="4740" xr3:uid="{C9D8EE4C-613F-401E-8EC6-36651B9C3E5C}" name="Column4709"/>
    <tableColumn id="4741" xr3:uid="{E8E118A6-2393-4F76-9C33-97570A752D50}" name="Column4710"/>
    <tableColumn id="4742" xr3:uid="{C0243F16-97F0-4430-B726-1ADFFEDA6A05}" name="Column4711"/>
    <tableColumn id="4743" xr3:uid="{4D0AE2DB-F747-4759-BF32-E58453005D69}" name="Column4712"/>
    <tableColumn id="4744" xr3:uid="{096C0A07-0E0A-461B-8249-3BEB811DE7EE}" name="Column4713"/>
    <tableColumn id="4745" xr3:uid="{8EDC9A84-B6CA-4374-91CA-A7A1809F509D}" name="Column4714"/>
    <tableColumn id="4746" xr3:uid="{1919E5C6-C428-460F-B248-454C66BF7D7D}" name="Column4715"/>
    <tableColumn id="4747" xr3:uid="{D794201B-F621-4DEC-BAFE-E6F98B0A856B}" name="Column4716"/>
    <tableColumn id="4748" xr3:uid="{00D3390D-FA99-458B-A1D4-7053B71C9321}" name="Column4717"/>
    <tableColumn id="4749" xr3:uid="{EA5C17A6-34E7-4961-AE74-1B4660B2A65E}" name="Column4718"/>
    <tableColumn id="4750" xr3:uid="{86D3C413-F36F-47F4-8AF3-49F86D9CAAE3}" name="Column4719"/>
    <tableColumn id="4751" xr3:uid="{81F66B06-9D66-4B0E-AFA3-5AAB2B1D1643}" name="Column4720"/>
    <tableColumn id="4752" xr3:uid="{FAE15AFA-597A-49EE-A073-354D570BB384}" name="Column4721"/>
    <tableColumn id="4753" xr3:uid="{F6AD95CD-CD29-49DF-9DC8-8C4BA704D358}" name="Column4722"/>
    <tableColumn id="4754" xr3:uid="{644D7453-DEDF-4845-A6DA-5E672B4BE372}" name="Column4723"/>
    <tableColumn id="4755" xr3:uid="{B3C91698-A6B2-4FF6-9E8E-FEA27C188B17}" name="Column4724"/>
    <tableColumn id="4756" xr3:uid="{23265B41-C3B6-4CCA-A16B-D4136710AD2D}" name="Column4725"/>
    <tableColumn id="4757" xr3:uid="{68E4D2FD-67BC-46EA-96C3-B890FA628003}" name="Column4726"/>
    <tableColumn id="4758" xr3:uid="{B8D52AD3-0A6E-4ACF-88D0-3BC8971DBAF0}" name="Column4727"/>
    <tableColumn id="4759" xr3:uid="{9C741F48-DEB5-4E68-B040-55AD16BB4ACA}" name="Column4728"/>
    <tableColumn id="4760" xr3:uid="{4949E667-7655-481D-901A-0232AE067930}" name="Column4729"/>
    <tableColumn id="4761" xr3:uid="{3FBF52DC-9852-4CD0-BBEA-090616758513}" name="Column4730"/>
    <tableColumn id="4762" xr3:uid="{2F46B212-066A-4583-B7BB-A74CC8135F30}" name="Column4731"/>
    <tableColumn id="4763" xr3:uid="{0895A837-B500-43E2-B9F3-6839DD49C5A3}" name="Column4732"/>
    <tableColumn id="4764" xr3:uid="{76565443-A4B0-431A-9188-B46E4407B3D4}" name="Column4733"/>
    <tableColumn id="4765" xr3:uid="{43C63ECD-AFF1-42F8-AE7B-69B0ED906400}" name="Column4734"/>
    <tableColumn id="4766" xr3:uid="{8A8FA512-0076-46EB-8D00-686438EFE8C9}" name="Column4735"/>
    <tableColumn id="4767" xr3:uid="{E3183838-83BC-412A-9BA4-9E7A920BD26C}" name="Column4736"/>
    <tableColumn id="4768" xr3:uid="{3E8629BA-CA43-488A-BEED-8DBC3B20E62E}" name="Column4737"/>
    <tableColumn id="4769" xr3:uid="{70FF94E2-961B-4B60-BA7C-2F29E84DEEDF}" name="Column4738"/>
    <tableColumn id="4770" xr3:uid="{E6C50C49-4081-4B7B-9D74-31A68618FA08}" name="Column4739"/>
    <tableColumn id="4771" xr3:uid="{87345BB2-22FC-4FBC-BBC9-4AE3FD3C9D7B}" name="Column4740"/>
    <tableColumn id="4772" xr3:uid="{8311FC03-1910-4A49-9780-D8AC5FA04064}" name="Column4741"/>
    <tableColumn id="4773" xr3:uid="{6D190FAD-B282-4BFB-87F3-250545AC4A25}" name="Column4742"/>
    <tableColumn id="4774" xr3:uid="{FC827891-68F7-41D0-AA74-0FD24CC6A848}" name="Column4743"/>
    <tableColumn id="4775" xr3:uid="{7502A0D8-03FF-4D31-82CB-4A7B2A2E5732}" name="Column4744"/>
    <tableColumn id="4776" xr3:uid="{281E046E-E7B1-4BBA-BFE2-BB4CEC312662}" name="Column4745"/>
    <tableColumn id="4777" xr3:uid="{DDC729A6-5452-4A13-A7D9-C04F2DF1E8B7}" name="Column4746"/>
    <tableColumn id="4778" xr3:uid="{78D7C5D3-5969-4135-AC5A-03ADA7E75F40}" name="Column4747"/>
    <tableColumn id="4779" xr3:uid="{1420FCBB-4A5C-409D-8323-B2BAD48B8203}" name="Column4748"/>
    <tableColumn id="4780" xr3:uid="{C3DFF6CE-3370-4983-A91D-C1227BD20C88}" name="Column4749"/>
    <tableColumn id="4781" xr3:uid="{BF67891A-1AB5-4C5E-BB7C-65F9B7EACB2F}" name="Column4750"/>
    <tableColumn id="4782" xr3:uid="{D0D45DB5-28DB-4F24-900C-7FA4243027AF}" name="Column4751"/>
    <tableColumn id="4783" xr3:uid="{67A4DF3B-9EBE-4320-9D43-9D16B9801B1E}" name="Column4752"/>
    <tableColumn id="4784" xr3:uid="{665EE18C-2065-4967-9ED4-1D3314D1E21B}" name="Column4753"/>
    <tableColumn id="4785" xr3:uid="{75D4A277-EE9B-40DD-A1DA-04FEF3C9160F}" name="Column4754"/>
    <tableColumn id="4786" xr3:uid="{AC1C2614-18D2-4DD3-A76C-282EE81B045C}" name="Column4755"/>
    <tableColumn id="4787" xr3:uid="{0E8C55A9-E66E-416D-941E-D7BB6E72BFCB}" name="Column4756"/>
    <tableColumn id="4788" xr3:uid="{02679E95-DF34-4BBF-8830-57AE4391B424}" name="Column4757"/>
    <tableColumn id="4789" xr3:uid="{22934890-3A39-45D1-9557-A91976E6F415}" name="Column4758"/>
    <tableColumn id="4790" xr3:uid="{F3AC70C2-14D9-4369-A713-2CACA0FD38E4}" name="Column4759"/>
    <tableColumn id="4791" xr3:uid="{3FD85E39-4A35-4524-8635-30AAEE7C99B3}" name="Column4760"/>
    <tableColumn id="4792" xr3:uid="{D89A3260-2532-42D6-885A-0B6A93713A3C}" name="Column4761"/>
    <tableColumn id="4793" xr3:uid="{28E5EC34-A0B0-4F4F-9FC3-80D845A7A4F7}" name="Column4762"/>
    <tableColumn id="4794" xr3:uid="{4F631F01-5DF5-43A9-8757-865CB5A04E9F}" name="Column4763"/>
    <tableColumn id="4795" xr3:uid="{25AAB246-879E-43C4-8899-4C98FA4C7228}" name="Column4764"/>
    <tableColumn id="4796" xr3:uid="{FBC38C75-D13D-4E6E-AF91-4D7917A5B0C2}" name="Column4765"/>
    <tableColumn id="4797" xr3:uid="{0893912E-DAB7-43D9-9F7C-5997F89271C2}" name="Column4766"/>
    <tableColumn id="4798" xr3:uid="{CDC26E52-85A9-4622-891E-D4000D5479A3}" name="Column4767"/>
    <tableColumn id="4799" xr3:uid="{D3AAC963-A446-4365-8F16-8F8A1E53FD68}" name="Column4768"/>
    <tableColumn id="4800" xr3:uid="{96B255D6-10B8-4D24-B39F-2AE8C6A2640E}" name="Column4769"/>
    <tableColumn id="4801" xr3:uid="{AF157A34-CE55-4F1A-9C0F-834CEEF794FF}" name="Column4770"/>
    <tableColumn id="4802" xr3:uid="{99EA734B-4797-43EA-BB6E-1BD1EDCE2CBB}" name="Column4771"/>
    <tableColumn id="4803" xr3:uid="{D102D364-E250-4B6E-9262-D2A51342D1B9}" name="Column4772"/>
    <tableColumn id="4804" xr3:uid="{0B014D3D-0BE9-4F9B-9D35-9F9EF83DE293}" name="Column4773"/>
    <tableColumn id="4805" xr3:uid="{5985FE31-F3F0-4DB4-BD1E-91C824DF71CA}" name="Column4774"/>
    <tableColumn id="4806" xr3:uid="{73CAB648-55D5-4500-8F3C-819FB69EF6FB}" name="Column4775"/>
    <tableColumn id="4807" xr3:uid="{7FC2C391-A01B-4D4D-BD56-9FE6FC7DC5CC}" name="Column4776"/>
    <tableColumn id="4808" xr3:uid="{347220EB-25F3-47C1-A9C6-196575F2168C}" name="Column4777"/>
    <tableColumn id="4809" xr3:uid="{CED69D93-3D98-4F71-B612-F89D6A44F75D}" name="Column4778"/>
    <tableColumn id="4810" xr3:uid="{89D2B5DE-3EA4-4B5D-B4F7-936999CC4456}" name="Column4779"/>
    <tableColumn id="4811" xr3:uid="{043602A7-075A-4E0E-8814-636C1F8523E8}" name="Column4780"/>
    <tableColumn id="4812" xr3:uid="{76687C34-FE4D-4AA9-866F-42903F6981DB}" name="Column4781"/>
    <tableColumn id="4813" xr3:uid="{CD61BDA9-5DEC-4702-9227-CF5D99A62540}" name="Column4782"/>
    <tableColumn id="4814" xr3:uid="{A7870717-4122-4633-9BE4-202F731AA817}" name="Column4783"/>
    <tableColumn id="4815" xr3:uid="{BC0023C6-DBAE-42E9-BA68-31A14C7C356C}" name="Column4784"/>
    <tableColumn id="4816" xr3:uid="{78B19123-60EB-47F3-8219-1538FCDAAB68}" name="Column4785"/>
    <tableColumn id="4817" xr3:uid="{3252C7FF-2BB2-45ED-84E3-151CCBA00D43}" name="Column4786"/>
    <tableColumn id="4818" xr3:uid="{CD4F29F6-1394-4D29-B969-7ADFD7C543FA}" name="Column4787"/>
    <tableColumn id="4819" xr3:uid="{E287F2B2-58A0-42A5-9F12-511EEF42581C}" name="Column4788"/>
    <tableColumn id="4820" xr3:uid="{D6084B05-7054-41AC-BAFD-1DA7FDBFD7A0}" name="Column4789"/>
    <tableColumn id="4821" xr3:uid="{AD2B184D-F366-46B0-92E1-4225C6B15B72}" name="Column4790"/>
    <tableColumn id="4822" xr3:uid="{296E16C7-F5B9-4DEF-8BD3-7CE6564B159B}" name="Column4791"/>
    <tableColumn id="4823" xr3:uid="{16B1B18B-B54F-48F8-851B-F07B7979399F}" name="Column4792"/>
    <tableColumn id="4824" xr3:uid="{EFFAA3BE-C1C4-4D55-8595-B7D8F9EE3769}" name="Column4793"/>
    <tableColumn id="4825" xr3:uid="{007F937F-FF11-4CD4-8B0B-628C70AF6EA2}" name="Column4794"/>
    <tableColumn id="4826" xr3:uid="{E4BF1AF5-7BBA-4703-9157-824ED6B25F9C}" name="Column4795"/>
    <tableColumn id="4827" xr3:uid="{4173672C-34ED-45D3-9DFE-3E95C9BCB384}" name="Column4796"/>
    <tableColumn id="4828" xr3:uid="{39657D9D-6B78-4F93-8384-CBA5C88FB983}" name="Column4797"/>
    <tableColumn id="4829" xr3:uid="{A8073CEA-FD03-4AA2-A9B1-180E9F04A4CA}" name="Column4798"/>
    <tableColumn id="4830" xr3:uid="{6680CFB6-0ECE-4EB8-8FAF-4F4688DC1BA7}" name="Column4799"/>
    <tableColumn id="4831" xr3:uid="{255DF859-B302-4057-9BF5-C0B5BDD8BEB4}" name="Column4800"/>
    <tableColumn id="4832" xr3:uid="{B8D231EF-481D-4FBF-BB29-38147CD74C23}" name="Column4801"/>
    <tableColumn id="4833" xr3:uid="{ECA1474A-822A-4814-A369-CD342869F15F}" name="Column4802"/>
    <tableColumn id="4834" xr3:uid="{2C04A21C-5719-4336-9863-1A5EF582AE8F}" name="Column4803"/>
    <tableColumn id="4835" xr3:uid="{3C415FE2-B4F0-4CE0-83DD-7D8BBE09C3E2}" name="Column4804"/>
    <tableColumn id="4836" xr3:uid="{700600B2-BC71-489C-AB44-40322DE0D0E7}" name="Column4805"/>
    <tableColumn id="4837" xr3:uid="{29B77C55-A277-4867-8E9C-729EBC5DC266}" name="Column4806"/>
    <tableColumn id="4838" xr3:uid="{D1B1B4CD-1183-4D26-BF66-3DE97BEBAC38}" name="Column4807"/>
    <tableColumn id="4839" xr3:uid="{2F7DEE47-7EB6-4D52-BB95-B52C793B7B79}" name="Column4808"/>
    <tableColumn id="4840" xr3:uid="{2F1E780F-50D5-4010-B3EE-E1C8D570C098}" name="Column4809"/>
    <tableColumn id="4841" xr3:uid="{7E9E6541-6563-4743-BDBB-9A096C815C15}" name="Column4810"/>
    <tableColumn id="4842" xr3:uid="{87FBDA44-88B3-4F1A-8123-C7F82A9A5F43}" name="Column4811"/>
    <tableColumn id="4843" xr3:uid="{33FEB81E-8954-41E1-996E-2B58DC9FC33E}" name="Column4812"/>
    <tableColumn id="4844" xr3:uid="{D11BCC98-0141-446D-AABF-6A5A7CE69187}" name="Column4813"/>
    <tableColumn id="4845" xr3:uid="{1C2236D1-B079-4219-9FBC-BEDC7ACF4025}" name="Column4814"/>
    <tableColumn id="4846" xr3:uid="{721C35F4-2C45-4026-8F66-856FE34F9C0D}" name="Column4815"/>
    <tableColumn id="4847" xr3:uid="{094813E2-B7F6-4EFD-A21F-56B5F4E80114}" name="Column4816"/>
    <tableColumn id="4848" xr3:uid="{630326C9-CA48-4263-8738-07CF2418563E}" name="Column4817"/>
    <tableColumn id="4849" xr3:uid="{08AC98AA-AC8A-4B6B-9DCC-A6F889246417}" name="Column4818"/>
    <tableColumn id="4850" xr3:uid="{1A473D3D-DCFD-47EA-8F64-EEEB7224D8DF}" name="Column4819"/>
    <tableColumn id="4851" xr3:uid="{A3370FF3-26BC-421B-A0F4-1163B2457165}" name="Column4820"/>
    <tableColumn id="4852" xr3:uid="{7C84B161-D5D5-47EE-8310-AD1D3C8AE5A8}" name="Column4821"/>
    <tableColumn id="4853" xr3:uid="{129786B1-0C12-4118-96BD-F37E5C14CFAA}" name="Column4822"/>
    <tableColumn id="4854" xr3:uid="{D844CA9C-C069-476F-9BB1-365FEC8E11D4}" name="Column4823"/>
    <tableColumn id="4855" xr3:uid="{39CE035F-B6CA-41F8-9EF1-F22345694662}" name="Column4824"/>
    <tableColumn id="4856" xr3:uid="{67AE66DE-7DCC-499E-9B85-967FA3EB4FAD}" name="Column4825"/>
    <tableColumn id="4857" xr3:uid="{65F3CE65-227E-4AA0-908D-9E5D82DFD542}" name="Column4826"/>
    <tableColumn id="4858" xr3:uid="{B1DC12CD-C504-4B41-AB3D-DF6E86CF1952}" name="Column4827"/>
    <tableColumn id="4859" xr3:uid="{69E5680D-266B-4B9D-86AE-8FCEAE6EF0CC}" name="Column4828"/>
    <tableColumn id="4860" xr3:uid="{176A8EF1-F8C5-41B2-94FA-5DA1E43DC6C3}" name="Column4829"/>
    <tableColumn id="4861" xr3:uid="{1F472E87-F56F-45DD-BCB9-E749CD3931B3}" name="Column4830"/>
    <tableColumn id="4862" xr3:uid="{7C0BEC46-2168-4180-869D-BA50ED3B4BB4}" name="Column4831"/>
    <tableColumn id="4863" xr3:uid="{FE90DF4A-D199-4C37-8105-2AD949322A44}" name="Column4832"/>
    <tableColumn id="4864" xr3:uid="{6C635A4D-3029-4D18-95D5-2AA8D948947A}" name="Column4833"/>
    <tableColumn id="4865" xr3:uid="{181ACE23-93C7-4868-A25B-28AC75579205}" name="Column4834"/>
    <tableColumn id="4866" xr3:uid="{1F897769-AAC8-4AEF-9A4F-89AC055562C4}" name="Column4835"/>
    <tableColumn id="4867" xr3:uid="{352B5E5C-BB90-4AF6-B74B-E1728791BB9C}" name="Column4836"/>
    <tableColumn id="4868" xr3:uid="{40841C85-287F-4AE4-B937-87C4F9B83248}" name="Column4837"/>
    <tableColumn id="4869" xr3:uid="{44896050-8BBA-4E2A-81AA-5AAB1DBB8952}" name="Column4838"/>
    <tableColumn id="4870" xr3:uid="{DEF0BA38-879D-4A09-820B-FE63D6BEDA72}" name="Column4839"/>
    <tableColumn id="4871" xr3:uid="{4DB82D61-0983-487C-B677-6778F1757216}" name="Column4840"/>
    <tableColumn id="4872" xr3:uid="{CA9F3490-A8B3-4EE9-97C5-A0FF93F06F00}" name="Column4841"/>
    <tableColumn id="4873" xr3:uid="{EA62073B-8FCB-413D-9D02-1B30DCFD8923}" name="Column4842"/>
    <tableColumn id="4874" xr3:uid="{4A6F25A8-C472-416C-A48E-55CA36367A5B}" name="Column4843"/>
    <tableColumn id="4875" xr3:uid="{AC62DA04-FFFD-4F14-B61E-96B68E90B57C}" name="Column4844"/>
    <tableColumn id="4876" xr3:uid="{B6E341FD-756C-4172-9149-186A9887FBD0}" name="Column4845"/>
    <tableColumn id="4877" xr3:uid="{F63FC24A-4BAF-4498-9942-26E7DADB97C2}" name="Column4846"/>
    <tableColumn id="4878" xr3:uid="{99812315-6F5A-4851-B0C5-E7450E076D51}" name="Column4847"/>
    <tableColumn id="4879" xr3:uid="{6D359F44-5578-458D-94BF-E18D06FEE03C}" name="Column4848"/>
    <tableColumn id="4880" xr3:uid="{BC483710-81A6-4A00-A718-57DEED410DE2}" name="Column4849"/>
    <tableColumn id="4881" xr3:uid="{632FD0D6-3CBE-486C-9727-1437A7877F3A}" name="Column4850"/>
    <tableColumn id="4882" xr3:uid="{2C15D15F-AC62-49F7-B6F8-8D0D6718B6B1}" name="Column4851"/>
    <tableColumn id="4883" xr3:uid="{C5D2706D-92FC-47C3-9191-20CF7589822A}" name="Column4852"/>
    <tableColumn id="4884" xr3:uid="{8CA99E24-90EE-4602-827A-688E7B99298D}" name="Column4853"/>
    <tableColumn id="4885" xr3:uid="{6EB5A7B6-F19E-4BC1-AA7F-2BD53E3790BE}" name="Column4854"/>
    <tableColumn id="4886" xr3:uid="{C877F819-47D0-42E2-9DF0-22A34AA44307}" name="Column4855"/>
    <tableColumn id="4887" xr3:uid="{2F399460-32FD-4C16-ACF4-E8CE180F4530}" name="Column4856"/>
    <tableColumn id="4888" xr3:uid="{A6C3C4F5-02F4-4FA3-8CCD-E80E86D6D438}" name="Column4857"/>
    <tableColumn id="4889" xr3:uid="{62DCF975-B091-440F-A6D8-1DF92AC66C30}" name="Column4858"/>
    <tableColumn id="4890" xr3:uid="{8904EDBE-8F72-4878-BA5E-9B89F7828A3E}" name="Column4859"/>
    <tableColumn id="4891" xr3:uid="{C781924B-83CA-4345-B36D-657CCEE1ACD7}" name="Column4860"/>
    <tableColumn id="4892" xr3:uid="{1EFF28CE-93A0-481D-90C2-68A1D8246C6C}" name="Column4861"/>
    <tableColumn id="4893" xr3:uid="{54FA65C1-E36B-4684-A13C-A56A8BFDC87A}" name="Column4862"/>
    <tableColumn id="4894" xr3:uid="{A1E86059-5C09-4FE5-A4F6-E2B3F9020A67}" name="Column4863"/>
    <tableColumn id="4895" xr3:uid="{D1A79FAD-6133-4D6E-A73E-8B87BBDC23D9}" name="Column4864"/>
    <tableColumn id="4896" xr3:uid="{8ED65E6A-0D24-46E8-B76E-B8C6B67B1767}" name="Column4865"/>
    <tableColumn id="4897" xr3:uid="{EF6342C5-4272-4C6F-B480-AB02FFDD49AF}" name="Column4866"/>
    <tableColumn id="4898" xr3:uid="{DB27C43F-C63E-403A-8010-D8A2229130BF}" name="Column4867"/>
    <tableColumn id="4899" xr3:uid="{95441CD6-0333-41A3-A5C3-C105598C7848}" name="Column4868"/>
    <tableColumn id="4900" xr3:uid="{1614AD19-DE8D-400F-A063-2916B139F384}" name="Column4869"/>
    <tableColumn id="4901" xr3:uid="{23AC7B28-DC34-49AE-927E-3A9CD51644E2}" name="Column4870"/>
    <tableColumn id="4902" xr3:uid="{693F0839-930B-48C3-BFDA-4BB7A3E55CAB}" name="Column4871"/>
    <tableColumn id="4903" xr3:uid="{E3771BFC-448B-4766-BB60-05D85725C399}" name="Column4872"/>
    <tableColumn id="4904" xr3:uid="{A72E4B5E-AD58-4A3D-8B5B-E6F614FA5679}" name="Column4873"/>
    <tableColumn id="4905" xr3:uid="{93232EBA-AE9C-4E8D-8E6C-87F722AD6191}" name="Column4874"/>
    <tableColumn id="4906" xr3:uid="{8E32A375-8FFC-4E85-845C-7359B3AC69B2}" name="Column4875"/>
    <tableColumn id="4907" xr3:uid="{FC72DB19-FB58-4B7A-BBCF-3A9CBF583BCB}" name="Column4876"/>
    <tableColumn id="4908" xr3:uid="{13BAE221-FC1C-4AF2-8CAD-88D361160E55}" name="Column4877"/>
    <tableColumn id="4909" xr3:uid="{41DACFCE-18AA-431C-92C9-A97EDC6C6590}" name="Column4878"/>
    <tableColumn id="4910" xr3:uid="{C499D557-0AF9-4778-818D-5AC8E7BDD213}" name="Column4879"/>
    <tableColumn id="4911" xr3:uid="{C69A968F-6C6F-4550-A0F3-1D87659C964B}" name="Column4880"/>
    <tableColumn id="4912" xr3:uid="{389C9531-E8A7-4A18-A6BC-E584F5F12AD3}" name="Column4881"/>
    <tableColumn id="4913" xr3:uid="{9E0F514D-2A45-4833-82E4-9573F4855175}" name="Column4882"/>
    <tableColumn id="4914" xr3:uid="{FD1363D2-3AA8-4220-A08E-554D6032F4D4}" name="Column4883"/>
    <tableColumn id="4915" xr3:uid="{754A8B16-10E3-4D9B-A14B-3DD394B4145B}" name="Column4884"/>
    <tableColumn id="4916" xr3:uid="{1E8D74A4-2332-416F-A9FC-ABE64B1A0E04}" name="Column4885"/>
    <tableColumn id="4917" xr3:uid="{0225FB45-A25C-41A2-A7DB-A73E97B8CB6F}" name="Column4886"/>
    <tableColumn id="4918" xr3:uid="{ABBA0098-26CA-431A-9EA5-484AB3BA7FAB}" name="Column4887"/>
    <tableColumn id="4919" xr3:uid="{C7CCC77C-B002-4014-B162-7D245E6AA173}" name="Column4888"/>
    <tableColumn id="4920" xr3:uid="{B97C8CD7-CBEA-4368-AFB6-4C551E274895}" name="Column4889"/>
    <tableColumn id="4921" xr3:uid="{9FCF1A86-20D7-4BB9-9EB6-8C99DF457F0D}" name="Column4890"/>
    <tableColumn id="4922" xr3:uid="{5123422D-2450-49A7-8103-1C66B30353BC}" name="Column4891"/>
    <tableColumn id="4923" xr3:uid="{05D13621-3202-410D-9856-2B554B13FBF6}" name="Column4892"/>
    <tableColumn id="4924" xr3:uid="{3EDEDF69-D4EB-4BC6-BC3E-6BBFCFAE6DBC}" name="Column4893"/>
    <tableColumn id="4925" xr3:uid="{1C023BBA-F400-4139-B641-81B1A153E14B}" name="Column4894"/>
    <tableColumn id="4926" xr3:uid="{B3E0F324-8961-4584-9C6B-F3F82FB689F4}" name="Column4895"/>
    <tableColumn id="4927" xr3:uid="{EF68106A-7C28-4550-9074-A296C73AB036}" name="Column4896"/>
    <tableColumn id="4928" xr3:uid="{EA2C1698-F3B4-4945-8B24-D74DB232E935}" name="Column4897"/>
    <tableColumn id="4929" xr3:uid="{C8C0D3A0-BE8D-42BA-87F8-14F238C6D0D2}" name="Column4898"/>
    <tableColumn id="4930" xr3:uid="{D8A2E7CD-9876-4007-A545-05C767BA632F}" name="Column4899"/>
    <tableColumn id="4931" xr3:uid="{E677E114-3F4E-450A-B8E9-C0B65F6E45AE}" name="Column4900"/>
    <tableColumn id="4932" xr3:uid="{8257EE70-7E0C-45AA-8906-D216F9EC7C14}" name="Column4901"/>
    <tableColumn id="4933" xr3:uid="{1AC4E487-EFA3-4852-AD8E-CB179BD0522C}" name="Column4902"/>
    <tableColumn id="4934" xr3:uid="{A094CB0E-8158-4142-A89E-1075518151EC}" name="Column4903"/>
    <tableColumn id="4935" xr3:uid="{B17C40C1-7544-4CF5-8341-9A50C6237CF1}" name="Column4904"/>
    <tableColumn id="4936" xr3:uid="{66DB616C-004D-417C-BF91-590E56E80E5A}" name="Column4905"/>
    <tableColumn id="4937" xr3:uid="{5D6405D4-25EB-4DB8-AD13-C31CE27A2E50}" name="Column4906"/>
    <tableColumn id="4938" xr3:uid="{BB796129-FA13-4719-BC87-630C54CF8E47}" name="Column4907"/>
    <tableColumn id="4939" xr3:uid="{A55722A8-A563-4FEE-A407-30C6F5265395}" name="Column4908"/>
    <tableColumn id="4940" xr3:uid="{DAA46B78-E54D-4951-8F1E-59A127290D00}" name="Column4909"/>
    <tableColumn id="4941" xr3:uid="{F7AEFDE0-029E-4C46-87BF-3F0FCA01AD12}" name="Column4910"/>
    <tableColumn id="4942" xr3:uid="{31A96BDD-A8D9-4017-BBAD-22DDF3839480}" name="Column4911"/>
    <tableColumn id="4943" xr3:uid="{F507572A-1237-4D20-939F-AF16E0511B40}" name="Column4912"/>
    <tableColumn id="4944" xr3:uid="{297532F5-D940-43E0-8B72-0A01EC39FB5D}" name="Column4913"/>
    <tableColumn id="4945" xr3:uid="{F394AA67-7715-439F-AB74-BFE446E0EDCE}" name="Column4914"/>
    <tableColumn id="4946" xr3:uid="{D328442C-C51C-4753-AB0F-F123EF66616B}" name="Column4915"/>
    <tableColumn id="4947" xr3:uid="{76526940-12F9-47A6-A5A7-97038A48FDF8}" name="Column4916"/>
    <tableColumn id="4948" xr3:uid="{626EF4E2-DE06-4529-B28B-1B4038B98AD6}" name="Column4917"/>
    <tableColumn id="4949" xr3:uid="{712BB755-B018-4553-9C3C-10760B0F0C94}" name="Column4918"/>
    <tableColumn id="4950" xr3:uid="{954FACA6-232F-49BD-B626-CCA942F3139B}" name="Column4919"/>
    <tableColumn id="4951" xr3:uid="{83B44570-88E9-4D5F-AD51-5C0234A3C1B9}" name="Column4920"/>
    <tableColumn id="4952" xr3:uid="{0B81EA98-8EB3-482E-9041-E42D2D6CFA65}" name="Column4921"/>
    <tableColumn id="4953" xr3:uid="{8D8CEE70-FB2B-4656-BF61-4CA80C341281}" name="Column4922"/>
    <tableColumn id="4954" xr3:uid="{D1A189A2-3100-4568-A444-8323CF37E9F4}" name="Column4923"/>
    <tableColumn id="4955" xr3:uid="{B9A0BBE7-A9A1-41A3-A67C-B4B2A62D1453}" name="Column4924"/>
    <tableColumn id="4956" xr3:uid="{D192EE94-78C8-470B-9B91-D7D9675F5E00}" name="Column4925"/>
    <tableColumn id="4957" xr3:uid="{977D6735-1ADB-4CF2-B77C-6C70FEA726AA}" name="Column4926"/>
    <tableColumn id="4958" xr3:uid="{28441F7C-E5B7-4B30-9A6C-D16DA06D0652}" name="Column4927"/>
    <tableColumn id="4959" xr3:uid="{0FCEBA03-45DA-4C4E-9069-ECC83C6CAF91}" name="Column4928"/>
    <tableColumn id="4960" xr3:uid="{1699A03A-88B8-4DDB-91F4-A59984FF0CB7}" name="Column4929"/>
    <tableColumn id="4961" xr3:uid="{FF846AC0-278D-4AC8-8ABE-68F5BC13A606}" name="Column4930"/>
    <tableColumn id="4962" xr3:uid="{D32BDDD6-EB03-406E-A3A1-1EBDAD016AD8}" name="Column4931"/>
    <tableColumn id="4963" xr3:uid="{C807969F-F938-4BEC-AC03-4C51BFB3FEDC}" name="Column4932"/>
    <tableColumn id="4964" xr3:uid="{72694094-17CC-4607-AA6F-C30088DED8D3}" name="Column4933"/>
    <tableColumn id="4965" xr3:uid="{71E2B909-5F0B-4A40-B265-5AD03660CC91}" name="Column4934"/>
    <tableColumn id="4966" xr3:uid="{76EB798E-DE42-4B7B-AAA9-4D28F3D12E15}" name="Column4935"/>
    <tableColumn id="4967" xr3:uid="{25673CB1-0140-4DF9-BB34-30F9F4096AF1}" name="Column4936"/>
    <tableColumn id="4968" xr3:uid="{9946DED5-B76B-49C0-969D-112B1EA8596A}" name="Column4937"/>
    <tableColumn id="4969" xr3:uid="{D9F32D15-91E6-4E53-85E3-74678566078C}" name="Column4938"/>
    <tableColumn id="4970" xr3:uid="{61284BA5-1692-463B-AE6D-7E18B1BC0625}" name="Column4939"/>
    <tableColumn id="4971" xr3:uid="{F8B94B97-8313-4A0A-A4D6-202DBE86178E}" name="Column4940"/>
    <tableColumn id="4972" xr3:uid="{82A75FAC-E414-42C7-8A9B-B83F2A655F70}" name="Column4941"/>
    <tableColumn id="4973" xr3:uid="{786ABCFB-0868-4638-97DF-4ED62D9BFCEE}" name="Column4942"/>
    <tableColumn id="4974" xr3:uid="{F960E1BF-392D-49B0-8F2A-B359261FDFD6}" name="Column4943"/>
    <tableColumn id="4975" xr3:uid="{3502C410-6F3D-4783-951A-0C7BF1B8F9E3}" name="Column4944"/>
    <tableColumn id="4976" xr3:uid="{EA763115-41A6-42D9-8DA4-F60413B62B57}" name="Column4945"/>
    <tableColumn id="4977" xr3:uid="{505A88AA-DB15-4495-8FAA-5163FB54FCE6}" name="Column4946"/>
    <tableColumn id="4978" xr3:uid="{47806C05-461C-4570-96A8-004AB7645DC0}" name="Column4947"/>
    <tableColumn id="4979" xr3:uid="{349E4F3D-3F3F-4698-8007-D6E5E4D97057}" name="Column4948"/>
    <tableColumn id="4980" xr3:uid="{4891E90B-ED76-411A-B272-36885F00AE7E}" name="Column4949"/>
    <tableColumn id="4981" xr3:uid="{4136DB53-963E-471E-A6C7-B3194081267C}" name="Column4950"/>
    <tableColumn id="4982" xr3:uid="{45A3AC93-119B-4A76-9199-6945EF9F66B2}" name="Column4951"/>
    <tableColumn id="4983" xr3:uid="{08D03652-E982-4719-9285-24CFC045C35F}" name="Column4952"/>
    <tableColumn id="4984" xr3:uid="{A6140AC3-3991-48C3-8BB7-80BB95083AD4}" name="Column4953"/>
    <tableColumn id="4985" xr3:uid="{5E81BD0B-12F6-450E-BDC1-5C768D924A55}" name="Column4954"/>
    <tableColumn id="4986" xr3:uid="{A30DE321-9618-440E-AB68-421D5706E867}" name="Column4955"/>
    <tableColumn id="4987" xr3:uid="{9CD3F9A3-253A-4EB6-94FC-E1807EC16CF2}" name="Column4956"/>
    <tableColumn id="4988" xr3:uid="{7B5C16D0-DFE1-420D-9825-9E539548B213}" name="Column4957"/>
    <tableColumn id="4989" xr3:uid="{311A085E-128A-4624-A8FD-F12972CC073E}" name="Column4958"/>
    <tableColumn id="4990" xr3:uid="{AA56F722-D038-41BA-BB43-AB343FE074F8}" name="Column4959"/>
    <tableColumn id="4991" xr3:uid="{29171830-70FC-4CDC-B425-DB14C83287FC}" name="Column4960"/>
    <tableColumn id="4992" xr3:uid="{C177D558-4FDE-4917-9530-F8EE5F16C5DC}" name="Column4961"/>
    <tableColumn id="4993" xr3:uid="{257F2F1D-C364-4941-8D24-4A0B966E579F}" name="Column4962"/>
    <tableColumn id="4994" xr3:uid="{0A68F268-D4BB-4002-9F06-F12C69B8A207}" name="Column4963"/>
    <tableColumn id="4995" xr3:uid="{5FE1622E-085B-48DA-92E0-CE813EA0552B}" name="Column4964"/>
    <tableColumn id="4996" xr3:uid="{24DB0D65-AD4B-48B9-8264-5B5AEB48ED66}" name="Column4965"/>
    <tableColumn id="4997" xr3:uid="{307A8393-D1AB-4BD7-A498-EB61F7AEA52F}" name="Column4966"/>
    <tableColumn id="4998" xr3:uid="{03124A8F-E8A8-4007-ACBD-C8E3B3C4A293}" name="Column4967"/>
    <tableColumn id="4999" xr3:uid="{8A46E770-D757-4362-AB4B-AE0F5BA86119}" name="Column4968"/>
    <tableColumn id="5000" xr3:uid="{3171FEDF-6E47-4722-AF48-5F1207AEACBD}" name="Column4969"/>
    <tableColumn id="5001" xr3:uid="{CD8F0A5B-5448-4C7C-8F55-60730431A4BD}" name="Column4970"/>
    <tableColumn id="5002" xr3:uid="{02D0B67B-9B0C-4417-8722-732C3058501E}" name="Column4971"/>
    <tableColumn id="5003" xr3:uid="{C1DF8607-F686-459A-940A-F47678B0408B}" name="Column4972"/>
    <tableColumn id="5004" xr3:uid="{5334DCF9-7C96-487B-9136-7E3D1BF2E573}" name="Column4973"/>
    <tableColumn id="5005" xr3:uid="{C6312877-EB54-43D3-8AA8-67796BA71D44}" name="Column4974"/>
    <tableColumn id="5006" xr3:uid="{DB08A997-B039-4CE4-A4B5-8ECEB5D35949}" name="Column4975"/>
    <tableColumn id="5007" xr3:uid="{9BA22A5F-16D0-4D80-81CF-64C25CDD5894}" name="Column4976"/>
    <tableColumn id="5008" xr3:uid="{3D4D3FB1-92B2-4EA4-A25D-356EF16191F1}" name="Column4977"/>
    <tableColumn id="5009" xr3:uid="{19C66198-BFF3-4634-AB30-368056A262F9}" name="Column4978"/>
    <tableColumn id="5010" xr3:uid="{733A3AE4-DF74-45F3-9CF2-AED6D12EA59C}" name="Column4979"/>
    <tableColumn id="5011" xr3:uid="{8A817AC7-1675-4B31-87C9-115EE01F2117}" name="Column4980"/>
    <tableColumn id="5012" xr3:uid="{48EA0612-149E-4B1E-9CC2-E59393DE477E}" name="Column4981"/>
    <tableColumn id="5013" xr3:uid="{8AD3F297-1B77-42D3-B6BE-E9F283D7B91E}" name="Column4982"/>
    <tableColumn id="5014" xr3:uid="{0613D3A3-B091-40C2-85BE-D167E11F45D2}" name="Column4983"/>
    <tableColumn id="5015" xr3:uid="{A8D516DE-68F9-4AD8-890C-2C11158C1F35}" name="Column4984"/>
    <tableColumn id="5016" xr3:uid="{620F66B2-B360-4F0B-BB72-1B36D0A62E4F}" name="Column4985"/>
    <tableColumn id="5017" xr3:uid="{7F4BB82F-EB4C-448F-AF72-993CD1EF927B}" name="Column4986"/>
    <tableColumn id="5018" xr3:uid="{1B714C47-C54B-45DF-B4FA-79621B3E5ABC}" name="Column4987"/>
    <tableColumn id="5019" xr3:uid="{68D02D94-42F1-4991-8A42-863E733BA29E}" name="Column4988"/>
    <tableColumn id="5020" xr3:uid="{0519C322-516A-4AF7-ABBF-D58407A64522}" name="Column4989"/>
    <tableColumn id="5021" xr3:uid="{2092DE34-9C6A-4301-AAC6-2AEA0C0E0021}" name="Column4990"/>
    <tableColumn id="5022" xr3:uid="{26EBCC33-E8D9-40FC-80E4-B46B5FA5C29B}" name="Column4991"/>
    <tableColumn id="5023" xr3:uid="{D8CF222E-9FB7-4EB1-8296-C4A7CBA7AC9E}" name="Column4992"/>
    <tableColumn id="5024" xr3:uid="{36F13EBD-66CD-45C5-8F8A-6DC748B24C8A}" name="Column4993"/>
    <tableColumn id="5025" xr3:uid="{3EE1C42D-9B76-4F28-BC6D-437329E64F68}" name="Column4994"/>
    <tableColumn id="5026" xr3:uid="{6AB7EFF7-2914-487D-9597-F006601FA6B2}" name="Column4995"/>
    <tableColumn id="5027" xr3:uid="{57895913-84FE-4169-9355-E8622DF40527}" name="Column4996"/>
    <tableColumn id="5028" xr3:uid="{DE6C9A7C-19B0-4941-B5C3-A7DE46EA2033}" name="Column4997"/>
    <tableColumn id="5029" xr3:uid="{157CCCE9-A6D8-4294-9777-A1C0C8665183}" name="Column4998"/>
    <tableColumn id="5030" xr3:uid="{756F12E6-5FDE-451F-BA3E-4C3F338AA777}" name="Column4999"/>
    <tableColumn id="5031" xr3:uid="{AE46C594-69CA-4559-BFA8-6CA7AE7A68DF}" name="Column5000"/>
    <tableColumn id="5032" xr3:uid="{0D820708-F776-463D-A75B-EF6E4ABF7E37}" name="Column5001"/>
    <tableColumn id="5033" xr3:uid="{B4D525D4-8E89-48D4-BC72-CFE7E4AFFFE6}" name="Column5002"/>
    <tableColumn id="5034" xr3:uid="{5F33C7C2-7651-46A7-808D-3BB06D4BA9EA}" name="Column5003"/>
    <tableColumn id="5035" xr3:uid="{083FEB44-67D7-4A62-B648-52C27A8BB83D}" name="Column5004"/>
    <tableColumn id="5036" xr3:uid="{A87E7087-E237-4788-BD7F-31F3BD125923}" name="Column5005"/>
    <tableColumn id="5037" xr3:uid="{2D4B6E79-C4D5-4D7D-8197-8DD514F6937C}" name="Column5006"/>
    <tableColumn id="5038" xr3:uid="{55A2B0AA-A966-4FF8-94B4-5E75C8DFE408}" name="Column5007"/>
    <tableColumn id="5039" xr3:uid="{505479A6-2D38-4FD5-9BF7-A7C585B06854}" name="Column5008"/>
    <tableColumn id="5040" xr3:uid="{6111DDB1-DD97-4983-9F37-1C205DE214AE}" name="Column5009"/>
    <tableColumn id="5041" xr3:uid="{0EE14B88-E9C1-4C0E-8F34-DCC1F17CDCAD}" name="Column5010"/>
    <tableColumn id="5042" xr3:uid="{14051F6B-BBE4-4B74-BFE4-5988414A6D12}" name="Column5011"/>
    <tableColumn id="5043" xr3:uid="{7F60AC45-B4FD-4ABF-928A-482A8D0BB7CB}" name="Column5012"/>
    <tableColumn id="5044" xr3:uid="{907D099D-8F29-40C2-A452-3A8806C4F67E}" name="Column5013"/>
    <tableColumn id="5045" xr3:uid="{EC2BDD25-06ED-42B8-8CD9-27D47CAB6398}" name="Column5014"/>
    <tableColumn id="5046" xr3:uid="{C387FC30-182C-4D1F-B8CC-BA473DB79598}" name="Column5015"/>
    <tableColumn id="5047" xr3:uid="{864D55F8-6816-45B3-B28B-7FAAD32D2F7A}" name="Column5016"/>
    <tableColumn id="5048" xr3:uid="{9DF89CC8-D419-45F7-934A-424E4C5E083F}" name="Column5017"/>
    <tableColumn id="5049" xr3:uid="{21B06191-757B-48E4-A6BA-F22322764391}" name="Column5018"/>
    <tableColumn id="5050" xr3:uid="{EC4C611D-4AAE-4F96-BA2D-87CD25E08892}" name="Column5019"/>
    <tableColumn id="5051" xr3:uid="{B4A247E8-5289-4528-B0B0-D19567341D5F}" name="Column5020"/>
    <tableColumn id="5052" xr3:uid="{B65912BD-03FF-4E1F-A097-0E047C969536}" name="Column5021"/>
    <tableColumn id="5053" xr3:uid="{D867C3DC-28BB-4B0A-A0E3-A540EB457E38}" name="Column5022"/>
    <tableColumn id="5054" xr3:uid="{1609A67B-DD8E-4131-9BF9-2E3A97E42D20}" name="Column5023"/>
    <tableColumn id="5055" xr3:uid="{286C5ABD-6E95-445C-A103-4F22C6142FAF}" name="Column5024"/>
    <tableColumn id="5056" xr3:uid="{1C559DD6-F73F-4869-94B3-2D3505D09BEC}" name="Column5025"/>
    <tableColumn id="5057" xr3:uid="{42784216-DD39-4522-9C44-2496830F08E5}" name="Column5026"/>
    <tableColumn id="5058" xr3:uid="{6BBAE3EF-AE8E-4B13-8940-B03A3A8D1140}" name="Column5027"/>
    <tableColumn id="5059" xr3:uid="{68838874-7A7C-4BE3-A366-D98A70FAE332}" name="Column5028"/>
    <tableColumn id="5060" xr3:uid="{42EF3208-09A4-4883-B7F4-25998D06E4DC}" name="Column5029"/>
    <tableColumn id="5061" xr3:uid="{5573EC49-0D40-466B-A6D8-D2617216D665}" name="Column5030"/>
    <tableColumn id="5062" xr3:uid="{02E5A5B7-C4E3-4158-ACFD-D0C052DCA658}" name="Column5031"/>
    <tableColumn id="5063" xr3:uid="{3FC7178D-DCC1-4797-A144-8A973F6D7C96}" name="Column5032"/>
    <tableColumn id="5064" xr3:uid="{AE3FEC27-1EEA-4A4D-8115-1C99A9373B33}" name="Column5033"/>
    <tableColumn id="5065" xr3:uid="{658E05E4-4920-47C0-85EB-7EFBCA177E10}" name="Column5034"/>
    <tableColumn id="5066" xr3:uid="{1252D581-7482-48AF-9D56-1B0AAC7152F9}" name="Column5035"/>
    <tableColumn id="5067" xr3:uid="{BD09C3BB-3C98-458B-AF7B-637138103748}" name="Column5036"/>
    <tableColumn id="5068" xr3:uid="{6DD249BF-F114-4C7D-A1BF-4607D657708C}" name="Column5037"/>
    <tableColumn id="5069" xr3:uid="{D99CB53F-CD8A-46EA-BCDA-9B6CED1079ED}" name="Column5038"/>
    <tableColumn id="5070" xr3:uid="{99BB08CD-90E7-4257-BF23-AD831A6A0599}" name="Column5039"/>
    <tableColumn id="5071" xr3:uid="{12D6F73F-963F-46AD-ACFC-30F806C014AD}" name="Column5040"/>
    <tableColumn id="5072" xr3:uid="{FFC7A4D6-F4FA-4082-8866-1E0880444CCD}" name="Column5041"/>
    <tableColumn id="5073" xr3:uid="{A13DC075-BAC8-471D-BC5E-15DD10A99154}" name="Column5042"/>
    <tableColumn id="5074" xr3:uid="{CB2DD425-E209-442A-B5DB-27F838953C00}" name="Column5043"/>
    <tableColumn id="5075" xr3:uid="{5D37CA8F-A3BD-4A17-A5AB-FDC53FAF7DCD}" name="Column5044"/>
    <tableColumn id="5076" xr3:uid="{E259700C-B14D-4E05-83D3-D9B3054E6EB3}" name="Column5045"/>
    <tableColumn id="5077" xr3:uid="{A93403A9-1B58-4608-8122-F3E93119DCDD}" name="Column5046"/>
    <tableColumn id="5078" xr3:uid="{5C7968B9-76CF-4B4E-969E-5ECF965E1CF3}" name="Column5047"/>
    <tableColumn id="5079" xr3:uid="{F068D245-84EB-49FF-AFF9-6BC19BE7EFBA}" name="Column5048"/>
    <tableColumn id="5080" xr3:uid="{55E2DB83-AFFD-49C9-9053-596108AC2B45}" name="Column5049"/>
    <tableColumn id="5081" xr3:uid="{9E0F080C-7EF5-4F40-A091-DD9A8F4B13FD}" name="Column5050"/>
    <tableColumn id="5082" xr3:uid="{36EAEB06-4CB0-46CC-A29C-BCBF734AE074}" name="Column5051"/>
    <tableColumn id="5083" xr3:uid="{A1D0ED5D-F41E-4230-B4F3-7C5965F7F46E}" name="Column5052"/>
    <tableColumn id="5084" xr3:uid="{E1F62302-CCE1-4957-B23B-ECAEA9A7340F}" name="Column5053"/>
    <tableColumn id="5085" xr3:uid="{4BF572EF-E4E5-4118-9E30-E342EFCB3323}" name="Column5054"/>
    <tableColumn id="5086" xr3:uid="{2F73AD5C-FAF4-416A-96DC-13B7CE42BBCC}" name="Column5055"/>
    <tableColumn id="5087" xr3:uid="{A119BB2D-77C5-4938-AA9A-CABDDA658352}" name="Column5056"/>
    <tableColumn id="5088" xr3:uid="{A58D5C50-7B87-4D02-A503-9BC76D91B58E}" name="Column5057"/>
    <tableColumn id="5089" xr3:uid="{5B2523ED-AC31-45DD-955C-12329A3F6ADA}" name="Column5058"/>
    <tableColumn id="5090" xr3:uid="{3DB33A6B-E7EB-4EC1-81EF-7AA3DDC7B2E5}" name="Column5059"/>
    <tableColumn id="5091" xr3:uid="{EA4E54AC-81D2-43B5-94DE-49352219CE2A}" name="Column5060"/>
    <tableColumn id="5092" xr3:uid="{280C049A-7A84-4366-8629-6CBE9445BC55}" name="Column5061"/>
    <tableColumn id="5093" xr3:uid="{BCE2A98D-F948-462F-A695-33C661FF0144}" name="Column5062"/>
    <tableColumn id="5094" xr3:uid="{7E27ABC7-C0E2-4554-8E7E-CA36591557F9}" name="Column5063"/>
    <tableColumn id="5095" xr3:uid="{3301BCCB-CEA1-42E3-BD82-6B58E92C4053}" name="Column5064"/>
    <tableColumn id="5096" xr3:uid="{6E3D60F4-4F21-4DD3-9F98-C92209F16CBD}" name="Column5065"/>
    <tableColumn id="5097" xr3:uid="{6822BA6F-26F2-4EE9-8298-933E1BF1E1D1}" name="Column5066"/>
    <tableColumn id="5098" xr3:uid="{132737FB-BDB7-4BC8-AAF5-A12ED661F291}" name="Column5067"/>
    <tableColumn id="5099" xr3:uid="{4ED23761-2FF8-4FBD-8C08-1EF3CEE1A3B5}" name="Column5068"/>
    <tableColumn id="5100" xr3:uid="{69D5499F-A868-4982-9319-255DE865A15F}" name="Column5069"/>
    <tableColumn id="5101" xr3:uid="{27B8A65F-9A83-4CAE-9432-905F8F1D3656}" name="Column5070"/>
    <tableColumn id="5102" xr3:uid="{09CEDF5C-B834-4373-A9F7-1DB222D020B7}" name="Column5071"/>
    <tableColumn id="5103" xr3:uid="{FE51A447-FF90-41B1-8176-37A3EE753E61}" name="Column5072"/>
    <tableColumn id="5104" xr3:uid="{B7A57D03-AA05-4943-9DD3-5206F4C376A0}" name="Column5073"/>
    <tableColumn id="5105" xr3:uid="{266906BE-5538-4E2C-B3D7-E266E42F75A2}" name="Column5074"/>
    <tableColumn id="5106" xr3:uid="{D86AC878-9760-4BEA-B5A9-96BFCDEDBE0F}" name="Column5075"/>
    <tableColumn id="5107" xr3:uid="{0841EEFE-E8B4-4ADF-8E92-FABE766C5ABE}" name="Column5076"/>
    <tableColumn id="5108" xr3:uid="{378F9E75-4AE0-4367-A091-EF58B48828C4}" name="Column5077"/>
    <tableColumn id="5109" xr3:uid="{701881A4-C5CA-40A9-BAEC-5DC5C10E3976}" name="Column5078"/>
    <tableColumn id="5110" xr3:uid="{74364342-DD7E-4630-BF1F-0062704FA891}" name="Column5079"/>
    <tableColumn id="5111" xr3:uid="{566FB65E-465F-4251-8CE2-FC463CF0DE6A}" name="Column5080"/>
    <tableColumn id="5112" xr3:uid="{B992EF2A-7F7B-4C80-AA31-4463625B04C7}" name="Column5081"/>
    <tableColumn id="5113" xr3:uid="{4732C134-4F89-48C9-9527-0691815C2C88}" name="Column5082"/>
    <tableColumn id="5114" xr3:uid="{1A5C625B-ABF3-438E-99BE-6822E36B924D}" name="Column5083"/>
    <tableColumn id="5115" xr3:uid="{2A911726-09EC-4CFA-8431-3E4F833827A2}" name="Column5084"/>
    <tableColumn id="5116" xr3:uid="{6BF254EF-0D1C-4699-AB2A-DDB608FEDADD}" name="Column5085"/>
    <tableColumn id="5117" xr3:uid="{2D9F135E-7D3A-4841-BDD5-EEDCA73AA7AE}" name="Column5086"/>
    <tableColumn id="5118" xr3:uid="{EED62235-2987-4D91-A708-7A0478287A94}" name="Column5087"/>
    <tableColumn id="5119" xr3:uid="{30E01C3F-154B-43A7-881A-84D09450664D}" name="Column5088"/>
    <tableColumn id="5120" xr3:uid="{8D00FFFC-DE44-48C7-AAA7-1D5058A8595D}" name="Column5089"/>
    <tableColumn id="5121" xr3:uid="{1DE52AF4-B512-442D-9466-0DEBC1B00DBF}" name="Column5090"/>
    <tableColumn id="5122" xr3:uid="{826C02BD-0514-4D1B-BFD6-AD5D7555C893}" name="Column5091"/>
    <tableColumn id="5123" xr3:uid="{89659F20-AAAA-4F28-8FDD-CC2C86884EE3}" name="Column5092"/>
    <tableColumn id="5124" xr3:uid="{98F15788-E535-4F43-BFB8-8BD2CA2A928D}" name="Column5093"/>
    <tableColumn id="5125" xr3:uid="{344CC5D3-FCD0-409F-8C92-A3EA245D688C}" name="Column5094"/>
    <tableColumn id="5126" xr3:uid="{14FEA00C-F427-489A-B9D8-53E09F20FB0B}" name="Column5095"/>
    <tableColumn id="5127" xr3:uid="{FB9C04BC-4491-4E85-A433-15DE369E6657}" name="Column5096"/>
    <tableColumn id="5128" xr3:uid="{BFA11C5E-292C-4EE8-9E47-69D690B7CEBF}" name="Column5097"/>
    <tableColumn id="5129" xr3:uid="{C3CF790A-E62F-4A03-99B9-8D05312948C5}" name="Column5098"/>
    <tableColumn id="5130" xr3:uid="{3C267635-44BD-45F6-A3C1-71D348B23A82}" name="Column5099"/>
    <tableColumn id="5131" xr3:uid="{6B5BB106-F12E-45B0-A994-2445517D77F4}" name="Column5100"/>
    <tableColumn id="5132" xr3:uid="{E3502B47-057B-4D72-B0E1-99E3AA66AEC6}" name="Column5101"/>
    <tableColumn id="5133" xr3:uid="{12AF9C47-09B2-4952-877A-B84DB32CC91E}" name="Column5102"/>
    <tableColumn id="5134" xr3:uid="{C80611D0-0801-4111-A496-5C131D0508B3}" name="Column5103"/>
    <tableColumn id="5135" xr3:uid="{5233DE27-5B5F-481A-A95E-753A77DEAB2E}" name="Column5104"/>
    <tableColumn id="5136" xr3:uid="{8187E014-8827-449E-BD26-D742A8D1E410}" name="Column5105"/>
    <tableColumn id="5137" xr3:uid="{ACBF8183-E7E6-4EAA-9BDE-D13412420FD7}" name="Column5106"/>
    <tableColumn id="5138" xr3:uid="{28D53D0D-3807-4640-B7E1-85AC3C98FF45}" name="Column5107"/>
    <tableColumn id="5139" xr3:uid="{AA126FAA-98A4-4CAC-B2E6-020043DDC47B}" name="Column5108"/>
    <tableColumn id="5140" xr3:uid="{05AC0844-3D07-44A4-9E06-A4AD1113812A}" name="Column5109"/>
    <tableColumn id="5141" xr3:uid="{1937C0E2-0FF0-493D-B449-8AA21B1095FE}" name="Column5110"/>
    <tableColumn id="5142" xr3:uid="{A28E3B77-E44B-4824-8CED-3072F5F23F4E}" name="Column5111"/>
    <tableColumn id="5143" xr3:uid="{9D031D9C-6CA1-4AE4-A2C2-0402758BE304}" name="Column5112"/>
    <tableColumn id="5144" xr3:uid="{60EEB257-5DE8-40E0-8842-68131FB5CB5B}" name="Column5113"/>
    <tableColumn id="5145" xr3:uid="{EC23DF5A-F9C8-443E-B474-35F6C478CAAC}" name="Column5114"/>
    <tableColumn id="5146" xr3:uid="{BE1A59FE-79CD-442D-BE59-E9B3058736B3}" name="Column5115"/>
    <tableColumn id="5147" xr3:uid="{46979EEB-401C-40DA-AB76-48180C84F541}" name="Column5116"/>
    <tableColumn id="5148" xr3:uid="{9AF18DB2-93E8-464C-900D-2D9C746BBB52}" name="Column5117"/>
    <tableColumn id="5149" xr3:uid="{198C6B38-C357-4E6D-A6F1-974D1D856A69}" name="Column5118"/>
    <tableColumn id="5150" xr3:uid="{959643B3-24CD-43D5-9E5D-91547FA2F1F7}" name="Column5119"/>
    <tableColumn id="5151" xr3:uid="{6DAC519E-6BA6-4F25-95E7-83D82560550D}" name="Column5120"/>
    <tableColumn id="5152" xr3:uid="{D315B1DB-C44B-4097-B3B5-2DE416589CEF}" name="Column5121"/>
    <tableColumn id="5153" xr3:uid="{3281655B-A39E-4297-9156-9005922B2CEA}" name="Column5122"/>
    <tableColumn id="5154" xr3:uid="{2CAE41F5-67C9-4D7E-B182-4E71E422C12C}" name="Column5123"/>
    <tableColumn id="5155" xr3:uid="{854C8C89-64F2-4307-9C81-0A604E858FCC}" name="Column5124"/>
    <tableColumn id="5156" xr3:uid="{B3357347-9D12-405C-81E0-98B9A6623D86}" name="Column5125"/>
    <tableColumn id="5157" xr3:uid="{701BFBB7-D771-43CB-B22C-4C17A89F34E6}" name="Column5126"/>
    <tableColumn id="5158" xr3:uid="{05A240CF-7EB7-428D-92AE-E63EED5DB28C}" name="Column5127"/>
    <tableColumn id="5159" xr3:uid="{E2694B1E-FA7D-4588-846E-DAD3E5DB010D}" name="Column5128"/>
    <tableColumn id="5160" xr3:uid="{9EF44E8E-7393-48D5-9B4B-071A247FD6E3}" name="Column5129"/>
    <tableColumn id="5161" xr3:uid="{450862BD-8C3F-41B0-81D5-F0523FA602EA}" name="Column5130"/>
    <tableColumn id="5162" xr3:uid="{356F640C-A2AF-4E0F-9A0E-96DDC29FCEFC}" name="Column5131"/>
    <tableColumn id="5163" xr3:uid="{2EBE9358-14C6-467E-ACF5-A4045E72251A}" name="Column5132"/>
    <tableColumn id="5164" xr3:uid="{63F4A401-19B2-41CE-9339-B6ABC2E34E20}" name="Column5133"/>
    <tableColumn id="5165" xr3:uid="{6B8049FE-D039-450D-A9EF-A33120FC798D}" name="Column5134"/>
    <tableColumn id="5166" xr3:uid="{FA49CE6F-90F3-4B71-8E73-C7B8616ED8AB}" name="Column5135"/>
    <tableColumn id="5167" xr3:uid="{100E0E6A-C94B-4C3D-A3FA-BFA72B2703BE}" name="Column5136"/>
    <tableColumn id="5168" xr3:uid="{361B4D42-B5F1-40E3-A48C-909A860BEBF8}" name="Column5137"/>
    <tableColumn id="5169" xr3:uid="{86935050-2F73-40B8-B2F3-D524164721D8}" name="Column5138"/>
    <tableColumn id="5170" xr3:uid="{669742E7-0EF8-4FAE-B17D-145BAD470275}" name="Column5139"/>
    <tableColumn id="5171" xr3:uid="{D0954006-01D5-45FA-B14D-68F99B73325A}" name="Column5140"/>
    <tableColumn id="5172" xr3:uid="{8FA5A8BF-813D-4829-B97F-67B6F1769F9E}" name="Column5141"/>
    <tableColumn id="5173" xr3:uid="{41ED795B-B18B-4FB7-B56B-D6369E180470}" name="Column5142"/>
    <tableColumn id="5174" xr3:uid="{64A36616-860F-48E5-A74E-BBEA3E74910A}" name="Column5143"/>
    <tableColumn id="5175" xr3:uid="{909F5517-3D8F-4DE1-83F4-870500B47E58}" name="Column5144"/>
    <tableColumn id="5176" xr3:uid="{32B54DA8-5B11-4878-A67C-3791076F71B2}" name="Column5145"/>
    <tableColumn id="5177" xr3:uid="{D3C1AEE6-2AD9-4A68-8EFF-1EDF2908C264}" name="Column5146"/>
    <tableColumn id="5178" xr3:uid="{5140095D-69F4-4EFC-8BC4-61B5311A5333}" name="Column5147"/>
    <tableColumn id="5179" xr3:uid="{B421EB8E-9AB2-4A55-AF1F-02B69068D3A7}" name="Column5148"/>
    <tableColumn id="5180" xr3:uid="{1DE70362-B506-4C9C-83C4-EBFA1762FFC2}" name="Column5149"/>
    <tableColumn id="5181" xr3:uid="{364418BE-D8C5-4F9F-942D-D429CBB85663}" name="Column5150"/>
    <tableColumn id="5182" xr3:uid="{A44468B8-3337-4F7C-8DF4-9E0053192F59}" name="Column5151"/>
    <tableColumn id="5183" xr3:uid="{FE04045C-0832-4F65-AEDF-EEC0FB40DB6D}" name="Column5152"/>
    <tableColumn id="5184" xr3:uid="{3E21EE47-636F-4749-B295-CBB030B50138}" name="Column5153"/>
    <tableColumn id="5185" xr3:uid="{CEFA7F54-9FCA-4836-957B-604F77B7ED34}" name="Column5154"/>
    <tableColumn id="5186" xr3:uid="{EF7739E1-EDB7-4ECF-AF35-3C16EC7A1F71}" name="Column5155"/>
    <tableColumn id="5187" xr3:uid="{71087F77-D510-43EE-968B-715FC3042D4A}" name="Column5156"/>
    <tableColumn id="5188" xr3:uid="{5243200B-F5B3-41A1-BE9F-207A1C2C6682}" name="Column5157"/>
    <tableColumn id="5189" xr3:uid="{32C8B69F-31A0-413F-9D68-CF3F6877CB1A}" name="Column5158"/>
    <tableColumn id="5190" xr3:uid="{8EB53A52-FA0A-417E-9D45-4F4A590FEED0}" name="Column5159"/>
    <tableColumn id="5191" xr3:uid="{9AF4F251-4D94-4039-A033-7169A5092C8A}" name="Column5160"/>
    <tableColumn id="5192" xr3:uid="{999475A5-3157-4E08-82C2-B640C60B7515}" name="Column5161"/>
    <tableColumn id="5193" xr3:uid="{2E9F5BF1-BE9E-463C-A042-3CA48F3B0894}" name="Column5162"/>
    <tableColumn id="5194" xr3:uid="{A6BF4ECB-4DD7-4FBC-A974-ED0FDA8C4253}" name="Column5163"/>
    <tableColumn id="5195" xr3:uid="{01DF37B6-D778-40F5-8DF1-F0550637641C}" name="Column5164"/>
    <tableColumn id="5196" xr3:uid="{E0DB507B-465C-4203-A050-BF6F9D441DA1}" name="Column5165"/>
    <tableColumn id="5197" xr3:uid="{7E980DD9-B624-44E9-8F3A-9CDC2B1913DF}" name="Column5166"/>
    <tableColumn id="5198" xr3:uid="{CBF78077-08FE-4FE8-8777-D7D5E1637584}" name="Column5167"/>
    <tableColumn id="5199" xr3:uid="{659208A9-CC2C-4B6B-B3A3-F714A41846D4}" name="Column5168"/>
    <tableColumn id="5200" xr3:uid="{3FB7941C-942F-4EFD-8F70-1CE689D5EA08}" name="Column5169"/>
    <tableColumn id="5201" xr3:uid="{8AD28E48-3CE1-4904-8E0E-D6EACE2552CF}" name="Column5170"/>
    <tableColumn id="5202" xr3:uid="{17752C29-6AA5-49DC-87B8-B00A9EDD85A3}" name="Column5171"/>
    <tableColumn id="5203" xr3:uid="{154A80DC-CA6F-4A77-9860-554142B01E41}" name="Column5172"/>
    <tableColumn id="5204" xr3:uid="{41D44393-9595-47E8-B904-AB1010B5DF2F}" name="Column5173"/>
    <tableColumn id="5205" xr3:uid="{BF632599-CD56-4145-94DD-02962B46D683}" name="Column5174"/>
    <tableColumn id="5206" xr3:uid="{D40BC1E6-08CD-46DA-8AFB-61D217214443}" name="Column5175"/>
    <tableColumn id="5207" xr3:uid="{30DFE9C7-42FC-4B9A-A4D0-D40EFF64BD23}" name="Column5176"/>
    <tableColumn id="5208" xr3:uid="{C381C8B9-5164-4591-A751-A188073F3E12}" name="Column5177"/>
    <tableColumn id="5209" xr3:uid="{F551CC29-BCA0-4CB6-905B-E728F5A67261}" name="Column5178"/>
    <tableColumn id="5210" xr3:uid="{13854DAA-AB13-45F5-BC96-8B6575E9BD1E}" name="Column5179"/>
    <tableColumn id="5211" xr3:uid="{337EC86A-9DCD-42A8-A55E-B2356C786377}" name="Column5180"/>
    <tableColumn id="5212" xr3:uid="{E7F7417E-50F6-4774-8239-3F146B478EDD}" name="Column5181"/>
    <tableColumn id="5213" xr3:uid="{0522081E-A9A3-4D3C-9278-682537C4AC8D}" name="Column5182"/>
    <tableColumn id="5214" xr3:uid="{963AE2CC-D9FD-4F69-8B90-64040FEFC20D}" name="Column5183"/>
    <tableColumn id="5215" xr3:uid="{E77AB785-39D0-4A37-A534-EAAB8C85692F}" name="Column5184"/>
    <tableColumn id="5216" xr3:uid="{060B60D3-78BC-4BFD-919F-389827AE89DD}" name="Column5185"/>
    <tableColumn id="5217" xr3:uid="{FA3F4A02-C005-4F23-9C2E-FDA2598ED4C3}" name="Column5186"/>
    <tableColumn id="5218" xr3:uid="{D23B68B6-B41E-49F0-A84C-87A3FEE49204}" name="Column5187"/>
    <tableColumn id="5219" xr3:uid="{BDFE4F28-12BD-41C8-A033-CAE1BDEB126B}" name="Column5188"/>
    <tableColumn id="5220" xr3:uid="{4E290F2B-9F18-474E-B9C8-4BBED05C91C9}" name="Column5189"/>
    <tableColumn id="5221" xr3:uid="{08161912-4716-4BA7-B7A6-2640B4DAAA63}" name="Column5190"/>
    <tableColumn id="5222" xr3:uid="{FDE3A2ED-5D6B-45DA-94F2-F97DB437D685}" name="Column5191"/>
    <tableColumn id="5223" xr3:uid="{B93A0904-8A27-4E22-946B-2782A68B6A64}" name="Column5192"/>
    <tableColumn id="5224" xr3:uid="{021697D2-8882-4177-B373-059A84D5CA28}" name="Column5193"/>
    <tableColumn id="5225" xr3:uid="{7EED8D01-D8A5-477A-A264-29F6B784E29E}" name="Column5194"/>
    <tableColumn id="5226" xr3:uid="{3F915329-4EC4-4B03-9344-8D9BAE10B433}" name="Column5195"/>
    <tableColumn id="5227" xr3:uid="{9FEEE492-B362-432D-B252-858AD969D117}" name="Column5196"/>
    <tableColumn id="5228" xr3:uid="{8AD0C0F1-3F94-4DD5-9318-D0DF7053BB29}" name="Column5197"/>
    <tableColumn id="5229" xr3:uid="{4FA89FED-CD4E-45E5-B443-1E731BF6080C}" name="Column5198"/>
    <tableColumn id="5230" xr3:uid="{C1429C45-4D9D-4010-9CFB-F054495F67D5}" name="Column5199"/>
    <tableColumn id="5231" xr3:uid="{C004982B-D3E2-414C-BADA-5672FB900586}" name="Column5200"/>
    <tableColumn id="5232" xr3:uid="{109E565B-EC37-4BCA-ABEA-0A2CD9BB0194}" name="Column5201"/>
    <tableColumn id="5233" xr3:uid="{40BBF0C6-B4B0-4322-8F58-757E6334CECE}" name="Column5202"/>
    <tableColumn id="5234" xr3:uid="{1D7D29B1-D88C-482B-B8FB-FDF8CC1B9B6F}" name="Column5203"/>
    <tableColumn id="5235" xr3:uid="{86831FFF-8E1A-467F-93B0-A4F465BFDB96}" name="Column5204"/>
    <tableColumn id="5236" xr3:uid="{520DD658-E40D-4ECE-A743-16C1773BB9F6}" name="Column5205"/>
    <tableColumn id="5237" xr3:uid="{8D6914BE-AD67-4178-BAAE-747D5CAB4FF8}" name="Column5206"/>
    <tableColumn id="5238" xr3:uid="{915A958B-B848-4F80-829A-900EC36CC2C9}" name="Column5207"/>
    <tableColumn id="5239" xr3:uid="{379807FC-0388-4374-9CE5-95C7559A957B}" name="Column5208"/>
    <tableColumn id="5240" xr3:uid="{F27A89F3-B32B-4A0E-B27E-3BE1A078CC6C}" name="Column5209"/>
    <tableColumn id="5241" xr3:uid="{DCAC0FF6-8AA5-4356-A80C-7B45F3F7C067}" name="Column5210"/>
    <tableColumn id="5242" xr3:uid="{FED32224-E74E-4FE7-9C86-FC22EE20320A}" name="Column5211"/>
    <tableColumn id="5243" xr3:uid="{EA21563B-EDF7-47FD-B599-31E97B581FD8}" name="Column5212"/>
    <tableColumn id="5244" xr3:uid="{C69938D7-9D60-47CB-8027-72844C9D8B44}" name="Column5213"/>
    <tableColumn id="5245" xr3:uid="{A9D66686-C14C-4DD5-892D-96E8C6D122D7}" name="Column5214"/>
    <tableColumn id="5246" xr3:uid="{774E8AF1-9FC1-4CEF-B89B-87A09D2881C4}" name="Column5215"/>
    <tableColumn id="5247" xr3:uid="{67E9CF7D-0D99-41F7-B463-5ADFC1C23A89}" name="Column5216"/>
    <tableColumn id="5248" xr3:uid="{86FB7FEF-D233-4982-B883-762350E54B38}" name="Column5217"/>
    <tableColumn id="5249" xr3:uid="{A6371FD0-F1E5-45FC-A315-83EA10B12EB3}" name="Column5218"/>
    <tableColumn id="5250" xr3:uid="{F734A0D0-C4F0-4C2C-ABE8-5ECD208F2E1C}" name="Column5219"/>
    <tableColumn id="5251" xr3:uid="{3BC01D88-DA54-4CEF-896D-1E6459DF99E6}" name="Column5220"/>
    <tableColumn id="5252" xr3:uid="{54646BF9-010E-440E-AC2D-0187A4235677}" name="Column5221"/>
    <tableColumn id="5253" xr3:uid="{AF20C7A9-5230-43E3-92AA-91389A985EC7}" name="Column5222"/>
    <tableColumn id="5254" xr3:uid="{BBF91335-DC0F-478C-99DE-ABD269E5D92D}" name="Column5223"/>
    <tableColumn id="5255" xr3:uid="{02EECEC0-9A80-4608-A8C5-3B9A9EC6B24E}" name="Column5224"/>
    <tableColumn id="5256" xr3:uid="{9026C8E3-A9F8-437E-A5AF-1D88C3A11A65}" name="Column5225"/>
    <tableColumn id="5257" xr3:uid="{43EDBDA1-038E-400D-9551-1326FA7163CE}" name="Column5226"/>
    <tableColumn id="5258" xr3:uid="{DAEFB8F0-3148-4A8F-9DAB-98F62D5FD03D}" name="Column5227"/>
    <tableColumn id="5259" xr3:uid="{3AA38E5A-1EC0-437A-9534-92BC33E059FF}" name="Column5228"/>
    <tableColumn id="5260" xr3:uid="{F5499B99-7839-4A94-9BC6-6DE2DD4F4852}" name="Column5229"/>
    <tableColumn id="5261" xr3:uid="{FB64224C-9601-4052-BEA2-448164892140}" name="Column5230"/>
    <tableColumn id="5262" xr3:uid="{84045273-AB44-4FA2-9900-6FBA3CC5CA03}" name="Column5231"/>
    <tableColumn id="5263" xr3:uid="{6135E20A-5F94-44FC-A761-A9F38E4EBC22}" name="Column5232"/>
    <tableColumn id="5264" xr3:uid="{E83C6A30-9337-49C6-9380-A084F9F33787}" name="Column5233"/>
    <tableColumn id="5265" xr3:uid="{CE0A3648-1B4E-44C9-A313-1FA8A59B2735}" name="Column5234"/>
    <tableColumn id="5266" xr3:uid="{890977E0-F615-4820-9E4F-2659A835426C}" name="Column5235"/>
    <tableColumn id="5267" xr3:uid="{056AEDEE-DC73-442B-B0BF-BBA3ACA9446F}" name="Column5236"/>
    <tableColumn id="5268" xr3:uid="{8E76A4BA-9923-4FAC-862A-E1B4371DD0E9}" name="Column5237"/>
    <tableColumn id="5269" xr3:uid="{623B66C0-7A75-47A3-A1AB-CA3CA85D2896}" name="Column5238"/>
    <tableColumn id="5270" xr3:uid="{97DFE9C9-E1BB-472B-877D-DE32DA037665}" name="Column5239"/>
    <tableColumn id="5271" xr3:uid="{D502C4CF-EF9F-4576-9E7C-D2E325038372}" name="Column5240"/>
    <tableColumn id="5272" xr3:uid="{690A56D6-08D8-45DE-8A8B-0BB1895FCEE6}" name="Column5241"/>
    <tableColumn id="5273" xr3:uid="{025A7F7B-F7BB-4CB3-BDEA-5B522F5FCF8D}" name="Column5242"/>
    <tableColumn id="5274" xr3:uid="{19419191-44C3-4815-9CE8-DB40803BE2BB}" name="Column5243"/>
    <tableColumn id="5275" xr3:uid="{239DFBF3-3418-449B-95C3-61F123C992F8}" name="Column5244"/>
    <tableColumn id="5276" xr3:uid="{54DF6CDA-8FD3-4E80-805A-EE9AF6DCA1A9}" name="Column5245"/>
    <tableColumn id="5277" xr3:uid="{F350CF0C-7500-465A-A06F-3B8136E5B950}" name="Column5246"/>
    <tableColumn id="5278" xr3:uid="{9E9A25DE-F485-48C9-B570-ABC47C3B13D7}" name="Column5247"/>
    <tableColumn id="5279" xr3:uid="{A2CD0672-B9F8-4127-8B7D-D41C6C00158E}" name="Column5248"/>
    <tableColumn id="5280" xr3:uid="{EF02A8C2-EBC3-4581-8057-9A28F9626569}" name="Column5249"/>
    <tableColumn id="5281" xr3:uid="{A4E59661-EB95-48AF-A6EA-BECCC918A718}" name="Column5250"/>
    <tableColumn id="5282" xr3:uid="{69E87129-9BC4-4036-AD93-1B54BC04B5A6}" name="Column5251"/>
    <tableColumn id="5283" xr3:uid="{7B3AB011-4614-45B2-979D-46B6175C17F4}" name="Column5252"/>
    <tableColumn id="5284" xr3:uid="{E15F8681-2A65-4867-9C80-65F8ACC2BACA}" name="Column5253"/>
    <tableColumn id="5285" xr3:uid="{A1420034-5F0A-4329-82FA-CE50BB8706B3}" name="Column5254"/>
    <tableColumn id="5286" xr3:uid="{441481D5-BC5A-4573-8300-96ABE8463264}" name="Column5255"/>
    <tableColumn id="5287" xr3:uid="{FA2621DB-80E8-4193-AC02-81AB8BBCF940}" name="Column5256"/>
    <tableColumn id="5288" xr3:uid="{D95A0925-6ECD-44DD-A9E0-55EA1E6956B4}" name="Column5257"/>
    <tableColumn id="5289" xr3:uid="{4CB440E6-3187-472A-8DFB-2F3EE5C15B8E}" name="Column5258"/>
    <tableColumn id="5290" xr3:uid="{9F4E6236-1E75-420B-8586-D45484179E87}" name="Column5259"/>
    <tableColumn id="5291" xr3:uid="{77E71D46-D3BF-4663-A12A-9ED6CE533789}" name="Column5260"/>
    <tableColumn id="5292" xr3:uid="{B5D70F6B-3B88-478A-A66C-011EC0E721EF}" name="Column5261"/>
    <tableColumn id="5293" xr3:uid="{FD2C2954-B127-4650-845E-4A1AA77647C0}" name="Column5262"/>
    <tableColumn id="5294" xr3:uid="{0774EBFE-5A0C-4F50-918F-4D09EECED7FC}" name="Column5263"/>
    <tableColumn id="5295" xr3:uid="{54907658-8E5A-40D3-914A-2EBBF8CB4E40}" name="Column5264"/>
    <tableColumn id="5296" xr3:uid="{F77CBD06-22DF-4763-BFB1-CED94E172427}" name="Column5265"/>
    <tableColumn id="5297" xr3:uid="{27B585A7-FE77-4C50-942D-B05608246F2E}" name="Column5266"/>
    <tableColumn id="5298" xr3:uid="{08AE4278-3574-4D9C-857F-9F5CD7403ECC}" name="Column5267"/>
    <tableColumn id="5299" xr3:uid="{B7039269-FF0E-4B9F-9FA4-0BCC53624517}" name="Column5268"/>
    <tableColumn id="5300" xr3:uid="{4E5F547E-3C7C-4BB1-9212-0DC353AA3ADF}" name="Column5269"/>
    <tableColumn id="5301" xr3:uid="{78F50E19-8029-4B38-B07E-2752D1DF8670}" name="Column5270"/>
    <tableColumn id="5302" xr3:uid="{B7654220-FAB3-4951-A526-226CACFE9E7F}" name="Column5271"/>
    <tableColumn id="5303" xr3:uid="{F7216998-19D9-4823-9AD7-4498100F8FC8}" name="Column5272"/>
    <tableColumn id="5304" xr3:uid="{C1CF6898-C1A2-402B-8503-E0E127C692D6}" name="Column5273"/>
    <tableColumn id="5305" xr3:uid="{A9292CBF-D782-4535-8EFF-074F4E36E158}" name="Column5274"/>
    <tableColumn id="5306" xr3:uid="{E96D6719-F28D-46C5-8D38-F1111D8031E7}" name="Column5275"/>
    <tableColumn id="5307" xr3:uid="{5DCA84A4-BA61-4EA6-AB1A-5504E7948D9C}" name="Column5276"/>
    <tableColumn id="5308" xr3:uid="{ECBD2254-A2C7-4054-92D5-F899986B813D}" name="Column5277"/>
    <tableColumn id="5309" xr3:uid="{9F7AE398-ABF0-4EF2-859C-C4EE7E43D11F}" name="Column5278"/>
    <tableColumn id="5310" xr3:uid="{CBB804CA-D54D-46A3-8F05-9228D995E478}" name="Column5279"/>
    <tableColumn id="5311" xr3:uid="{BA7B6774-FCFF-4DE6-98CB-6B859D82862A}" name="Column5280"/>
    <tableColumn id="5312" xr3:uid="{54086746-0CA7-4BF8-BE9D-FF0072AC3FD6}" name="Column5281"/>
    <tableColumn id="5313" xr3:uid="{31EE7533-1C9A-43C9-9DBA-25F5C99C0A5D}" name="Column5282"/>
    <tableColumn id="5314" xr3:uid="{444C0A25-AA8F-4962-A09C-A68943810BE3}" name="Column5283"/>
    <tableColumn id="5315" xr3:uid="{2DB0B531-E322-45F8-87F6-CBCF56127130}" name="Column5284"/>
    <tableColumn id="5316" xr3:uid="{E293FC22-8F7B-4757-94A9-68892E509E19}" name="Column5285"/>
    <tableColumn id="5317" xr3:uid="{39680151-341F-4276-B6B1-65671C920EC2}" name="Column5286"/>
    <tableColumn id="5318" xr3:uid="{47F3F532-4889-4F5E-9820-CB1A94F93987}" name="Column5287"/>
    <tableColumn id="5319" xr3:uid="{F0099B8E-1FAB-4E4C-925C-54005EF57668}" name="Column5288"/>
    <tableColumn id="5320" xr3:uid="{34743450-81DA-4C0A-A370-02A6C8F613DE}" name="Column5289"/>
    <tableColumn id="5321" xr3:uid="{7713A02A-D3A2-4F73-898B-432581512C70}" name="Column5290"/>
    <tableColumn id="5322" xr3:uid="{43C7DE80-8D9A-4593-ABB7-0AB3205E814D}" name="Column5291"/>
    <tableColumn id="5323" xr3:uid="{A932061C-CA75-4190-B906-A70796D94CEB}" name="Column5292"/>
    <tableColumn id="5324" xr3:uid="{3C7A3E62-C864-42EC-B0A3-AAFD30360FA5}" name="Column5293"/>
    <tableColumn id="5325" xr3:uid="{1202BB71-345F-4515-B2D7-F52E806C463B}" name="Column5294"/>
    <tableColumn id="5326" xr3:uid="{7954D441-251B-4BAE-B494-664F9511DC05}" name="Column5295"/>
    <tableColumn id="5327" xr3:uid="{EFB77358-930B-4DC1-A33C-51927AF85BEC}" name="Column5296"/>
    <tableColumn id="5328" xr3:uid="{E080E947-8A04-4FA5-B20F-79719337B3DF}" name="Column5297"/>
    <tableColumn id="5329" xr3:uid="{BED45F8C-6B57-4A9A-B775-E8D8CB5397B0}" name="Column5298"/>
    <tableColumn id="5330" xr3:uid="{A87AC7F5-0665-481E-A4B9-0DFEC69CB547}" name="Column5299"/>
    <tableColumn id="5331" xr3:uid="{76E01CEB-AB24-4D5F-BC2F-24FF076E9DB1}" name="Column5300"/>
    <tableColumn id="5332" xr3:uid="{2FD05B7A-2786-4168-B7CD-DD659FA30A1B}" name="Column5301"/>
    <tableColumn id="5333" xr3:uid="{310A1206-1366-4800-9E20-8C5A5E9F0A74}" name="Column5302"/>
    <tableColumn id="5334" xr3:uid="{0CD8EAAE-66D3-4880-9BF4-940C2B2D4F19}" name="Column5303"/>
    <tableColumn id="5335" xr3:uid="{44844B73-B5C6-47A7-9053-A9C313E247E3}" name="Column5304"/>
    <tableColumn id="5336" xr3:uid="{7C814CCA-22BE-4A90-B9BB-7E7780E8C058}" name="Column5305"/>
    <tableColumn id="5337" xr3:uid="{62BFFAE5-DF26-41FC-B167-1EA87B760F5C}" name="Column5306"/>
    <tableColumn id="5338" xr3:uid="{463D9406-CF8B-47CC-BCE9-34F0C9F77622}" name="Column5307"/>
    <tableColumn id="5339" xr3:uid="{0C015B0E-CBD2-40A4-84EC-494979B30CAB}" name="Column5308"/>
    <tableColumn id="5340" xr3:uid="{2FFB762B-29DD-4E4A-9EFA-742997CBA5AA}" name="Column5309"/>
    <tableColumn id="5341" xr3:uid="{F4199C7A-7F6E-4C01-ABBF-6CB0F0F4329C}" name="Column5310"/>
    <tableColumn id="5342" xr3:uid="{86A3ABF5-7189-4953-83A8-AB1D7B8E66CE}" name="Column5311"/>
    <tableColumn id="5343" xr3:uid="{91AF5BA0-A5BB-40CF-9136-F2E8E249D543}" name="Column5312"/>
    <tableColumn id="5344" xr3:uid="{184DC1DD-AC16-42DC-A7E3-0FFDDDA7249E}" name="Column5313"/>
    <tableColumn id="5345" xr3:uid="{58CFEE38-F3AE-42DE-A993-71D4F0A3ABB9}" name="Column5314"/>
    <tableColumn id="5346" xr3:uid="{F1233CA3-0EF7-44FD-A17E-FD44D262BA7D}" name="Column5315"/>
    <tableColumn id="5347" xr3:uid="{F172F076-9B13-45ED-AD4D-84FB65197828}" name="Column5316"/>
    <tableColumn id="5348" xr3:uid="{E5912861-1DF3-441A-9F48-F6922FAABC82}" name="Column5317"/>
    <tableColumn id="5349" xr3:uid="{23485307-AEA2-4686-8CDB-88C3F231C67B}" name="Column5318"/>
    <tableColumn id="5350" xr3:uid="{968DA04B-7B75-4F71-B1C3-E88B3B5BE489}" name="Column5319"/>
    <tableColumn id="5351" xr3:uid="{325407B5-D992-4635-9B97-24A9AECC1A04}" name="Column5320"/>
    <tableColumn id="5352" xr3:uid="{25D286B2-AD5A-40D4-97A3-B4D5B213BB45}" name="Column5321"/>
    <tableColumn id="5353" xr3:uid="{1C9D4EA8-A654-4404-8755-EEB95D3A3B42}" name="Column5322"/>
    <tableColumn id="5354" xr3:uid="{A032121A-DFED-4258-AE2C-C866D560EABA}" name="Column5323"/>
    <tableColumn id="5355" xr3:uid="{931ACC01-959F-4E65-8695-76DCC269F8DE}" name="Column5324"/>
    <tableColumn id="5356" xr3:uid="{CEB85E32-E158-479E-BA87-FB90A2567C1A}" name="Column5325"/>
    <tableColumn id="5357" xr3:uid="{D1EA8AAC-F829-4DBE-92F1-6268DC2E16B0}" name="Column5326"/>
    <tableColumn id="5358" xr3:uid="{99241DA7-245F-4B65-89E6-F15802948940}" name="Column5327"/>
    <tableColumn id="5359" xr3:uid="{DE1798FF-0519-49BE-82D3-71ED56BC41A8}" name="Column5328"/>
    <tableColumn id="5360" xr3:uid="{21B6524B-D19A-4948-B004-87FE93431382}" name="Column5329"/>
    <tableColumn id="5361" xr3:uid="{666E9E7A-C024-478D-8116-32096C988FE6}" name="Column5330"/>
    <tableColumn id="5362" xr3:uid="{C135C9A4-04CA-41CA-9D6F-9AA22F3D8FA9}" name="Column5331"/>
    <tableColumn id="5363" xr3:uid="{CF8D926E-811F-499F-A984-89AE833A3D93}" name="Column5332"/>
    <tableColumn id="5364" xr3:uid="{51430C4C-25A2-4A0B-8F65-CFEF246F5EFB}" name="Column5333"/>
    <tableColumn id="5365" xr3:uid="{0DEDEDA6-3ED6-4FC0-BF96-15937A71F4FE}" name="Column5334"/>
    <tableColumn id="5366" xr3:uid="{0A01453F-8175-4AAC-B809-04690E78F494}" name="Column5335"/>
    <tableColumn id="5367" xr3:uid="{C57BF865-CCC2-4CDC-A24C-146AE773E96A}" name="Column5336"/>
    <tableColumn id="5368" xr3:uid="{74948308-E12C-4914-8345-BEDC14F0EEFF}" name="Column5337"/>
    <tableColumn id="5369" xr3:uid="{BC7DFBD3-E59E-4C4C-95F3-B7A7484728C0}" name="Column5338"/>
    <tableColumn id="5370" xr3:uid="{34E3B419-FA9E-457B-8341-ADFF133523EC}" name="Column5339"/>
    <tableColumn id="5371" xr3:uid="{4AABB64A-AD77-4546-9D14-3E043663AB6C}" name="Column5340"/>
    <tableColumn id="5372" xr3:uid="{91C9C974-DF82-40AC-8E8A-FB83CEFF0B85}" name="Column5341"/>
    <tableColumn id="5373" xr3:uid="{EE64CFE9-01EB-4291-87BC-0C4B70B3F046}" name="Column5342"/>
    <tableColumn id="5374" xr3:uid="{51A2BF5C-3E50-49BF-A7B2-15D70A116AF3}" name="Column5343"/>
    <tableColumn id="5375" xr3:uid="{2E0CDB80-0722-4DB5-AC7B-71A94F7D0F51}" name="Column5344"/>
    <tableColumn id="5376" xr3:uid="{71471039-D5A6-4A42-98D3-03EF44675DE9}" name="Column5345"/>
    <tableColumn id="5377" xr3:uid="{22A6568C-0B78-429D-B0F8-A87538C7B6FC}" name="Column5346"/>
    <tableColumn id="5378" xr3:uid="{28CD7287-447D-4F62-AE6E-8ABA61B1B247}" name="Column5347"/>
    <tableColumn id="5379" xr3:uid="{FFB2B1CB-1193-4A7C-9D2C-BFB4443DB4C6}" name="Column5348"/>
    <tableColumn id="5380" xr3:uid="{3B68B03C-6661-4AF4-BD15-70F20A5E9B2E}" name="Column5349"/>
    <tableColumn id="5381" xr3:uid="{F65B68B8-86B6-4DD8-84C9-D72535393E9E}" name="Column5350"/>
    <tableColumn id="5382" xr3:uid="{8380EE39-8B8B-41A5-AC85-9F23D4C0F5A0}" name="Column5351"/>
    <tableColumn id="5383" xr3:uid="{655E7F66-4562-4F7C-90E0-D0E1AC985003}" name="Column5352"/>
    <tableColumn id="5384" xr3:uid="{7B37BAE0-3CB1-435B-97F8-900E32DEC5A0}" name="Column5353"/>
    <tableColumn id="5385" xr3:uid="{EE1EC5B1-7732-4092-A69B-4779F47E1847}" name="Column5354"/>
    <tableColumn id="5386" xr3:uid="{6DDA3EBA-12E3-4D8D-8111-C31FC3693C7E}" name="Column5355"/>
    <tableColumn id="5387" xr3:uid="{11B6CE75-2046-44AE-95EC-B5FB5A58169C}" name="Column5356"/>
    <tableColumn id="5388" xr3:uid="{E992AB62-1765-4906-8CDB-1E43542CA0C1}" name="Column5357"/>
    <tableColumn id="5389" xr3:uid="{AC983674-A6C2-4307-B8E9-3C08DF385EA0}" name="Column5358"/>
    <tableColumn id="5390" xr3:uid="{E16D30CB-9E43-4EE8-AA35-C4A73E0D7493}" name="Column5359"/>
    <tableColumn id="5391" xr3:uid="{6920BC97-430D-4CC3-A13C-08C2F67BFF77}" name="Column5360"/>
    <tableColumn id="5392" xr3:uid="{316C0898-F3B5-44DB-A1A3-5C8DB33CD65D}" name="Column5361"/>
    <tableColumn id="5393" xr3:uid="{5528F3EC-FD0D-49B7-9120-C50B740BC959}" name="Column5362"/>
    <tableColumn id="5394" xr3:uid="{CD3278FC-B898-42D1-B7E4-E54AD605CBFC}" name="Column5363"/>
    <tableColumn id="5395" xr3:uid="{C77F0DC7-6817-43FD-BE11-F62A77472A11}" name="Column5364"/>
    <tableColumn id="5396" xr3:uid="{21993CEF-E0AB-482B-ADE5-392638E6A78D}" name="Column5365"/>
    <tableColumn id="5397" xr3:uid="{82DBD022-10E4-46F5-BFB7-8944C80AFB41}" name="Column5366"/>
    <tableColumn id="5398" xr3:uid="{7D5E834C-F084-4AA1-9F00-191AD0AFBC8D}" name="Column5367"/>
    <tableColumn id="5399" xr3:uid="{3AF5E7C2-566B-409F-90B7-3D6AA675B1D3}" name="Column5368"/>
    <tableColumn id="5400" xr3:uid="{1BA33D1F-075D-44EB-A300-C16C61AC214F}" name="Column5369"/>
    <tableColumn id="5401" xr3:uid="{E7858E94-D1B2-4D10-8C7B-527399FFA0CF}" name="Column5370"/>
    <tableColumn id="5402" xr3:uid="{A5413710-7BEF-42C5-8C3C-CDF81122F696}" name="Column5371"/>
    <tableColumn id="5403" xr3:uid="{9E7ACAB8-6E97-417D-B0C9-0B07563310CC}" name="Column5372"/>
    <tableColumn id="5404" xr3:uid="{44230EE5-CA2B-4067-8DCA-666A5958B342}" name="Column5373"/>
    <tableColumn id="5405" xr3:uid="{2D149D39-8EAD-4AA3-A8D9-CACA75FD81D3}" name="Column5374"/>
    <tableColumn id="5406" xr3:uid="{6C5E20DB-3A7A-42DB-A0C9-585AB1DDB878}" name="Column5375"/>
    <tableColumn id="5407" xr3:uid="{386210C2-6322-4AFE-B189-69D94E085269}" name="Column5376"/>
    <tableColumn id="5408" xr3:uid="{B1A107A3-6977-437A-A04E-15CA0EE753A7}" name="Column5377"/>
    <tableColumn id="5409" xr3:uid="{B8BCAE8A-89DA-40DD-A266-BE1F01369426}" name="Column5378"/>
    <tableColumn id="5410" xr3:uid="{E3D3FFF3-C1F3-440C-83DF-CF79A58DA822}" name="Column5379"/>
    <tableColumn id="5411" xr3:uid="{6D2CC6D9-54E9-4F21-BB3C-776E68652706}" name="Column5380"/>
    <tableColumn id="5412" xr3:uid="{183402F1-245F-48D5-A93C-C50EF9CE9567}" name="Column5381"/>
    <tableColumn id="5413" xr3:uid="{EFCCF492-84A6-47C9-99FF-D28D3AB6728F}" name="Column5382"/>
    <tableColumn id="5414" xr3:uid="{AF65AE16-703E-480B-A074-4F2E52307E2B}" name="Column5383"/>
    <tableColumn id="5415" xr3:uid="{C530C005-C18C-446E-995E-E776CFE28A35}" name="Column5384"/>
    <tableColumn id="5416" xr3:uid="{8624D631-D951-44FD-978B-C9C9B6C871B0}" name="Column5385"/>
    <tableColumn id="5417" xr3:uid="{29629750-C1B3-4E73-97D3-D7B24CB03BBE}" name="Column5386"/>
    <tableColumn id="5418" xr3:uid="{E692A2FE-FA18-49F9-9E55-48417590567C}" name="Column5387"/>
    <tableColumn id="5419" xr3:uid="{09D36319-30E9-48B4-8072-D44B900C048E}" name="Column5388"/>
    <tableColumn id="5420" xr3:uid="{0808C0CE-DAE7-4E4F-809B-C2BDA49079FB}" name="Column5389"/>
    <tableColumn id="5421" xr3:uid="{A673EA4B-E746-4D5A-810B-345E8090F858}" name="Column5390"/>
    <tableColumn id="5422" xr3:uid="{261C0A37-BF22-4716-881A-B9ADB7CE4DFF}" name="Column5391"/>
    <tableColumn id="5423" xr3:uid="{FFB3521B-30AE-41A5-905C-F46A2BEC0ED4}" name="Column5392"/>
    <tableColumn id="5424" xr3:uid="{E11F0E18-0FAE-46EE-93D8-39D151204FDC}" name="Column5393"/>
    <tableColumn id="5425" xr3:uid="{A1E2E9C5-0714-4D94-83EE-B4BB3CDBA1E8}" name="Column5394"/>
    <tableColumn id="5426" xr3:uid="{BA3E3D39-3684-4DF0-BFF4-6618A2CC68E8}" name="Column5395"/>
    <tableColumn id="5427" xr3:uid="{4DD1FDD8-F822-4CB7-81B6-56DD29DBB310}" name="Column5396"/>
    <tableColumn id="5428" xr3:uid="{BCD00FC7-55CE-4189-A8CD-94BF1E076F6F}" name="Column5397"/>
    <tableColumn id="5429" xr3:uid="{423F783C-5ECD-4EC1-B978-85E86CEBB858}" name="Column5398"/>
    <tableColumn id="5430" xr3:uid="{B717B7AE-1113-4948-9CAC-1FD2B180E990}" name="Column5399"/>
    <tableColumn id="5431" xr3:uid="{DAEC76BA-8783-4A22-A8AF-E7770C50737C}" name="Column5400"/>
    <tableColumn id="5432" xr3:uid="{A50A5DE6-6E46-45EC-9117-D9CF5FC14B86}" name="Column5401"/>
    <tableColumn id="5433" xr3:uid="{C588C329-E5F0-4734-9B36-A1C9BF7D18C7}" name="Column5402"/>
    <tableColumn id="5434" xr3:uid="{A7440759-FC45-42E8-8D82-F106F56C1DC4}" name="Column5403"/>
    <tableColumn id="5435" xr3:uid="{35A53EB3-4C9F-4389-A981-DAE5CF3C6A7C}" name="Column5404"/>
    <tableColumn id="5436" xr3:uid="{E2F2DC66-D34C-4C5F-800C-CE2C62F59787}" name="Column5405"/>
    <tableColumn id="5437" xr3:uid="{3CF22EFE-3566-4105-B182-A93C39550356}" name="Column5406"/>
    <tableColumn id="5438" xr3:uid="{107AF786-4690-4B34-B422-E70B7B13C0B4}" name="Column5407"/>
    <tableColumn id="5439" xr3:uid="{4B554404-586C-44B4-82FB-01A5CC9BA536}" name="Column5408"/>
    <tableColumn id="5440" xr3:uid="{6BEEFFBA-3D48-421A-A363-8B0EEB28FD83}" name="Column5409"/>
    <tableColumn id="5441" xr3:uid="{4C3906C7-2627-47F9-B4EC-C79DD04844E3}" name="Column5410"/>
    <tableColumn id="5442" xr3:uid="{387F35D0-02F3-44DA-9F81-A25E91E1BDB9}" name="Column5411"/>
    <tableColumn id="5443" xr3:uid="{E283C49C-F9BE-4022-A77A-FFF5AB8E273B}" name="Column5412"/>
    <tableColumn id="5444" xr3:uid="{6114A0D8-0AC4-432F-A20B-A00950590F89}" name="Column5413"/>
    <tableColumn id="5445" xr3:uid="{CEFC80F3-0341-46CD-9E4B-AB8D37354F14}" name="Column5414"/>
    <tableColumn id="5446" xr3:uid="{3C2DC753-08F9-4B47-8A09-BD4E9368A3A4}" name="Column5415"/>
    <tableColumn id="5447" xr3:uid="{78A8D673-91F1-4381-86CF-4BA956118776}" name="Column5416"/>
    <tableColumn id="5448" xr3:uid="{4F8CECF2-E2CB-4DEE-A83B-7CBD42DFEE23}" name="Column5417"/>
    <tableColumn id="5449" xr3:uid="{F78D35A9-6893-4763-8DB0-820CFF01CA95}" name="Column5418"/>
    <tableColumn id="5450" xr3:uid="{5D092C16-F534-436B-994C-87278071ABBF}" name="Column5419"/>
    <tableColumn id="5451" xr3:uid="{EFD59E79-ABEC-4412-A3EB-1211E940D402}" name="Column5420"/>
    <tableColumn id="5452" xr3:uid="{EEF7BA58-A974-4573-9675-4D31E7B068A7}" name="Column5421"/>
    <tableColumn id="5453" xr3:uid="{103AB21F-DFCD-491A-8267-F11D336D81EE}" name="Column5422"/>
    <tableColumn id="5454" xr3:uid="{99191C94-CAC4-41B3-8AEA-6E65FC735D5C}" name="Column5423"/>
    <tableColumn id="5455" xr3:uid="{6DBD7921-0379-490B-B9BB-11A807B89667}" name="Column5424"/>
    <tableColumn id="5456" xr3:uid="{60750CB0-98D2-4076-B442-BAA21DC9E9AE}" name="Column5425"/>
    <tableColumn id="5457" xr3:uid="{EE11D822-00B1-44D5-88DA-5FAFB51E96EA}" name="Column5426"/>
    <tableColumn id="5458" xr3:uid="{EE4B5AC1-DEAF-4A39-87FD-C770BCA99A02}" name="Column5427"/>
    <tableColumn id="5459" xr3:uid="{3F886349-47C4-4781-AE59-F3B4277B7F0E}" name="Column5428"/>
    <tableColumn id="5460" xr3:uid="{1199E312-0B75-44AE-9DAB-074DDE2225C8}" name="Column5429"/>
    <tableColumn id="5461" xr3:uid="{7D8F8F80-622A-4A0F-B3E4-343769213AE9}" name="Column5430"/>
    <tableColumn id="5462" xr3:uid="{17663016-010A-4638-8E02-A30C71CD9ABE}" name="Column5431"/>
    <tableColumn id="5463" xr3:uid="{C524040E-070B-4F07-88E4-FC984D627317}" name="Column5432"/>
    <tableColumn id="5464" xr3:uid="{286563F0-FBC7-4404-A51E-CC0D0F1174B0}" name="Column5433"/>
    <tableColumn id="5465" xr3:uid="{A4D2E34D-0E38-4D30-B259-7C6368CEAFD1}" name="Column5434"/>
    <tableColumn id="5466" xr3:uid="{05F1F427-04D0-46F4-8F74-30996C5BA129}" name="Column5435"/>
    <tableColumn id="5467" xr3:uid="{30F9EE4E-E5A9-46B7-9117-28BE9F76E021}" name="Column5436"/>
    <tableColumn id="5468" xr3:uid="{1D17942D-39CE-452B-A7CE-8E770020AA51}" name="Column5437"/>
    <tableColumn id="5469" xr3:uid="{E69C7A80-014A-445E-B4C9-ECA4884F81B2}" name="Column5438"/>
    <tableColumn id="5470" xr3:uid="{A81E9B60-D08A-411E-A099-5EE336B9450B}" name="Column5439"/>
    <tableColumn id="5471" xr3:uid="{617846CF-B8AE-4CEB-96B9-CF36C3E455B1}" name="Column5440"/>
    <tableColumn id="5472" xr3:uid="{FD0D9EE1-5A95-4406-9000-F7571D21E362}" name="Column5441"/>
    <tableColumn id="5473" xr3:uid="{378635E4-C3C1-467B-93A5-27922B79A5AA}" name="Column5442"/>
    <tableColumn id="5474" xr3:uid="{A1D9133E-F771-4ABE-A609-166BC0934D44}" name="Column5443"/>
    <tableColumn id="5475" xr3:uid="{C8848D04-8446-4982-B90C-8F588616DA6A}" name="Column5444"/>
    <tableColumn id="5476" xr3:uid="{CF32214F-D348-49C9-9E75-F3B8EE6F3AF9}" name="Column5445"/>
    <tableColumn id="5477" xr3:uid="{D20356B2-EDA2-4A35-A30A-8DBA6BE3C25A}" name="Column5446"/>
    <tableColumn id="5478" xr3:uid="{C7622BA9-077F-4100-B985-1098F9EEE4C5}" name="Column5447"/>
    <tableColumn id="5479" xr3:uid="{C9407BB5-6CD7-4AB9-B3BB-205F4B4D03E4}" name="Column5448"/>
    <tableColumn id="5480" xr3:uid="{F39514EC-7A2C-441F-BF6E-5A7538E59A60}" name="Column5449"/>
    <tableColumn id="5481" xr3:uid="{D9598B01-8718-4C49-B018-72CAE0F2998D}" name="Column5450"/>
    <tableColumn id="5482" xr3:uid="{4A0C1D40-355A-4EBF-BCD4-D1583CC1397D}" name="Column5451"/>
    <tableColumn id="5483" xr3:uid="{5BFE9B49-B1B1-4C97-BD3D-10A2A3D148F3}" name="Column5452"/>
    <tableColumn id="5484" xr3:uid="{F58EC0A4-9442-4C70-BA10-8625E626C87F}" name="Column5453"/>
    <tableColumn id="5485" xr3:uid="{8FC4FF99-B9CA-489D-A3E2-F63242E45035}" name="Column5454"/>
    <tableColumn id="5486" xr3:uid="{5EA37875-7484-4FA8-AAAC-4D2A119C7088}" name="Column5455"/>
    <tableColumn id="5487" xr3:uid="{9AFAE8E8-B4FD-457A-A382-E18F1B0FD406}" name="Column5456"/>
    <tableColumn id="5488" xr3:uid="{2AEF4FB3-FFD5-4A4E-9586-0D257788FBE1}" name="Column5457"/>
    <tableColumn id="5489" xr3:uid="{411F0C62-7FB7-4858-9BBF-050514F75FB8}" name="Column5458"/>
    <tableColumn id="5490" xr3:uid="{B6D8AC54-1BA9-496C-B822-71B06653CD61}" name="Column5459"/>
    <tableColumn id="5491" xr3:uid="{9789D917-EAF6-4EF2-926B-57A23097D9E0}" name="Column5460"/>
    <tableColumn id="5492" xr3:uid="{34DE83F9-3372-46F8-987C-29A073E00213}" name="Column5461"/>
    <tableColumn id="5493" xr3:uid="{2A181EB8-0403-4FC5-8D8D-4B43EEB80551}" name="Column5462"/>
    <tableColumn id="5494" xr3:uid="{44DB558D-4263-44DD-8FE4-29CD2DB7BD5F}" name="Column5463"/>
    <tableColumn id="5495" xr3:uid="{1F73B647-AE59-4CC9-8B1E-247F261FF833}" name="Column5464"/>
    <tableColumn id="5496" xr3:uid="{BE90303B-3C65-46D3-B661-D80C221F3096}" name="Column5465"/>
    <tableColumn id="5497" xr3:uid="{7F89B1BB-CE2C-4682-AA8D-8501F5787655}" name="Column5466"/>
    <tableColumn id="5498" xr3:uid="{3D2F92BB-1C92-48F1-A60D-C24D1B509FC5}" name="Column5467"/>
    <tableColumn id="5499" xr3:uid="{1F8C45BB-CBD4-4090-A034-4D1409C4EA76}" name="Column5468"/>
    <tableColumn id="5500" xr3:uid="{18EA9881-4BE5-48BF-89F6-A3DFC3FD88A6}" name="Column5469"/>
    <tableColumn id="5501" xr3:uid="{D46F6E08-35FC-40D0-979A-86899E27D2E4}" name="Column5470"/>
    <tableColumn id="5502" xr3:uid="{AB982E06-2689-4F64-ADA1-DB5E646B4CFE}" name="Column5471"/>
    <tableColumn id="5503" xr3:uid="{9623090E-9F54-460D-BA52-8CAB13615AF3}" name="Column5472"/>
    <tableColumn id="5504" xr3:uid="{530366AE-614F-4C98-BE96-57F63C798D91}" name="Column5473"/>
    <tableColumn id="5505" xr3:uid="{FFF8301F-6A12-49BF-84A3-915B91CCAD3C}" name="Column5474"/>
    <tableColumn id="5506" xr3:uid="{1C1D4AD6-E7DE-4C11-8138-8A7CBE36E2FB}" name="Column5475"/>
    <tableColumn id="5507" xr3:uid="{4C0B0061-469D-41D0-B6FC-9485DDFFB083}" name="Column5476"/>
    <tableColumn id="5508" xr3:uid="{590B04E8-6CF1-43A0-B5ED-92097FD8D265}" name="Column5477"/>
    <tableColumn id="5509" xr3:uid="{6EB74F42-7163-4417-9A1B-8A3BF5F05A83}" name="Column5478"/>
    <tableColumn id="5510" xr3:uid="{181D9E49-2C26-49B0-A0BF-368B915BD8E5}" name="Column5479"/>
    <tableColumn id="5511" xr3:uid="{300C771C-E270-4344-9E47-1A9E205156DC}" name="Column5480"/>
    <tableColumn id="5512" xr3:uid="{B641E519-103A-444E-994D-1FCA353B3934}" name="Column5481"/>
    <tableColumn id="5513" xr3:uid="{D3F2DF13-6B58-42A0-83F0-04BEF42E0E70}" name="Column5482"/>
    <tableColumn id="5514" xr3:uid="{DA2FEE61-7712-4648-83A0-E82032F67128}" name="Column5483"/>
    <tableColumn id="5515" xr3:uid="{EAA1888E-504C-4FF3-9F93-C8968A16A6AC}" name="Column5484"/>
    <tableColumn id="5516" xr3:uid="{4D96047F-329A-446A-9AD9-250FC35A7887}" name="Column5485"/>
    <tableColumn id="5517" xr3:uid="{5924F82B-4587-42CF-A18E-56364E33CD50}" name="Column5486"/>
    <tableColumn id="5518" xr3:uid="{E7EC80FA-124B-40C6-BE4B-2E5154CAE9C6}" name="Column5487"/>
    <tableColumn id="5519" xr3:uid="{80590515-69FC-4499-A056-ECCB39526C89}" name="Column5488"/>
    <tableColumn id="5520" xr3:uid="{EF7E8ED3-7D35-4FA9-A1BF-29496520CA33}" name="Column5489"/>
    <tableColumn id="5521" xr3:uid="{4FFEAAE8-2998-4E0D-832E-01903AF4C03B}" name="Column5490"/>
    <tableColumn id="5522" xr3:uid="{2DF23BEB-DA20-4209-BEDA-731ABAD8DC95}" name="Column5491"/>
    <tableColumn id="5523" xr3:uid="{1D4B77EE-0529-4FFA-8530-4BC167A18B97}" name="Column5492"/>
    <tableColumn id="5524" xr3:uid="{E2FF2CBE-6625-4BE6-9990-E1016029AF88}" name="Column5493"/>
    <tableColumn id="5525" xr3:uid="{979B4064-6C83-43BD-8101-787B77053B0F}" name="Column5494"/>
    <tableColumn id="5526" xr3:uid="{6A18DCB9-B35C-4080-98C0-ABEA4E131CB8}" name="Column5495"/>
    <tableColumn id="5527" xr3:uid="{B411EF01-EE46-48AC-B974-D6BD1195A776}" name="Column5496"/>
    <tableColumn id="5528" xr3:uid="{D4135D15-FE03-43DA-801D-0230C0B2DD72}" name="Column5497"/>
    <tableColumn id="5529" xr3:uid="{F4ED1333-9503-4F3D-A20A-0FD9C9739A2C}" name="Column5498"/>
    <tableColumn id="5530" xr3:uid="{8CA23D5D-708A-4BBA-A9E5-7D5ADBEB0690}" name="Column5499"/>
    <tableColumn id="5531" xr3:uid="{41B3C1F0-3484-49CE-B9E6-37D9E5EDD0F4}" name="Column5500"/>
    <tableColumn id="5532" xr3:uid="{F70901B4-98AC-48AD-8F87-424BA0FF7765}" name="Column5501"/>
    <tableColumn id="5533" xr3:uid="{8E21D7BB-CFDE-487B-9C7D-CE0602B1678D}" name="Column5502"/>
    <tableColumn id="5534" xr3:uid="{091CCF99-2A67-4096-9B52-30FFF76BB0C9}" name="Column5503"/>
    <tableColumn id="5535" xr3:uid="{A358ADBF-5E52-4258-B1D0-8D2F35FD99CB}" name="Column5504"/>
    <tableColumn id="5536" xr3:uid="{5892D7C3-0364-4C18-8AFB-4A4D01B78B50}" name="Column5505"/>
    <tableColumn id="5537" xr3:uid="{E944A7CD-EA9F-4B21-85F0-9F075F754496}" name="Column5506"/>
    <tableColumn id="5538" xr3:uid="{DCF4AFC4-17E1-4047-AB1D-F6116743151F}" name="Column5507"/>
    <tableColumn id="5539" xr3:uid="{065377FF-AEC3-4EAF-8E2D-B1A9C640B4E1}" name="Column5508"/>
    <tableColumn id="5540" xr3:uid="{B55C419F-51E8-4215-AD05-1D68B4E9D895}" name="Column5509"/>
    <tableColumn id="5541" xr3:uid="{43FE02D8-66D0-4B28-8F7C-E325CD749B44}" name="Column5510"/>
    <tableColumn id="5542" xr3:uid="{EAAD3DE7-256D-413C-B8C0-B25D36EE727B}" name="Column5511"/>
    <tableColumn id="5543" xr3:uid="{55B61DE9-CD95-4E75-AB0F-BE5DC2E3CD58}" name="Column5512"/>
    <tableColumn id="5544" xr3:uid="{72CF1A35-4068-4AB3-B4DE-4A55EFB60621}" name="Column5513"/>
    <tableColumn id="5545" xr3:uid="{B1DF6DCE-8EDA-4283-85B1-B28450B400FC}" name="Column5514"/>
    <tableColumn id="5546" xr3:uid="{248257E3-EDCD-416A-8933-A762255FE42E}" name="Column5515"/>
    <tableColumn id="5547" xr3:uid="{3295E128-3AEC-4D51-8EE9-D05E7D568B73}" name="Column5516"/>
    <tableColumn id="5548" xr3:uid="{C95AF114-1F68-4E44-8FB8-5500399DB187}" name="Column5517"/>
    <tableColumn id="5549" xr3:uid="{FE4348BD-1993-4F2A-B5E0-C003D02D1BBD}" name="Column5518"/>
    <tableColumn id="5550" xr3:uid="{9E86AE5C-B081-4748-BFEE-81A066A1C043}" name="Column5519"/>
    <tableColumn id="5551" xr3:uid="{6EB3656E-9F38-41BC-AC6A-0BFC6FBDDC53}" name="Column5520"/>
    <tableColumn id="5552" xr3:uid="{251A7471-7971-449F-95CB-9BE3F7FB25E7}" name="Column5521"/>
    <tableColumn id="5553" xr3:uid="{A18E80F7-19B0-481B-8321-B77F993DDE36}" name="Column5522"/>
    <tableColumn id="5554" xr3:uid="{87B5CE1C-5EDA-4401-A1AC-5B7024953826}" name="Column5523"/>
    <tableColumn id="5555" xr3:uid="{2A93928D-1F5E-4C6A-8640-2408AAAB1521}" name="Column5524"/>
    <tableColumn id="5556" xr3:uid="{0E53763A-8CB3-4893-8A01-ED0BCA5D0CE5}" name="Column5525"/>
    <tableColumn id="5557" xr3:uid="{38FBF5CB-ADB8-47C2-9EB5-7A31A7198C55}" name="Column5526"/>
    <tableColumn id="5558" xr3:uid="{4A6A126D-BDD3-4AC9-AFFB-B3276DECC6FD}" name="Column5527"/>
    <tableColumn id="5559" xr3:uid="{23A1BBAA-3944-475B-92C8-83A726F69276}" name="Column5528"/>
    <tableColumn id="5560" xr3:uid="{05C9D2E3-EBBC-4479-B874-2100A6EFB532}" name="Column5529"/>
    <tableColumn id="5561" xr3:uid="{CF95494A-5D6D-4331-9C32-29EF8FB311FB}" name="Column5530"/>
    <tableColumn id="5562" xr3:uid="{0FF12B54-79DF-49E4-9667-7B48C4EE2BA9}" name="Column5531"/>
    <tableColumn id="5563" xr3:uid="{6C1EB398-F2B7-4C44-BEC3-A1176B6EF1A3}" name="Column5532"/>
    <tableColumn id="5564" xr3:uid="{FC605013-F59C-438A-AF69-04DF1D35473D}" name="Column5533"/>
    <tableColumn id="5565" xr3:uid="{DFB0D145-9FD2-4307-AB2B-650579359E95}" name="Column5534"/>
    <tableColumn id="5566" xr3:uid="{22511172-2ACE-4FF8-B076-CE6BD5B346A4}" name="Column5535"/>
    <tableColumn id="5567" xr3:uid="{101B3FDB-BDBA-4B5B-8D29-4E77AE11A925}" name="Column5536"/>
    <tableColumn id="5568" xr3:uid="{A239B51A-DB56-4100-958E-4472E1D438AC}" name="Column5537"/>
    <tableColumn id="5569" xr3:uid="{D31EF5B3-05C3-4795-A48B-D2F48DCC0C02}" name="Column5538"/>
    <tableColumn id="5570" xr3:uid="{ABA6CABC-3B13-4E11-9576-B743E75D31CA}" name="Column5539"/>
    <tableColumn id="5571" xr3:uid="{A1D92E9B-FE5F-470B-AB81-184FE8E4D4A6}" name="Column5540"/>
    <tableColumn id="5572" xr3:uid="{5A6AA01A-2D70-409E-B3B0-64C1FC980C55}" name="Column5541"/>
    <tableColumn id="5573" xr3:uid="{1B1BAED5-C20F-49FB-BF9A-281CCEED271F}" name="Column5542"/>
    <tableColumn id="5574" xr3:uid="{2BB9C2A9-BE0B-46FF-94E0-22A38CDD4058}" name="Column5543"/>
    <tableColumn id="5575" xr3:uid="{7A9B34A0-2ECB-4CEF-8DC1-6D79D908147B}" name="Column5544"/>
    <tableColumn id="5576" xr3:uid="{475F84F8-94EA-4ED7-8A87-A2644537CA95}" name="Column5545"/>
    <tableColumn id="5577" xr3:uid="{43588059-7BA7-4D0E-A2AD-FECA5F20C012}" name="Column5546"/>
    <tableColumn id="5578" xr3:uid="{25745426-17F7-48A9-82F2-AB61BA7F7164}" name="Column5547"/>
    <tableColumn id="5579" xr3:uid="{F132A604-9AB2-4A51-B69C-2305AC18B2B8}" name="Column5548"/>
    <tableColumn id="5580" xr3:uid="{6DC3ACE1-3045-440D-B6DA-65EDA206D99F}" name="Column5549"/>
    <tableColumn id="5581" xr3:uid="{35B105A4-CFDF-42EA-A9C9-0EFA7523F197}" name="Column5550"/>
    <tableColumn id="5582" xr3:uid="{8DE8AAFE-3D7D-48C3-BFB3-1E81392E2203}" name="Column5551"/>
    <tableColumn id="5583" xr3:uid="{661F25E6-C059-4C61-845E-87490842414E}" name="Column5552"/>
    <tableColumn id="5584" xr3:uid="{EB533518-9BA1-4F71-8810-F1823674DA4E}" name="Column5553"/>
    <tableColumn id="5585" xr3:uid="{77ACB3E8-67E7-452D-8544-8D2B3E0D053C}" name="Column5554"/>
    <tableColumn id="5586" xr3:uid="{5B1DFC71-B39E-4012-B0D7-D45804D13389}" name="Column5555"/>
    <tableColumn id="5587" xr3:uid="{E4D3E72C-5F27-409C-A10B-E0C913F62A86}" name="Column5556"/>
    <tableColumn id="5588" xr3:uid="{A2764E17-B1C6-4EA5-A5F8-FBEAC3169D57}" name="Column5557"/>
    <tableColumn id="5589" xr3:uid="{B126E421-4544-4DED-8C0A-6109D2B8EF08}" name="Column5558"/>
    <tableColumn id="5590" xr3:uid="{2E74462A-E12E-4945-AFBA-925576327D4F}" name="Column5559"/>
    <tableColumn id="5591" xr3:uid="{F7072E0C-77B6-4FCA-B0C6-3B4DCFA30DD1}" name="Column5560"/>
    <tableColumn id="5592" xr3:uid="{675136C4-7A50-4DD3-B165-6B5D411F54A9}" name="Column5561"/>
    <tableColumn id="5593" xr3:uid="{9AA2D0A8-0FDA-4FE0-95FD-3E91935B9B37}" name="Column5562"/>
    <tableColumn id="5594" xr3:uid="{84479A92-FF57-4204-848B-456879E63266}" name="Column5563"/>
    <tableColumn id="5595" xr3:uid="{EC86650D-E58F-4A98-8723-4367395BC532}" name="Column5564"/>
    <tableColumn id="5596" xr3:uid="{7432D8CC-497B-4715-B7D4-0D217EA60AA2}" name="Column5565"/>
    <tableColumn id="5597" xr3:uid="{E5C95A34-8688-4020-8706-AFE5279313BE}" name="Column5566"/>
    <tableColumn id="5598" xr3:uid="{5B287AF6-83AF-408F-9B62-A61ED3DCB6D0}" name="Column5567"/>
    <tableColumn id="5599" xr3:uid="{DAC58C5C-DB83-40AC-B2E4-32462D5D0BC7}" name="Column5568"/>
    <tableColumn id="5600" xr3:uid="{13AC9134-68E7-4C83-8B9C-DC7F86018AE9}" name="Column5569"/>
    <tableColumn id="5601" xr3:uid="{EEADF359-D932-418B-8989-6542BFDB3F90}" name="Column5570"/>
    <tableColumn id="5602" xr3:uid="{033D11D3-606F-4288-AD1C-441B37FAAE80}" name="Column5571"/>
    <tableColumn id="5603" xr3:uid="{056F03B2-D63F-4D3E-9D2A-5D897383E492}" name="Column5572"/>
    <tableColumn id="5604" xr3:uid="{7E2DC9C0-B80F-4645-9E57-6487D28DF6DB}" name="Column5573"/>
    <tableColumn id="5605" xr3:uid="{806E33B9-E10D-4C14-9E1A-F6DB302B3C5E}" name="Column5574"/>
    <tableColumn id="5606" xr3:uid="{B6AFBA44-7C3F-43CC-BF01-D9DFCFE8487D}" name="Column5575"/>
    <tableColumn id="5607" xr3:uid="{85328A4F-B4CC-4CE4-8EDF-D83A38CE92B5}" name="Column5576"/>
    <tableColumn id="5608" xr3:uid="{CB991345-3B5C-40D0-9457-D178D0839B65}" name="Column5577"/>
    <tableColumn id="5609" xr3:uid="{F3FB7143-8C41-482E-9AA6-9853A4CE8C6A}" name="Column5578"/>
    <tableColumn id="5610" xr3:uid="{384D72BA-7AEC-408C-8304-DAB4D9C258B7}" name="Column5579"/>
    <tableColumn id="5611" xr3:uid="{186A96DE-74F4-4266-A6C1-7B47DEE96498}" name="Column5580"/>
    <tableColumn id="5612" xr3:uid="{1B5B4230-20B1-497E-88FA-AB23C7483539}" name="Column5581"/>
    <tableColumn id="5613" xr3:uid="{AB0425E1-5480-47D9-8132-1722C0F42C8B}" name="Column5582"/>
    <tableColumn id="5614" xr3:uid="{93162C83-E4AC-4F61-83AC-2F3E02CB4242}" name="Column5583"/>
    <tableColumn id="5615" xr3:uid="{6B2BA36C-9C78-491C-92F7-EDE42F8E02AB}" name="Column5584"/>
    <tableColumn id="5616" xr3:uid="{AAA502F2-C850-4B86-8C42-31976DD31D77}" name="Column5585"/>
    <tableColumn id="5617" xr3:uid="{08628F6D-3914-46B8-BCD5-2651E23F23EB}" name="Column5586"/>
    <tableColumn id="5618" xr3:uid="{6232B213-C585-4A1B-8BE2-487F88398327}" name="Column5587"/>
    <tableColumn id="5619" xr3:uid="{1A6434A2-DCA3-4C38-B04C-C8E20C50E363}" name="Column5588"/>
    <tableColumn id="5620" xr3:uid="{E4A3A673-3216-4D6D-8893-E10A4AF6421E}" name="Column5589"/>
    <tableColumn id="5621" xr3:uid="{534F040A-E292-48FF-980E-221D24A78D65}" name="Column5590"/>
    <tableColumn id="5622" xr3:uid="{48A66996-8CD2-43CD-B100-6F7B39931A20}" name="Column5591"/>
    <tableColumn id="5623" xr3:uid="{265D8C0D-3B56-46A8-B662-03007F63E5B7}" name="Column5592"/>
    <tableColumn id="5624" xr3:uid="{4BEB1DCB-2D18-4888-B6C5-83A375CE1921}" name="Column5593"/>
    <tableColumn id="5625" xr3:uid="{64347F97-F3DB-4245-8F6F-0E4E0C568253}" name="Column5594"/>
    <tableColumn id="5626" xr3:uid="{7B219C80-F93D-4053-93CB-CC497F9B321E}" name="Column5595"/>
    <tableColumn id="5627" xr3:uid="{113800A8-955B-4DBA-B16B-96D0F331E2C2}" name="Column5596"/>
    <tableColumn id="5628" xr3:uid="{045360AF-33A4-4BC6-A622-3061F9CCE654}" name="Column5597"/>
    <tableColumn id="5629" xr3:uid="{441443F8-7C76-4F58-BFEA-6507E0166698}" name="Column5598"/>
    <tableColumn id="5630" xr3:uid="{22CC16E2-6232-4C6E-AEB2-42677E30D808}" name="Column5599"/>
    <tableColumn id="5631" xr3:uid="{A16B395D-2159-4C1B-9D46-69BAA73614D4}" name="Column5600"/>
    <tableColumn id="5632" xr3:uid="{B6A42605-BE8C-42A3-B091-BDBD2139238D}" name="Column5601"/>
    <tableColumn id="5633" xr3:uid="{15AF6C1B-99FC-4DD9-8085-D8A84AF0388F}" name="Column5602"/>
    <tableColumn id="5634" xr3:uid="{4F1CDEE1-1196-4C56-8385-10C40D9BAEF1}" name="Column5603"/>
    <tableColumn id="5635" xr3:uid="{D9BD2FC4-F3F9-4063-99A2-4DC98C30F2C2}" name="Column5604"/>
    <tableColumn id="5636" xr3:uid="{5E7DCB37-A807-49C4-846E-03F2F087EE8F}" name="Column5605"/>
    <tableColumn id="5637" xr3:uid="{EC245720-0FE7-452B-8A40-62C8B454B66B}" name="Column5606"/>
    <tableColumn id="5638" xr3:uid="{47730EE2-35EB-4D12-9DC8-F619AAD2C6F4}" name="Column5607"/>
    <tableColumn id="5639" xr3:uid="{5F7E0B03-2A93-41B7-9D8B-CB7BF5C18CFB}" name="Column5608"/>
    <tableColumn id="5640" xr3:uid="{A6A3500A-DAD9-4784-B643-DA7AEA40E480}" name="Column5609"/>
    <tableColumn id="5641" xr3:uid="{11EA8BA0-467C-4369-8BCF-A51368D8FB17}" name="Column5610"/>
    <tableColumn id="5642" xr3:uid="{26A93814-393A-447C-8406-9D2A1ED187DB}" name="Column5611"/>
    <tableColumn id="5643" xr3:uid="{F9475C00-C50A-46C8-B03D-D59530D288D0}" name="Column5612"/>
    <tableColumn id="5644" xr3:uid="{95E62CE9-3270-4837-98B6-2B6E7DC21C4D}" name="Column5613"/>
    <tableColumn id="5645" xr3:uid="{595CD45C-F0DB-4ABD-BEAA-707C21E7C246}" name="Column5614"/>
    <tableColumn id="5646" xr3:uid="{9947DA5F-64B2-4346-9C9E-CB5B5B402CCB}" name="Column5615"/>
    <tableColumn id="5647" xr3:uid="{AEFBBC8E-8329-4CB2-A645-9BBD1EBD6290}" name="Column5616"/>
    <tableColumn id="5648" xr3:uid="{3833BD80-21CB-4817-BC5E-4C49B382DE9D}" name="Column5617"/>
    <tableColumn id="5649" xr3:uid="{E532B9A4-08C0-455A-AD59-6DB86B6D0299}" name="Column5618"/>
    <tableColumn id="5650" xr3:uid="{C17D14FA-970F-4CCA-90FA-A72E5337F123}" name="Column5619"/>
    <tableColumn id="5651" xr3:uid="{02E8A771-264D-4D2C-8377-F902C7892A33}" name="Column5620"/>
    <tableColumn id="5652" xr3:uid="{B25D135E-9AB2-4DD7-BB45-E25A5274D832}" name="Column5621"/>
    <tableColumn id="5653" xr3:uid="{3E37EE83-9848-4FBE-BCEF-8B7D8CFB3B83}" name="Column5622"/>
    <tableColumn id="5654" xr3:uid="{0B1219DD-23DD-41B4-9CBC-09FB3EB53183}" name="Column5623"/>
    <tableColumn id="5655" xr3:uid="{A342CDB2-DFF2-45C9-AB95-221F5E32E5EA}" name="Column5624"/>
    <tableColumn id="5656" xr3:uid="{44445873-3B27-4B4E-9203-83F73D8DEB48}" name="Column5625"/>
    <tableColumn id="5657" xr3:uid="{90457E23-4340-4199-9573-F9A9197CB73E}" name="Column5626"/>
    <tableColumn id="5658" xr3:uid="{88E925F2-EEC6-4940-A359-ACF4F246D2E2}" name="Column5627"/>
    <tableColumn id="5659" xr3:uid="{BA105D06-66A8-4281-81EC-F85AF5BC8F7A}" name="Column5628"/>
    <tableColumn id="5660" xr3:uid="{479DFBCC-CE4C-496F-8AF6-BAF6582E144E}" name="Column5629"/>
    <tableColumn id="5661" xr3:uid="{ABB035AF-32B3-4856-875A-8F60098C0DBD}" name="Column5630"/>
    <tableColumn id="5662" xr3:uid="{08E8DD6E-B78A-4E55-8458-692E098EA197}" name="Column5631"/>
    <tableColumn id="5663" xr3:uid="{021AE4EF-DC23-455B-98AD-9B27AD64875F}" name="Column5632"/>
    <tableColumn id="5664" xr3:uid="{09E48025-3347-486C-95F0-255CC7835234}" name="Column5633"/>
    <tableColumn id="5665" xr3:uid="{8E94562F-CFF9-4500-AB0A-BECAA37C1979}" name="Column5634"/>
    <tableColumn id="5666" xr3:uid="{F101CDAC-B9F2-4822-B7EF-553ACDE849B3}" name="Column5635"/>
    <tableColumn id="5667" xr3:uid="{5D78C0D3-AF03-445B-8202-961162983D2B}" name="Column5636"/>
    <tableColumn id="5668" xr3:uid="{71A78889-355D-4639-BFB8-E098C6A88111}" name="Column5637"/>
    <tableColumn id="5669" xr3:uid="{B1411721-C548-4258-AC76-58A3705F9BB4}" name="Column5638"/>
    <tableColumn id="5670" xr3:uid="{8D00C8FA-A61A-4531-B5A4-B4910E940940}" name="Column5639"/>
    <tableColumn id="5671" xr3:uid="{4B104AF0-29C0-4173-B984-0656EABB5857}" name="Column5640"/>
    <tableColumn id="5672" xr3:uid="{EA8AA7C3-8A66-4133-BBD6-2DF6D1FE9E3B}" name="Column5641"/>
    <tableColumn id="5673" xr3:uid="{FD2F80DD-D5B8-4F8A-9896-6B6344E67545}" name="Column5642"/>
    <tableColumn id="5674" xr3:uid="{2DEE92EA-E89A-408B-B0F4-9A4BC82CE833}" name="Column5643"/>
    <tableColumn id="5675" xr3:uid="{4E7DE423-8DB8-459F-8D0D-4155AD7EA707}" name="Column5644"/>
    <tableColumn id="5676" xr3:uid="{BC3DBEBA-B4F0-4C7C-8500-F6E8D6BBF903}" name="Column5645"/>
    <tableColumn id="5677" xr3:uid="{8DC12F3B-EAEE-49A8-9F72-6097B16D93AD}" name="Column5646"/>
    <tableColumn id="5678" xr3:uid="{FA267B46-E1F7-4954-8174-187E1670BF92}" name="Column5647"/>
    <tableColumn id="5679" xr3:uid="{B6FFF203-CF6C-406B-82A7-63EA17809857}" name="Column5648"/>
    <tableColumn id="5680" xr3:uid="{0C59F9A0-78E9-4213-8766-8FCC30FCA6C8}" name="Column5649"/>
    <tableColumn id="5681" xr3:uid="{552C059A-81B8-4851-8DFE-DA7FE57D2AB4}" name="Column5650"/>
    <tableColumn id="5682" xr3:uid="{D63BAE70-07AD-4785-801A-3A098292721B}" name="Column5651"/>
    <tableColumn id="5683" xr3:uid="{44EC8FB4-93C6-49D9-87EC-3A7B3758E834}" name="Column5652"/>
    <tableColumn id="5684" xr3:uid="{A61393FD-69ED-45AE-97D0-83BF70AA14E1}" name="Column5653"/>
    <tableColumn id="5685" xr3:uid="{755667F7-B377-4700-8A03-8EA7F8E6ECFE}" name="Column5654"/>
    <tableColumn id="5686" xr3:uid="{35C14E08-AB63-485C-B714-EC88C81F4F3A}" name="Column5655"/>
    <tableColumn id="5687" xr3:uid="{10442104-84E9-4ABF-A990-870D8865C101}" name="Column5656"/>
    <tableColumn id="5688" xr3:uid="{1C03105B-5635-48F7-A526-B2340109B7BB}" name="Column5657"/>
    <tableColumn id="5689" xr3:uid="{E6B5F0EB-27BC-4E77-9027-D9D769703B57}" name="Column5658"/>
    <tableColumn id="5690" xr3:uid="{FAC3596A-A8FF-4482-AE26-537670E56982}" name="Column5659"/>
    <tableColumn id="5691" xr3:uid="{C187E481-060E-4241-ACAD-7A5DB2DBBAE5}" name="Column5660"/>
    <tableColumn id="5692" xr3:uid="{BE4030BA-67D3-4D91-AF0C-A0E4F5C907B1}" name="Column5661"/>
    <tableColumn id="5693" xr3:uid="{74C720E7-60AD-47CC-8FE0-5848A6D28536}" name="Column5662"/>
    <tableColumn id="5694" xr3:uid="{1F7A6BB8-CD8E-49B0-A951-F2537E975889}" name="Column5663"/>
    <tableColumn id="5695" xr3:uid="{891AE316-358F-492A-AC22-0C3B76B1B7BF}" name="Column5664"/>
    <tableColumn id="5696" xr3:uid="{87C82904-E915-43D9-98BC-F065A8F33EF1}" name="Column5665"/>
    <tableColumn id="5697" xr3:uid="{2BFE05D6-E3F3-4E23-B03C-95169E789F88}" name="Column5666"/>
    <tableColumn id="5698" xr3:uid="{FB3F69EF-A8AF-4A49-A23A-5EE7A5DECF31}" name="Column5667"/>
    <tableColumn id="5699" xr3:uid="{82163057-3E5C-445C-9EE1-7743974CD863}" name="Column5668"/>
    <tableColumn id="5700" xr3:uid="{BC9DA7E9-53FB-43A9-B1B1-FD875C0461F4}" name="Column5669"/>
    <tableColumn id="5701" xr3:uid="{C33DCC2A-4510-460C-B146-8C7F638B0261}" name="Column5670"/>
    <tableColumn id="5702" xr3:uid="{7BC584E1-ADFD-4948-B613-D6C963880204}" name="Column5671"/>
    <tableColumn id="5703" xr3:uid="{E713789E-997F-48D8-9815-9DCBADE877B6}" name="Column5672"/>
    <tableColumn id="5704" xr3:uid="{9845D619-6D04-4B66-B86C-576EC84D5A41}" name="Column5673"/>
    <tableColumn id="5705" xr3:uid="{7BE9B27C-6693-42C6-9560-9DB41A139705}" name="Column5674"/>
    <tableColumn id="5706" xr3:uid="{349227BD-B861-4780-A260-6D3EFBF3598A}" name="Column5675"/>
    <tableColumn id="5707" xr3:uid="{19A01D1B-2958-466C-8A51-809AC3466F30}" name="Column5676"/>
    <tableColumn id="5708" xr3:uid="{39212832-E0DE-4D18-AEA1-180031033973}" name="Column5677"/>
    <tableColumn id="5709" xr3:uid="{B33EAC23-5900-435F-9430-BC8B8EF8B00C}" name="Column5678"/>
    <tableColumn id="5710" xr3:uid="{442EB105-6B9B-474B-8941-B74456C4D8BA}" name="Column5679"/>
    <tableColumn id="5711" xr3:uid="{8A2B12BE-B7B2-4755-891C-54D63C4D731B}" name="Column5680"/>
    <tableColumn id="5712" xr3:uid="{28297B87-C1A0-4E7F-90F3-6FB7212923F8}" name="Column5681"/>
    <tableColumn id="5713" xr3:uid="{4B7303C7-D6D4-4E86-9BC8-F32572B668EB}" name="Column5682"/>
    <tableColumn id="5714" xr3:uid="{2CAA7FDF-DC70-4886-B563-5D73489221C1}" name="Column5683"/>
    <tableColumn id="5715" xr3:uid="{4A3E07C7-AE67-4EB3-8A42-F344F4CA338C}" name="Column5684"/>
    <tableColumn id="5716" xr3:uid="{79FB666F-C349-4292-80D2-643F7F1D1E48}" name="Column5685"/>
    <tableColumn id="5717" xr3:uid="{6E7384B4-C111-4D4F-BF98-7E7667BE777E}" name="Column5686"/>
    <tableColumn id="5718" xr3:uid="{D2A6FD93-7741-4744-9247-EE8F715836EC}" name="Column5687"/>
    <tableColumn id="5719" xr3:uid="{AB8FA237-99D7-4232-9998-44BADAA2E9EE}" name="Column5688"/>
    <tableColumn id="5720" xr3:uid="{F2F393DB-599A-4B27-9744-9FB3E77EE22D}" name="Column5689"/>
    <tableColumn id="5721" xr3:uid="{06DAB7F9-D435-4E03-B2BB-A6AB69335F35}" name="Column5690"/>
    <tableColumn id="5722" xr3:uid="{DE15A113-391F-4831-A03E-D7A07EC7A220}" name="Column5691"/>
    <tableColumn id="5723" xr3:uid="{B943145B-48BC-4811-9689-D56FDC587B6D}" name="Column5692"/>
    <tableColumn id="5724" xr3:uid="{3F1E6EB0-137C-4EDC-AC84-05E72315DC09}" name="Column5693"/>
    <tableColumn id="5725" xr3:uid="{65DB2BE9-1E40-4C08-BD86-5BDD58EE16D7}" name="Column5694"/>
    <tableColumn id="5726" xr3:uid="{101A619B-93CA-4EAE-953D-0E054A03CAF9}" name="Column5695"/>
    <tableColumn id="5727" xr3:uid="{1F9E588E-B6BC-45A5-8074-1A75E24F6DB4}" name="Column5696"/>
    <tableColumn id="5728" xr3:uid="{428E4480-2FEF-4986-91F3-06B873652A26}" name="Column5697"/>
    <tableColumn id="5729" xr3:uid="{80C2A077-9595-4C71-A726-D17A6C0C65ED}" name="Column5698"/>
    <tableColumn id="5730" xr3:uid="{5C126C7D-60BE-47B7-A08C-4E85076AA99C}" name="Column5699"/>
    <tableColumn id="5731" xr3:uid="{75005185-30D7-4044-BFD3-0B43277D8E16}" name="Column5700"/>
    <tableColumn id="5732" xr3:uid="{18C5A0E7-BEFF-4A51-8A0A-7AAD2459367F}" name="Column5701"/>
    <tableColumn id="5733" xr3:uid="{C3CB00C9-8CD0-4286-95ED-76EEC53F49FA}" name="Column5702"/>
    <tableColumn id="5734" xr3:uid="{7D73A829-4183-4393-A7AB-9104ED4E63BF}" name="Column5703"/>
    <tableColumn id="5735" xr3:uid="{DCADAF58-4FB3-4AF7-8D07-E0F9F62D5F18}" name="Column5704"/>
    <tableColumn id="5736" xr3:uid="{A4466D58-B3FE-4486-9575-A84602FED772}" name="Column5705"/>
    <tableColumn id="5737" xr3:uid="{78E2D65C-5F75-4D3A-B9E5-F17F65510F48}" name="Column5706"/>
    <tableColumn id="5738" xr3:uid="{8D053188-D89A-47F5-B45D-7CFC6C3D1C08}" name="Column5707"/>
    <tableColumn id="5739" xr3:uid="{48DD4251-0133-4449-B5B3-A61E6BB9F81F}" name="Column5708"/>
    <tableColumn id="5740" xr3:uid="{A7B528D1-459A-49EA-9E2D-2E32A6524A1F}" name="Column5709"/>
    <tableColumn id="5741" xr3:uid="{06D561C1-BA62-488A-B4E9-14B031D629FF}" name="Column5710"/>
    <tableColumn id="5742" xr3:uid="{BEC30A56-B47C-44E1-8E93-BEF44EC89B07}" name="Column5711"/>
    <tableColumn id="5743" xr3:uid="{A5E9763D-BA11-4F7C-A5CA-52EA68275772}" name="Column5712"/>
    <tableColumn id="5744" xr3:uid="{5A28E3E8-14B3-483F-8981-FC2462B944A0}" name="Column5713"/>
    <tableColumn id="5745" xr3:uid="{1F717083-802E-4D07-AC6C-ABFCF6E9C96B}" name="Column5714"/>
    <tableColumn id="5746" xr3:uid="{FEC1080B-5ECB-43EA-A003-EF9E277171CC}" name="Column5715"/>
    <tableColumn id="5747" xr3:uid="{6FD06819-B5AC-4CCD-9E7C-5104CB18F26F}" name="Column5716"/>
    <tableColumn id="5748" xr3:uid="{9A5CBEB4-DDE8-4AF8-BBE1-F9CD1A934713}" name="Column5717"/>
    <tableColumn id="5749" xr3:uid="{6D2D9EAC-38CF-4D88-82FA-13743B563232}" name="Column5718"/>
    <tableColumn id="5750" xr3:uid="{C6C6B673-732F-4AF8-8939-4720ACE73ABD}" name="Column5719"/>
    <tableColumn id="5751" xr3:uid="{09D996CF-93BF-48DE-A8E3-C6A4046A9CE9}" name="Column5720"/>
    <tableColumn id="5752" xr3:uid="{BB313747-E514-4218-BE5A-9AC17536722B}" name="Column5721"/>
    <tableColumn id="5753" xr3:uid="{13C58035-B752-4294-AF86-7D728444E5DB}" name="Column5722"/>
    <tableColumn id="5754" xr3:uid="{4D9257C0-E5E8-4F75-9E9A-D7E1885BE76B}" name="Column5723"/>
    <tableColumn id="5755" xr3:uid="{5747680C-1457-41CB-A41A-37A5281EB0B2}" name="Column5724"/>
    <tableColumn id="5756" xr3:uid="{C11E4FA4-9676-4B16-9EF9-AC3D6BFFF5F4}" name="Column5725"/>
    <tableColumn id="5757" xr3:uid="{DCE4FB7B-50DD-4C21-BEDC-4DE8F74B3AEB}" name="Column5726"/>
    <tableColumn id="5758" xr3:uid="{030200F6-C255-4CF2-A722-5FFE443DB297}" name="Column5727"/>
    <tableColumn id="5759" xr3:uid="{1413A9ED-B842-4A11-B13C-A7DEA58EA484}" name="Column5728"/>
    <tableColumn id="5760" xr3:uid="{6E43ACE2-235D-4868-85FC-1018349B03F8}" name="Column5729"/>
    <tableColumn id="5761" xr3:uid="{A3E36CD3-2077-463C-B938-FF9C14C518E2}" name="Column5730"/>
    <tableColumn id="5762" xr3:uid="{C96CD40C-9E00-4378-9AF5-C7F15D070B82}" name="Column5731"/>
    <tableColumn id="5763" xr3:uid="{93E55650-AA91-4E04-96EB-1775322525D7}" name="Column5732"/>
    <tableColumn id="5764" xr3:uid="{BC144048-9F77-4579-BF1E-99A9F1892215}" name="Column5733"/>
    <tableColumn id="5765" xr3:uid="{FD172EB5-8847-493F-9B66-0E1010F90E94}" name="Column5734"/>
    <tableColumn id="5766" xr3:uid="{C6A75E0E-7C9E-46E6-A3AA-591772FAD04C}" name="Column5735"/>
    <tableColumn id="5767" xr3:uid="{C2B88BEF-CD42-4626-82B3-A67C8C2BC013}" name="Column5736"/>
    <tableColumn id="5768" xr3:uid="{50F1D959-B5CF-4CFB-A95F-5228CFB50B20}" name="Column5737"/>
    <tableColumn id="5769" xr3:uid="{668AF106-2FC2-4574-8B47-25C5EA71ECC9}" name="Column5738"/>
    <tableColumn id="5770" xr3:uid="{0A4A1B83-E906-4DCF-B5C4-C23CEEA46FC7}" name="Column5739"/>
    <tableColumn id="5771" xr3:uid="{3C399221-7694-4249-A2C8-64AC2CBB2B88}" name="Column5740"/>
    <tableColumn id="5772" xr3:uid="{4A101984-8925-45DA-8F98-F7B9CACFA49F}" name="Column5741"/>
    <tableColumn id="5773" xr3:uid="{724785B6-0964-493A-9CB2-FACC641E868B}" name="Column5742"/>
    <tableColumn id="5774" xr3:uid="{613E0F4D-8323-4307-9E10-3896B1ABBA4F}" name="Column5743"/>
    <tableColumn id="5775" xr3:uid="{EED6703B-4DC0-4050-91F6-57BD09F57719}" name="Column5744"/>
    <tableColumn id="5776" xr3:uid="{A83D1330-1226-4C00-8F60-0EB87F6F45DA}" name="Column5745"/>
    <tableColumn id="5777" xr3:uid="{FE8712F2-0A6B-4354-80D5-CF31ACFA2241}" name="Column5746"/>
    <tableColumn id="5778" xr3:uid="{55EA6C57-D9CD-4A5C-977B-8F51AA47BC9A}" name="Column5747"/>
    <tableColumn id="5779" xr3:uid="{1AF57038-1486-4BE5-816C-45125A3DB8FA}" name="Column5748"/>
    <tableColumn id="5780" xr3:uid="{4482E7E8-E9CB-4C1B-B74B-4508CF9D09C1}" name="Column5749"/>
    <tableColumn id="5781" xr3:uid="{CB9EFE27-9F27-400B-B8A4-292B17C38F64}" name="Column5750"/>
    <tableColumn id="5782" xr3:uid="{07D25481-9CAC-4B88-B9AD-60CD821CA2E6}" name="Column5751"/>
    <tableColumn id="5783" xr3:uid="{B18F3743-D6BE-4B48-8156-2648F2B915FE}" name="Column5752"/>
    <tableColumn id="5784" xr3:uid="{8D234D0D-7C29-48F7-AB45-70C69B388ED8}" name="Column5753"/>
    <tableColumn id="5785" xr3:uid="{157FAD65-5E6C-4E98-8365-EEF1ED826087}" name="Column5754"/>
    <tableColumn id="5786" xr3:uid="{E61CFD32-E28B-4CED-96C1-47DD85E7B271}" name="Column5755"/>
    <tableColumn id="5787" xr3:uid="{3AB3985C-4F7E-4A48-B13E-B52A9E242788}" name="Column5756"/>
    <tableColumn id="5788" xr3:uid="{94CA32E2-A039-45DE-B936-57FC682A8F0C}" name="Column5757"/>
    <tableColumn id="5789" xr3:uid="{F692A1C7-C520-407D-9037-6A5A5DFCD7B7}" name="Column5758"/>
    <tableColumn id="5790" xr3:uid="{F7540DDB-979A-47C8-9EE1-EBF522315D8E}" name="Column5759"/>
    <tableColumn id="5791" xr3:uid="{F67663D5-5D6F-4DAD-B951-FECD68C51A79}" name="Column5760"/>
    <tableColumn id="5792" xr3:uid="{532C6B52-D672-4188-AC99-C66DB0253252}" name="Column5761"/>
    <tableColumn id="5793" xr3:uid="{90098D82-63A8-4CDD-BDF0-7EA211EFAA4F}" name="Column5762"/>
    <tableColumn id="5794" xr3:uid="{31734D55-2E08-414C-B6B0-C3C089881CE1}" name="Column5763"/>
    <tableColumn id="5795" xr3:uid="{E9331D5F-6D0E-433E-970A-5B50C0BA4A00}" name="Column5764"/>
    <tableColumn id="5796" xr3:uid="{84841E3A-9C29-4FF3-A891-165A3C55E524}" name="Column5765"/>
    <tableColumn id="5797" xr3:uid="{934208D9-7BA5-4E21-B0EE-4A288F8662A8}" name="Column5766"/>
    <tableColumn id="5798" xr3:uid="{9C61E2D3-CF59-4A57-A0CA-423CA4B46ED9}" name="Column5767"/>
    <tableColumn id="5799" xr3:uid="{6C0E3233-332C-4E90-9DC5-E0C28021E0C7}" name="Column5768"/>
    <tableColumn id="5800" xr3:uid="{1A514423-1558-4D25-9DA6-2A8F43BC1B3D}" name="Column5769"/>
    <tableColumn id="5801" xr3:uid="{2FD3626B-D483-4E3A-AFB2-C9C9F44C5A42}" name="Column5770"/>
    <tableColumn id="5802" xr3:uid="{E70AC312-937E-406F-AF49-8BF6DA3C0611}" name="Column5771"/>
    <tableColumn id="5803" xr3:uid="{CE1DC477-B273-4B77-9F15-C58FA574FEB3}" name="Column5772"/>
    <tableColumn id="5804" xr3:uid="{A424C1BD-884D-4500-A9C6-40074E1863CA}" name="Column5773"/>
    <tableColumn id="5805" xr3:uid="{E727BEFF-6211-4E7B-9160-74F9DE5A90EE}" name="Column5774"/>
    <tableColumn id="5806" xr3:uid="{9AF4A218-482E-49E8-9161-7838F3E03221}" name="Column5775"/>
    <tableColumn id="5807" xr3:uid="{09D84CF0-5FBB-4678-977E-34CFE71141D6}" name="Column5776"/>
    <tableColumn id="5808" xr3:uid="{D1C2B2AA-9A1E-4D51-9BB4-5D56EA33AD32}" name="Column5777"/>
    <tableColumn id="5809" xr3:uid="{E3D7514F-A60E-4F64-896A-508AACBFDB32}" name="Column5778"/>
    <tableColumn id="5810" xr3:uid="{C97B785E-9726-4DF2-AF71-63FF2C2637D9}" name="Column5779"/>
    <tableColumn id="5811" xr3:uid="{E502DFAB-E8F3-4628-9F31-E7196185E033}" name="Column5780"/>
    <tableColumn id="5812" xr3:uid="{857CA0D8-1ED5-4C52-A43C-834D8AA78458}" name="Column5781"/>
    <tableColumn id="5813" xr3:uid="{637D90BE-5C60-49DD-B10D-E2242B0B78F9}" name="Column5782"/>
    <tableColumn id="5814" xr3:uid="{E527FCE3-00F5-46A9-A4E8-4A6101223A15}" name="Column5783"/>
    <tableColumn id="5815" xr3:uid="{6DA6A29B-ECD9-402D-953E-55292CEA3560}" name="Column5784"/>
    <tableColumn id="5816" xr3:uid="{E32842B9-99E2-4588-AFA1-FAC4391EC699}" name="Column5785"/>
    <tableColumn id="5817" xr3:uid="{9B00B6DF-9530-4FAC-B7AC-08BFBFEF930C}" name="Column5786"/>
    <tableColumn id="5818" xr3:uid="{9CCCA419-DAA6-45AD-8CD2-16B4D3C65AC8}" name="Column5787"/>
    <tableColumn id="5819" xr3:uid="{547B8EEA-2126-4448-A027-5BE83FD0A365}" name="Column5788"/>
    <tableColumn id="5820" xr3:uid="{C33EB87F-0BBA-4584-83F2-617EDAEBFFA8}" name="Column5789"/>
    <tableColumn id="5821" xr3:uid="{5E2A136A-53FA-466F-9046-0D129F478500}" name="Column5790"/>
    <tableColumn id="5822" xr3:uid="{0CCCD779-F34D-46E9-94A0-8FE8F29C8A4F}" name="Column5791"/>
    <tableColumn id="5823" xr3:uid="{2D746A37-A0B9-4BE8-B5A7-79447D6D0CBD}" name="Column5792"/>
    <tableColumn id="5824" xr3:uid="{41C30CF0-7D74-405D-BD91-FF48100B3377}" name="Column5793"/>
    <tableColumn id="5825" xr3:uid="{A78A9D3A-9D6D-4AF2-84C7-B5B16CAACBBC}" name="Column5794"/>
    <tableColumn id="5826" xr3:uid="{293C93B2-49AA-447F-AA1F-3D681FD4B990}" name="Column5795"/>
    <tableColumn id="5827" xr3:uid="{A578DCCD-530A-433E-A7E1-56374A7E2BED}" name="Column5796"/>
    <tableColumn id="5828" xr3:uid="{57F3E70B-ED36-48F8-96E8-1619AA8FC4EC}" name="Column5797"/>
    <tableColumn id="5829" xr3:uid="{FC83CF4A-CC4E-40CD-AB87-5EBCE2A375FD}" name="Column5798"/>
    <tableColumn id="5830" xr3:uid="{864F5F3B-42FE-49C4-9BF4-AC9F06152D1E}" name="Column5799"/>
    <tableColumn id="5831" xr3:uid="{33DD884D-2DEC-4C69-B56C-C31397E769D7}" name="Column5800"/>
    <tableColumn id="5832" xr3:uid="{9B9D3E58-1EE0-41A6-97A2-4B3C905E1FD9}" name="Column5801"/>
    <tableColumn id="5833" xr3:uid="{ED4B9074-5A5C-4F02-B9E4-D22363B77FDA}" name="Column5802"/>
    <tableColumn id="5834" xr3:uid="{4922F1EF-AF55-48D7-919C-55B49D11B59B}" name="Column5803"/>
    <tableColumn id="5835" xr3:uid="{CE3EA3F5-1E82-4907-AAB9-4E160AEC2F5D}" name="Column5804"/>
    <tableColumn id="5836" xr3:uid="{7BB00676-303B-4CA8-B241-C03C5C92D0C8}" name="Column5805"/>
    <tableColumn id="5837" xr3:uid="{C70F07A6-0478-41C4-A27F-8BBB44B23D20}" name="Column5806"/>
    <tableColumn id="5838" xr3:uid="{385F1EBA-9E2A-4DCF-992D-EE31590F26D3}" name="Column5807"/>
    <tableColumn id="5839" xr3:uid="{A541AC1A-B3FB-497E-9A04-75F875CF1309}" name="Column5808"/>
    <tableColumn id="5840" xr3:uid="{D7647F32-6C10-496A-BF2F-68EB9C6E9D5D}" name="Column5809"/>
    <tableColumn id="5841" xr3:uid="{9AC25640-EF42-4461-8868-43DDDE682F91}" name="Column5810"/>
    <tableColumn id="5842" xr3:uid="{65C4BD31-3602-4993-A1E3-65CCFD5C0449}" name="Column5811"/>
    <tableColumn id="5843" xr3:uid="{1446B26B-215F-4E0C-8818-ABC25F185D97}" name="Column5812"/>
    <tableColumn id="5844" xr3:uid="{42EB633B-DF0C-400C-AA41-EA8DA53B7DEE}" name="Column5813"/>
    <tableColumn id="5845" xr3:uid="{454D6D18-D403-4454-933C-B8FEBA26D665}" name="Column5814"/>
    <tableColumn id="5846" xr3:uid="{5DCD32BD-697B-4AF1-8983-D57A4F6D1AC2}" name="Column5815"/>
    <tableColumn id="5847" xr3:uid="{E17EE72B-8AA3-4A38-835E-211828E0BDDB}" name="Column5816"/>
    <tableColumn id="5848" xr3:uid="{D84DE9FA-5B41-425F-982B-4C230C5C70E1}" name="Column5817"/>
    <tableColumn id="5849" xr3:uid="{D0B356AF-0502-4583-B7D7-777D2242A39D}" name="Column5818"/>
    <tableColumn id="5850" xr3:uid="{28846AB9-1F99-47AD-A1B7-4E0AA006BA7E}" name="Column5819"/>
    <tableColumn id="5851" xr3:uid="{31AD86D0-0616-4AF3-9DDD-D10CB6C90AFF}" name="Column5820"/>
    <tableColumn id="5852" xr3:uid="{7D9C30F1-23B2-40C6-86C8-B11EC5FD9C8D}" name="Column5821"/>
    <tableColumn id="5853" xr3:uid="{A77F52B8-E464-4359-8FB2-85D8BD40E4D7}" name="Column5822"/>
    <tableColumn id="5854" xr3:uid="{8D1D33EC-96DB-4076-B641-8E27DD726321}" name="Column5823"/>
    <tableColumn id="5855" xr3:uid="{E1DBA682-5E8F-4AB0-A5AB-5FE2CCA7C2C8}" name="Column5824"/>
    <tableColumn id="5856" xr3:uid="{0B7D0EBB-32C1-4270-8267-8FFE51BD2C58}" name="Column5825"/>
    <tableColumn id="5857" xr3:uid="{622D4074-6203-44DD-9F3F-47C6C2985436}" name="Column5826"/>
    <tableColumn id="5858" xr3:uid="{065B1447-4A42-49FB-9694-27F3F11442AB}" name="Column5827"/>
    <tableColumn id="5859" xr3:uid="{F55F22E0-040E-4C5F-AFC8-BB0A2D0012D4}" name="Column5828"/>
    <tableColumn id="5860" xr3:uid="{1D7715E3-B5DF-4FB3-9B11-DA021D2A49CA}" name="Column5829"/>
    <tableColumn id="5861" xr3:uid="{5C9B6606-09FC-4735-92CF-C3679F6C29DF}" name="Column5830"/>
    <tableColumn id="5862" xr3:uid="{1F0BBA06-4A59-4130-BC4D-E828193E9314}" name="Column5831"/>
    <tableColumn id="5863" xr3:uid="{8D06DA84-8AD4-4E94-A926-3C6B45BE28B3}" name="Column5832"/>
    <tableColumn id="5864" xr3:uid="{C73356AF-FE7E-42FE-B749-E1DEAB97279C}" name="Column5833"/>
    <tableColumn id="5865" xr3:uid="{3C7667EA-9843-4113-AD64-223047433872}" name="Column5834"/>
    <tableColumn id="5866" xr3:uid="{CD0139D3-E8F2-4708-91AC-8FFFBE94E4E1}" name="Column5835"/>
    <tableColumn id="5867" xr3:uid="{478D0C48-7A42-447D-BE7E-6DF90346F38B}" name="Column5836"/>
    <tableColumn id="5868" xr3:uid="{409D6B4A-83F2-47A0-91C1-FDDFE1A04A40}" name="Column5837"/>
    <tableColumn id="5869" xr3:uid="{572BB023-75F3-4F45-970E-B402AA37E598}" name="Column5838"/>
    <tableColumn id="5870" xr3:uid="{C4E77B07-9345-4005-9A03-9FA621BD74BC}" name="Column5839"/>
    <tableColumn id="5871" xr3:uid="{8BC26B9A-CFBE-4438-AE80-5AD2AA95123E}" name="Column5840"/>
    <tableColumn id="5872" xr3:uid="{D2D3CB27-D48D-4754-81E3-2CA5DFD243DE}" name="Column5841"/>
    <tableColumn id="5873" xr3:uid="{F70E7200-8D25-4A1E-AA56-D2F415846CF6}" name="Column5842"/>
    <tableColumn id="5874" xr3:uid="{6579A2B5-809C-4C0B-AF20-7842FF0E7F54}" name="Column5843"/>
    <tableColumn id="5875" xr3:uid="{BA14FAFE-F770-4634-900E-F3F58C24D3A9}" name="Column5844"/>
    <tableColumn id="5876" xr3:uid="{558591F1-DB1F-449C-8728-E767F810E0F3}" name="Column5845"/>
    <tableColumn id="5877" xr3:uid="{8E13D277-F03B-497E-B4A2-7511961D67DF}" name="Column5846"/>
    <tableColumn id="5878" xr3:uid="{441072B2-7339-4F20-9832-D24E7E72978A}" name="Column5847"/>
    <tableColumn id="5879" xr3:uid="{F2D75C20-64D8-4094-A123-5E26068A82E8}" name="Column5848"/>
    <tableColumn id="5880" xr3:uid="{D06F6EFA-04E5-4B09-ABC6-90637B5FF984}" name="Column5849"/>
    <tableColumn id="5881" xr3:uid="{04640A1C-2695-4E0F-825F-887C8538C2C5}" name="Column5850"/>
    <tableColumn id="5882" xr3:uid="{7A11BD88-BAEE-4FF8-AB75-E0C05BC7A95F}" name="Column5851"/>
    <tableColumn id="5883" xr3:uid="{23EF577D-083C-4294-9A6D-C70366D8E8AC}" name="Column5852"/>
    <tableColumn id="5884" xr3:uid="{77B15CAB-F3D1-4944-963C-23856C448C1C}" name="Column5853"/>
    <tableColumn id="5885" xr3:uid="{2E07180D-C6AB-4F98-B6AF-20DCF3679C71}" name="Column5854"/>
    <tableColumn id="5886" xr3:uid="{33BA0905-D387-4DE3-A5F6-796E4E1FB0B0}" name="Column5855"/>
    <tableColumn id="5887" xr3:uid="{BC4CCA36-D170-42FE-865D-82B840090374}" name="Column5856"/>
    <tableColumn id="5888" xr3:uid="{81DA4BBD-954C-45F4-899A-B5F84C110E2E}" name="Column5857"/>
    <tableColumn id="5889" xr3:uid="{ECABACD9-3408-45AF-AFD6-13CD21985804}" name="Column5858"/>
    <tableColumn id="5890" xr3:uid="{859DB6BA-57FB-4DA0-A9A8-6754CE2342FD}" name="Column5859"/>
    <tableColumn id="5891" xr3:uid="{B950727C-332F-4F1D-AEB3-2EF39B1333FF}" name="Column5860"/>
    <tableColumn id="5892" xr3:uid="{0423034B-1879-4A5E-87BC-99A42999C5F5}" name="Column5861"/>
    <tableColumn id="5893" xr3:uid="{DCB08AC3-DAFB-41F5-B22C-E7C498AF19D8}" name="Column5862"/>
    <tableColumn id="5894" xr3:uid="{4917AD55-2F47-4CF2-BEB3-FC8DF076E2AB}" name="Column5863"/>
    <tableColumn id="5895" xr3:uid="{E0BD5C9D-6BAB-4FEA-8DBE-257C21E45447}" name="Column5864"/>
    <tableColumn id="5896" xr3:uid="{37FD0C02-8254-40ED-86FB-0D40D5747EC5}" name="Column5865"/>
    <tableColumn id="5897" xr3:uid="{9E989551-97B4-488D-83C5-871BC80573E1}" name="Column5866"/>
    <tableColumn id="5898" xr3:uid="{3C76E954-B1E9-4EC1-ADEF-73D4D772A4FF}" name="Column5867"/>
    <tableColumn id="5899" xr3:uid="{218B6365-E240-472F-B8F7-CBC5E59A8564}" name="Column5868"/>
    <tableColumn id="5900" xr3:uid="{AD7CE5BE-C1A9-4B44-A1E5-49A056D916CF}" name="Column5869"/>
    <tableColumn id="5901" xr3:uid="{9B1428F8-D9D7-41F3-AECA-CD01940CED18}" name="Column5870"/>
    <tableColumn id="5902" xr3:uid="{D9D75BF5-B1ED-4416-BEE8-5307973A2859}" name="Column5871"/>
    <tableColumn id="5903" xr3:uid="{E89CADDD-E1F8-405C-BB48-AE171D7B9FD5}" name="Column5872"/>
    <tableColumn id="5904" xr3:uid="{6119B70D-810D-42F6-BF5E-D4B519AC09FD}" name="Column5873"/>
    <tableColumn id="5905" xr3:uid="{CF65EBBD-57B7-4A38-9E4A-7CCD779B66BB}" name="Column5874"/>
    <tableColumn id="5906" xr3:uid="{19417C4B-4FBB-4229-B7E6-60EB3CA7C1E5}" name="Column5875"/>
    <tableColumn id="5907" xr3:uid="{E36D5A17-7D8C-4354-B197-3AFAB1F13695}" name="Column5876"/>
    <tableColumn id="5908" xr3:uid="{A43BE985-6FEB-45A0-A2EF-FAE1B53E97E3}" name="Column5877"/>
    <tableColumn id="5909" xr3:uid="{7AD69EF2-FFFA-44FB-9AA4-251174959A2F}" name="Column5878"/>
    <tableColumn id="5910" xr3:uid="{A5D8770A-4660-4CD8-B84C-731EF9D09D1C}" name="Column5879"/>
    <tableColumn id="5911" xr3:uid="{96DD69F6-341B-45A9-AA90-D45BB1900D50}" name="Column5880"/>
    <tableColumn id="5912" xr3:uid="{783DD9A5-B5D1-42C4-9417-D4C45180DC44}" name="Column5881"/>
    <tableColumn id="5913" xr3:uid="{20AFD019-F526-44DB-A639-17FAB164CC18}" name="Column5882"/>
    <tableColumn id="5914" xr3:uid="{48A20308-527E-4D7C-B607-B503562A05E4}" name="Column5883"/>
    <tableColumn id="5915" xr3:uid="{8A99618A-41B4-45FE-AAC5-917F0BCD501F}" name="Column5884"/>
    <tableColumn id="5916" xr3:uid="{58D38C1C-789E-4578-B5C6-6A755E560D14}" name="Column5885"/>
    <tableColumn id="5917" xr3:uid="{200D219A-0DD4-4A1F-A96F-BE396FB32C27}" name="Column5886"/>
    <tableColumn id="5918" xr3:uid="{2491B8CD-407D-477C-938C-C0366EFE9236}" name="Column5887"/>
    <tableColumn id="5919" xr3:uid="{5749582E-DD54-4688-AE1C-721265894EB3}" name="Column5888"/>
    <tableColumn id="5920" xr3:uid="{3496C5F8-39C7-4D3F-B387-FE16A77D9AE0}" name="Column5889"/>
    <tableColumn id="5921" xr3:uid="{C29D0DF6-8821-4D90-9F8F-4084415438F4}" name="Column5890"/>
    <tableColumn id="5922" xr3:uid="{738F3F9F-4FA3-4930-8223-F1A9AE2D64B6}" name="Column5891"/>
    <tableColumn id="5923" xr3:uid="{8017A5AF-CC72-4B0A-9AA2-AFE4D7F11414}" name="Column5892"/>
    <tableColumn id="5924" xr3:uid="{7C5072F1-4C29-4EEE-9491-C9CC014D56B1}" name="Column5893"/>
    <tableColumn id="5925" xr3:uid="{B7159032-8C71-4F5F-BEC6-3021B2940CC9}" name="Column5894"/>
    <tableColumn id="5926" xr3:uid="{9D194FB1-C1CB-4717-9EA8-2D4CF74D9617}" name="Column5895"/>
    <tableColumn id="5927" xr3:uid="{B93A4E44-B486-49AA-BABF-BE6865A442C9}" name="Column5896"/>
    <tableColumn id="5928" xr3:uid="{B8DCF112-B589-4849-A2D6-0D75E581A62F}" name="Column5897"/>
    <tableColumn id="5929" xr3:uid="{AD6FC00B-FEF4-466A-859C-1827ADAB3D18}" name="Column5898"/>
    <tableColumn id="5930" xr3:uid="{DD9E83A9-440D-49A7-9567-B5291A7E0974}" name="Column5899"/>
    <tableColumn id="5931" xr3:uid="{767C6951-6D24-4FCB-A858-4D7812315A77}" name="Column5900"/>
    <tableColumn id="5932" xr3:uid="{0AD7FE95-C934-4E86-B5EA-9A237F9280C1}" name="Column5901"/>
    <tableColumn id="5933" xr3:uid="{038C30FE-40F9-418D-B343-5500DA954903}" name="Column5902"/>
    <tableColumn id="5934" xr3:uid="{FC4FA94D-6646-4553-B8AE-2C1041271A6A}" name="Column5903"/>
    <tableColumn id="5935" xr3:uid="{C197FDD8-548D-4546-9F1E-897CAC3CD7A8}" name="Column5904"/>
    <tableColumn id="5936" xr3:uid="{7FC92EA7-D463-40B4-82C7-C173FF925F20}" name="Column5905"/>
    <tableColumn id="5937" xr3:uid="{CBF0250A-5307-4782-B4BB-9CC75A60C0C8}" name="Column5906"/>
    <tableColumn id="5938" xr3:uid="{B592BE8C-F4A7-4888-B255-EC210D02FEC0}" name="Column5907"/>
    <tableColumn id="5939" xr3:uid="{05ECC341-EAC4-4806-B645-8282F6F13D7E}" name="Column5908"/>
    <tableColumn id="5940" xr3:uid="{8E80EBB1-3D27-4822-9E6C-A6F4AE91A4F5}" name="Column5909"/>
    <tableColumn id="5941" xr3:uid="{DCC4B0B9-BA80-4D8D-A770-795AD86E0C78}" name="Column5910"/>
    <tableColumn id="5942" xr3:uid="{2604DABC-9665-42EE-AEAB-65968D35C36F}" name="Column5911"/>
    <tableColumn id="5943" xr3:uid="{D3137533-14A2-479E-AB78-E7295F932DD4}" name="Column5912"/>
    <tableColumn id="5944" xr3:uid="{64446D97-9026-4D1C-BB0E-0B96ADD0B7D9}" name="Column5913"/>
    <tableColumn id="5945" xr3:uid="{2EC6B5E2-5E10-4954-AE2F-E2F736169806}" name="Column5914"/>
    <tableColumn id="5946" xr3:uid="{8DF83BBE-40B3-42EB-A742-35021BCC3C3A}" name="Column5915"/>
    <tableColumn id="5947" xr3:uid="{A342C1D3-47DC-4326-9EFB-790EE1170F7E}" name="Column5916"/>
    <tableColumn id="5948" xr3:uid="{4C78B702-E7F1-4541-B481-BF7B3F2212B0}" name="Column5917"/>
    <tableColumn id="5949" xr3:uid="{AD6C2D6A-4B38-4305-92F7-CA20D4E86C40}" name="Column5918"/>
    <tableColumn id="5950" xr3:uid="{EA092574-BD9D-447B-84A9-E4413F17DFB3}" name="Column5919"/>
    <tableColumn id="5951" xr3:uid="{EB5E83E6-3E83-4032-93B5-DD932D514668}" name="Column5920"/>
    <tableColumn id="5952" xr3:uid="{459ACAD2-638D-4059-9CE0-3B0A5E8B30D2}" name="Column5921"/>
    <tableColumn id="5953" xr3:uid="{C86D20DF-59BD-4004-81AC-15469D466AFD}" name="Column5922"/>
    <tableColumn id="5954" xr3:uid="{666E7633-6845-4D82-9EAA-810000E84AC7}" name="Column5923"/>
    <tableColumn id="5955" xr3:uid="{F44B527A-AD8C-4C33-A68D-D2DC380DC05B}" name="Column5924"/>
    <tableColumn id="5956" xr3:uid="{F922B484-2DD4-4675-980C-92A6278BB0D4}" name="Column5925"/>
    <tableColumn id="5957" xr3:uid="{9923BBEB-A28F-40D3-A6FF-EEF8C49CE213}" name="Column5926"/>
    <tableColumn id="5958" xr3:uid="{11C17A5C-5A1F-42A6-AA77-D1B66252F667}" name="Column5927"/>
    <tableColumn id="5959" xr3:uid="{6C197A1C-D59E-4211-9452-22C5115BC4F8}" name="Column5928"/>
    <tableColumn id="5960" xr3:uid="{45DE2F8B-8136-4AEF-8D27-1621CE5A0EC1}" name="Column5929"/>
    <tableColumn id="5961" xr3:uid="{03878C76-A5BB-45AB-B602-6A97DF1CA450}" name="Column5930"/>
    <tableColumn id="5962" xr3:uid="{164F191A-5988-4FBB-B38F-8FA3BF61BBA2}" name="Column5931"/>
    <tableColumn id="5963" xr3:uid="{44249851-B457-405F-98E9-EA76FD1677D1}" name="Column5932"/>
    <tableColumn id="5964" xr3:uid="{C2A18D2A-3FB5-4D05-AA29-9CC2D97FA9A6}" name="Column5933"/>
    <tableColumn id="5965" xr3:uid="{2D055C36-A167-4318-92EC-C91B17F4F74A}" name="Column5934"/>
    <tableColumn id="5966" xr3:uid="{5A4E0150-2D9B-4D52-8916-5065A0321ACB}" name="Column5935"/>
    <tableColumn id="5967" xr3:uid="{A191A2FD-C8D4-45F6-A322-D23460FF8E73}" name="Column5936"/>
    <tableColumn id="5968" xr3:uid="{8A356830-7DCA-4787-8775-92140B7B7DA2}" name="Column5937"/>
    <tableColumn id="5969" xr3:uid="{B8A7B526-E874-4C17-836E-8E98C6A0769F}" name="Column5938"/>
    <tableColumn id="5970" xr3:uid="{61C49FFE-58E0-411D-858F-1196E528605E}" name="Column5939"/>
    <tableColumn id="5971" xr3:uid="{FDA34D79-44DE-4F55-BBCD-EC094896EB12}" name="Column5940"/>
    <tableColumn id="5972" xr3:uid="{BB6629E4-21EB-423C-894F-2A5E5522E629}" name="Column5941"/>
    <tableColumn id="5973" xr3:uid="{85403447-0BF5-4D31-8AEC-2FCE79ECEAB5}" name="Column5942"/>
    <tableColumn id="5974" xr3:uid="{EE857A83-C970-44C3-86AB-BAF3BC8A744A}" name="Column5943"/>
    <tableColumn id="5975" xr3:uid="{C5B78CD8-8E91-442B-904A-15A68C1751CC}" name="Column5944"/>
    <tableColumn id="5976" xr3:uid="{56899346-529C-4C10-84EA-114C4EF4D213}" name="Column5945"/>
    <tableColumn id="5977" xr3:uid="{69F5235C-0499-4008-A5E2-B4B6AD6EC7F6}" name="Column5946"/>
    <tableColumn id="5978" xr3:uid="{85F99A32-4FEA-49EF-9F96-C2C38DD021A7}" name="Column5947"/>
    <tableColumn id="5979" xr3:uid="{444A8AF1-BABE-4B34-B84D-58F8B0D12912}" name="Column5948"/>
    <tableColumn id="5980" xr3:uid="{DDEA4C70-5316-4188-9965-78E386603FC2}" name="Column5949"/>
    <tableColumn id="5981" xr3:uid="{7349CB35-E68E-424A-BDA3-57398678B3EC}" name="Column5950"/>
    <tableColumn id="5982" xr3:uid="{A4BAF275-FC54-4DD0-993A-248836095785}" name="Column5951"/>
    <tableColumn id="5983" xr3:uid="{2266FD31-D4C4-42AE-9044-54F58BAF7281}" name="Column5952"/>
    <tableColumn id="5984" xr3:uid="{6118C63E-1C97-4FD8-BD0E-8B9BCAE571E2}" name="Column5953"/>
    <tableColumn id="5985" xr3:uid="{625E693B-1F92-49B1-AD6C-E3C909F7BBD4}" name="Column5954"/>
    <tableColumn id="5986" xr3:uid="{B444A927-0B20-4AFE-A0F4-1DAA08C9B828}" name="Column5955"/>
    <tableColumn id="5987" xr3:uid="{D0BF0E7A-C49E-4C88-8E95-B71B0AABC1FB}" name="Column5956"/>
    <tableColumn id="5988" xr3:uid="{AFD3FA65-A042-49CF-A298-97C315328F8E}" name="Column5957"/>
    <tableColumn id="5989" xr3:uid="{D715E8B9-63C5-46F3-ABC8-EA99AB399999}" name="Column5958"/>
    <tableColumn id="5990" xr3:uid="{C7A1091B-8B51-46A0-8804-D9A7C799648D}" name="Column5959"/>
    <tableColumn id="5991" xr3:uid="{3B9CA3D1-6CA1-4A81-8D12-E7B93A81E5DD}" name="Column5960"/>
    <tableColumn id="5992" xr3:uid="{64390118-3C64-430F-9336-76609A726CF0}" name="Column5961"/>
    <tableColumn id="5993" xr3:uid="{9F6E7DD5-AF76-4BC4-B742-550B7F4E0CF4}" name="Column5962"/>
    <tableColumn id="5994" xr3:uid="{E8258EFD-6C68-4920-930E-05410B82C03E}" name="Column5963"/>
    <tableColumn id="5995" xr3:uid="{22BA85A2-8CDB-4AEB-BFC0-A090B4F0CDDE}" name="Column5964"/>
    <tableColumn id="5996" xr3:uid="{59B85F13-66B8-4698-BE54-5A3AA94A8ED4}" name="Column5965"/>
    <tableColumn id="5997" xr3:uid="{E556D379-5223-41D9-A80E-E4FEE4F9CF0D}" name="Column5966"/>
    <tableColumn id="5998" xr3:uid="{B57AD900-7A17-49CE-94E8-4F83790E2F7B}" name="Column5967"/>
    <tableColumn id="5999" xr3:uid="{5678BF29-364C-444F-A31D-4F8815117A96}" name="Column5968"/>
    <tableColumn id="6000" xr3:uid="{35DCB9F3-AAC5-4255-B502-BE2B019771E4}" name="Column5969"/>
    <tableColumn id="6001" xr3:uid="{9881E985-556E-477D-B3D0-5317DD46C1A3}" name="Column5970"/>
    <tableColumn id="6002" xr3:uid="{5B8F5580-487F-4AD1-AAC9-45D95BEA079C}" name="Column5971"/>
    <tableColumn id="6003" xr3:uid="{E6123576-CDB8-49D2-B660-9C146F47B6DD}" name="Column5972"/>
    <tableColumn id="6004" xr3:uid="{7882F238-1E6A-476D-8BD0-DEB3374AAAD4}" name="Column5973"/>
    <tableColumn id="6005" xr3:uid="{358018C1-BE54-436F-BC16-6803EAC69F11}" name="Column5974"/>
    <tableColumn id="6006" xr3:uid="{99B686AE-1147-4161-8ED2-94B856D2173A}" name="Column5975"/>
    <tableColumn id="6007" xr3:uid="{83D868B7-F398-4E01-A929-B040B882998B}" name="Column5976"/>
    <tableColumn id="6008" xr3:uid="{73E6348B-E05C-4A7F-9938-42CF1E3E1D82}" name="Column5977"/>
    <tableColumn id="6009" xr3:uid="{7DE45891-380B-48B0-A3B8-3D4683887E5D}" name="Column5978"/>
    <tableColumn id="6010" xr3:uid="{E4F5FB13-FD53-4735-827E-597B25C374EF}" name="Column5979"/>
    <tableColumn id="6011" xr3:uid="{E446C137-1BF7-423E-8A74-DBC6F56889CC}" name="Column5980"/>
    <tableColumn id="6012" xr3:uid="{71E3FCA6-1613-4E3D-A804-2CDAC13B5CF0}" name="Column5981"/>
    <tableColumn id="6013" xr3:uid="{9C368AF4-852D-4D70-B105-D9ECF1B468C6}" name="Column5982"/>
    <tableColumn id="6014" xr3:uid="{27A58E97-4F55-4E95-A89E-6B7E1AC8973B}" name="Column5983"/>
    <tableColumn id="6015" xr3:uid="{606A7D27-D1D0-4EE8-848B-5CB2E710ED43}" name="Column5984"/>
    <tableColumn id="6016" xr3:uid="{CF5E9A72-12E7-42D8-A391-B90C105DD30C}" name="Column5985"/>
    <tableColumn id="6017" xr3:uid="{8F5622FC-7E85-4257-9A4B-F1BE2885A5F2}" name="Column5986"/>
    <tableColumn id="6018" xr3:uid="{8E65A280-3974-4656-ABC8-86BE3D0D5774}" name="Column5987"/>
    <tableColumn id="6019" xr3:uid="{20010481-541E-4896-A487-F0505F48872A}" name="Column5988"/>
    <tableColumn id="6020" xr3:uid="{1FF90413-336C-42B1-9072-EFEFE0E922CA}" name="Column5989"/>
    <tableColumn id="6021" xr3:uid="{E1C7165A-F8FC-4D7D-8938-A4F042F97A1A}" name="Column5990"/>
    <tableColumn id="6022" xr3:uid="{69723ED5-5024-41FD-9E27-E11F67472855}" name="Column5991"/>
    <tableColumn id="6023" xr3:uid="{B20695C2-2EC5-44E1-AB71-BD7B1A1458E5}" name="Column5992"/>
    <tableColumn id="6024" xr3:uid="{178219D3-C9D9-4F30-8D05-5956BD4A499E}" name="Column5993"/>
    <tableColumn id="6025" xr3:uid="{47788B94-684C-438B-935D-23B5562A9FD7}" name="Column5994"/>
    <tableColumn id="6026" xr3:uid="{7BA29B62-A010-4F59-BD33-3276E8B49361}" name="Column5995"/>
    <tableColumn id="6027" xr3:uid="{4F0B3057-3443-480C-909E-6AC965794DFE}" name="Column5996"/>
    <tableColumn id="6028" xr3:uid="{FCA80C7A-9232-49EC-9583-316BBE1EC3D8}" name="Column5997"/>
    <tableColumn id="6029" xr3:uid="{574814DC-ECA0-487E-9B5C-DAC3924F0A7D}" name="Column5998"/>
    <tableColumn id="6030" xr3:uid="{76237A09-86CF-4A23-BC24-F1076D192158}" name="Column5999"/>
    <tableColumn id="6031" xr3:uid="{0C4B85BB-CEDB-4CBC-9ABB-3962AB7457C8}" name="Column6000"/>
    <tableColumn id="6032" xr3:uid="{71B66BE6-D323-4845-822A-A791302C1940}" name="Column6001"/>
    <tableColumn id="6033" xr3:uid="{30ADAE17-A165-445B-A9E9-4EEEC693D6B2}" name="Column6002"/>
    <tableColumn id="6034" xr3:uid="{A0157741-363A-438B-94B4-8DE19886DBA6}" name="Column6003"/>
    <tableColumn id="6035" xr3:uid="{9C85404B-E30A-4894-83DE-D3DF7223DD67}" name="Column6004"/>
    <tableColumn id="6036" xr3:uid="{C9BA5EDD-75A8-4269-B7CC-54298E38DD1A}" name="Column6005"/>
    <tableColumn id="6037" xr3:uid="{9A3DE591-B27C-4630-9214-FB657E39C8B8}" name="Column6006"/>
    <tableColumn id="6038" xr3:uid="{2A5CCA50-CC3F-435E-84C6-A6F4EE9D3B6F}" name="Column6007"/>
    <tableColumn id="6039" xr3:uid="{AB3EDC07-6374-4763-97C3-B900D6F9C3A0}" name="Column6008"/>
    <tableColumn id="6040" xr3:uid="{54CB8F12-5052-4D42-ADD8-BB06C8938D36}" name="Column6009"/>
    <tableColumn id="6041" xr3:uid="{6FFC4A14-819B-4BD7-8E79-C17D068A94A1}" name="Column6010"/>
    <tableColumn id="6042" xr3:uid="{4C25F271-6300-49E6-AF38-A1D31FD0E96B}" name="Column6011"/>
    <tableColumn id="6043" xr3:uid="{5D51FB93-801F-4010-A77D-C24271F922CE}" name="Column6012"/>
    <tableColumn id="6044" xr3:uid="{D139580D-9E14-442C-9E86-C4800ECEC7A2}" name="Column6013"/>
    <tableColumn id="6045" xr3:uid="{4E472C7F-B032-446A-85B2-4D956044012C}" name="Column6014"/>
    <tableColumn id="6046" xr3:uid="{4D96D050-FFB1-4FD3-BCC9-0DA2584CDFA3}" name="Column6015"/>
    <tableColumn id="6047" xr3:uid="{0351B176-BBB5-445B-A6F0-8DF50A9271BE}" name="Column6016"/>
    <tableColumn id="6048" xr3:uid="{20652518-6D53-4CE4-B191-B241564D7C24}" name="Column6017"/>
    <tableColumn id="6049" xr3:uid="{E5D59F2C-AF89-4AE4-9B20-FDE9B4920B72}" name="Column6018"/>
    <tableColumn id="6050" xr3:uid="{8C549A0F-3A00-4BFA-852B-658998235792}" name="Column6019"/>
    <tableColumn id="6051" xr3:uid="{3B8DDD11-6889-4BCE-BE4B-727E18EFBFBC}" name="Column6020"/>
    <tableColumn id="6052" xr3:uid="{81F870BC-131D-47B5-984A-DFCEACC0754E}" name="Column6021"/>
    <tableColumn id="6053" xr3:uid="{E4FBDB41-45D7-4C51-B1F1-8784EC07369E}" name="Column6022"/>
    <tableColumn id="6054" xr3:uid="{2285898C-1822-4204-8BC0-1120F214C3AB}" name="Column6023"/>
    <tableColumn id="6055" xr3:uid="{2CCFBA8D-7BDB-4594-ADBC-FC80C4C2B679}" name="Column6024"/>
    <tableColumn id="6056" xr3:uid="{81985A22-4EFA-46B5-BF16-63039D8691D9}" name="Column6025"/>
    <tableColumn id="6057" xr3:uid="{518228E7-E8DD-4D9F-93C8-2D1D67DDD15F}" name="Column6026"/>
    <tableColumn id="6058" xr3:uid="{E35EBC44-C688-488F-BD8A-2096AC2D0BE4}" name="Column6027"/>
    <tableColumn id="6059" xr3:uid="{155850ED-FD37-4004-83E7-59479EFBE093}" name="Column6028"/>
    <tableColumn id="6060" xr3:uid="{A7EEB2CC-8610-4B80-9524-B80EDDA26842}" name="Column6029"/>
    <tableColumn id="6061" xr3:uid="{460B9916-991A-4495-B6BA-8F6822E7719A}" name="Column6030"/>
    <tableColumn id="6062" xr3:uid="{422B6C58-1F48-43A1-8CA6-53976EBE19AC}" name="Column6031"/>
    <tableColumn id="6063" xr3:uid="{77F6159B-7CE7-4ABB-932E-515855C22335}" name="Column6032"/>
    <tableColumn id="6064" xr3:uid="{EB1B9D91-7B5E-4722-8425-CD5263404D3C}" name="Column6033"/>
    <tableColumn id="6065" xr3:uid="{FA81E43E-2D8F-4D51-9914-0BCBD6E38769}" name="Column6034"/>
    <tableColumn id="6066" xr3:uid="{3F00AD8E-4C12-43E5-80F3-5E78A32A6013}" name="Column6035"/>
    <tableColumn id="6067" xr3:uid="{EC5B3902-5534-42F5-AF40-1DA9FF189D23}" name="Column6036"/>
    <tableColumn id="6068" xr3:uid="{F59EFF7B-891D-4E16-88AC-B19C2B6893DB}" name="Column6037"/>
    <tableColumn id="6069" xr3:uid="{A3B928E6-2D9F-4D37-9FD9-9EF31E76F543}" name="Column6038"/>
    <tableColumn id="6070" xr3:uid="{A4DA8546-3DA0-4133-B859-9D7F7ACA2B81}" name="Column6039"/>
    <tableColumn id="6071" xr3:uid="{103A1E7D-272B-4810-8F57-727EC31C555D}" name="Column6040"/>
    <tableColumn id="6072" xr3:uid="{7BE3794E-142A-4726-A9FE-F8BE88E790CE}" name="Column6041"/>
    <tableColumn id="6073" xr3:uid="{C66894DC-09F3-419A-93B7-832A4CFB93B6}" name="Column6042"/>
    <tableColumn id="6074" xr3:uid="{B76A1D27-2E2F-4A19-84CB-479B0DE10562}" name="Column6043"/>
    <tableColumn id="6075" xr3:uid="{F122744B-8339-4ED8-BEAF-A1B1E10B5C09}" name="Column6044"/>
    <tableColumn id="6076" xr3:uid="{413FB861-020F-4681-8234-ED901025AFBC}" name="Column6045"/>
    <tableColumn id="6077" xr3:uid="{8E6CE1DF-1B95-476F-B667-DB1C12FBD54E}" name="Column6046"/>
    <tableColumn id="6078" xr3:uid="{2DFDCF3B-FD73-4726-B1E6-9509309CECAF}" name="Column6047"/>
    <tableColumn id="6079" xr3:uid="{A9A01A41-3FDD-4BE2-80C9-38C92277C088}" name="Column6048"/>
    <tableColumn id="6080" xr3:uid="{AC9BB205-7AE4-4045-B0BF-7D286B1FC32C}" name="Column6049"/>
    <tableColumn id="6081" xr3:uid="{C73518C5-DB19-4F31-8BB1-D991BE49D034}" name="Column6050"/>
    <tableColumn id="6082" xr3:uid="{CDBF0AB9-014E-4AC2-A69A-04A020D0A950}" name="Column6051"/>
    <tableColumn id="6083" xr3:uid="{AF29233F-3F32-4AF8-8225-4854C7AFC314}" name="Column6052"/>
    <tableColumn id="6084" xr3:uid="{305128E5-F24A-4D23-8A7A-A3192A4A4AD0}" name="Column6053"/>
    <tableColumn id="6085" xr3:uid="{319B69A5-F697-4DAB-A9E2-37B073E69799}" name="Column6054"/>
    <tableColumn id="6086" xr3:uid="{AABA1A35-77ED-4E5E-99B4-27273842DE6C}" name="Column6055"/>
    <tableColumn id="6087" xr3:uid="{62A554F4-864D-46CC-BA95-8C2013F3AB5F}" name="Column6056"/>
    <tableColumn id="6088" xr3:uid="{CBFEF66B-7843-4B1F-9BB0-ABC5FD16020C}" name="Column6057"/>
    <tableColumn id="6089" xr3:uid="{480E7D0F-85DB-475D-9C86-B5C1FA630933}" name="Column6058"/>
    <tableColumn id="6090" xr3:uid="{6193B822-B6EA-43F9-AB88-BF09CCDB5FE0}" name="Column6059"/>
    <tableColumn id="6091" xr3:uid="{11B9BF3B-5978-4649-9F65-508BAC3881E7}" name="Column6060"/>
    <tableColumn id="6092" xr3:uid="{976BC570-EBF8-481C-9171-B02E280A646A}" name="Column6061"/>
    <tableColumn id="6093" xr3:uid="{EEBA5837-1706-4DFB-8E18-709BED4B825A}" name="Column6062"/>
    <tableColumn id="6094" xr3:uid="{A9DC0329-01B2-4570-AF4F-08155FF991B3}" name="Column6063"/>
    <tableColumn id="6095" xr3:uid="{1084CE7B-525C-4A5B-986C-B0142ABBF2D4}" name="Column6064"/>
    <tableColumn id="6096" xr3:uid="{B7384B14-FDD5-4CF5-9E9A-F52358347E86}" name="Column6065"/>
    <tableColumn id="6097" xr3:uid="{11DAEF5E-A67E-4D8A-87C8-CCB97F03ED5C}" name="Column6066"/>
    <tableColumn id="6098" xr3:uid="{F11BB15D-968E-43A1-B3BD-879A5AF796D8}" name="Column6067"/>
    <tableColumn id="6099" xr3:uid="{6D0F80F2-DF91-467B-A084-B6637901E98A}" name="Column6068"/>
    <tableColumn id="6100" xr3:uid="{4AD7305A-4F5B-49F9-B433-552376F81BCC}" name="Column6069"/>
    <tableColumn id="6101" xr3:uid="{525A7CBE-2366-4490-B226-11227F2E8EE7}" name="Column6070"/>
    <tableColumn id="6102" xr3:uid="{2837BC37-D351-408C-97B7-71D75164330B}" name="Column6071"/>
    <tableColumn id="6103" xr3:uid="{679AB911-BF2F-44B4-8993-79AF944C7A43}" name="Column6072"/>
    <tableColumn id="6104" xr3:uid="{A7A01254-C0EF-4971-8FC8-9182D75D8AD6}" name="Column6073"/>
    <tableColumn id="6105" xr3:uid="{0D1BF019-05CA-434C-92A7-B83FEFEFFFA1}" name="Column6074"/>
    <tableColumn id="6106" xr3:uid="{49126078-EAE3-47A5-95F5-1D04C2E176A9}" name="Column6075"/>
    <tableColumn id="6107" xr3:uid="{CC04335D-7F11-40FC-8B83-D8101534E60C}" name="Column6076"/>
    <tableColumn id="6108" xr3:uid="{F2E5035F-3600-40E6-96B4-8B3751FDF90F}" name="Column6077"/>
    <tableColumn id="6109" xr3:uid="{67C4670D-A64C-44CA-93F9-782B4F93A99F}" name="Column6078"/>
    <tableColumn id="6110" xr3:uid="{59420123-D9C7-4056-B23C-74619F9D920B}" name="Column6079"/>
    <tableColumn id="6111" xr3:uid="{C2027193-ED45-458A-90DB-931F3EC0498D}" name="Column6080"/>
    <tableColumn id="6112" xr3:uid="{7267A206-14EC-4A7A-B26A-710994CE972D}" name="Column6081"/>
    <tableColumn id="6113" xr3:uid="{8E1BDF33-B77E-4757-8C6C-74DBAC6074DA}" name="Column6082"/>
    <tableColumn id="6114" xr3:uid="{47D87638-3329-4675-B037-D21D4AB27CB9}" name="Column6083"/>
    <tableColumn id="6115" xr3:uid="{1BC68A40-5C38-4126-B600-B65F7B4E64BE}" name="Column6084"/>
    <tableColumn id="6116" xr3:uid="{0F895DFF-ADF6-4A8D-85FA-4B6FEC9AC20D}" name="Column6085"/>
    <tableColumn id="6117" xr3:uid="{BE35EAC1-5F97-422C-9A0C-3D5B5152EF2D}" name="Column6086"/>
    <tableColumn id="6118" xr3:uid="{93CF2007-600B-47A1-8DB4-5400058801C1}" name="Column6087"/>
    <tableColumn id="6119" xr3:uid="{EF140F00-C944-4063-8E70-6D8E3B640E36}" name="Column6088"/>
    <tableColumn id="6120" xr3:uid="{C05FE444-A6B5-4FFF-BA3B-1CA853D0788C}" name="Column6089"/>
    <tableColumn id="6121" xr3:uid="{863E01C6-63F4-461B-946E-370CABA445F8}" name="Column6090"/>
    <tableColumn id="6122" xr3:uid="{E862DB38-57F6-4C99-8E4E-24C966FC61C6}" name="Column6091"/>
    <tableColumn id="6123" xr3:uid="{673A0DAA-ADC2-40E6-ACF6-F5E1E23B1F34}" name="Column6092"/>
    <tableColumn id="6124" xr3:uid="{B7F4EF3F-70C2-4271-990D-D7776697203F}" name="Column6093"/>
    <tableColumn id="6125" xr3:uid="{A356703B-BAD5-4026-9ACC-E21B5C66CCE6}" name="Column6094"/>
    <tableColumn id="6126" xr3:uid="{08EC9901-0DAF-4EB9-99E3-0487AA4F807B}" name="Column6095"/>
    <tableColumn id="6127" xr3:uid="{0634D7C5-2094-47FE-B984-07975D50FBFA}" name="Column6096"/>
    <tableColumn id="6128" xr3:uid="{B9FAD100-8CD3-4602-826E-332119EB3844}" name="Column6097"/>
    <tableColumn id="6129" xr3:uid="{1F0D26E5-92B0-4373-9BC7-C35F5629C272}" name="Column6098"/>
    <tableColumn id="6130" xr3:uid="{EBDF895F-82C3-4F6C-B016-DE5596A0C6DE}" name="Column6099"/>
    <tableColumn id="6131" xr3:uid="{44F53732-F120-4BB8-8902-F413D5B10C96}" name="Column6100"/>
    <tableColumn id="6132" xr3:uid="{000F9F9E-C842-445E-9252-17FFC68F3F9E}" name="Column6101"/>
    <tableColumn id="6133" xr3:uid="{D8C115D8-3363-44C5-A0DC-B1967AD4FD44}" name="Column6102"/>
    <tableColumn id="6134" xr3:uid="{EAD16DA4-7790-406A-B877-F4B58978DFEC}" name="Column6103"/>
    <tableColumn id="6135" xr3:uid="{5699580D-B3D6-401C-AE81-5F83CC819B7E}" name="Column6104"/>
    <tableColumn id="6136" xr3:uid="{0E662EC3-5064-45DE-8A7B-26CE69FE80B0}" name="Column6105"/>
    <tableColumn id="6137" xr3:uid="{981D3CF0-DEAB-4699-AB27-A8A324A62E24}" name="Column6106"/>
    <tableColumn id="6138" xr3:uid="{13CAF4A5-B86E-4C9C-8AA9-34FDB1C0220B}" name="Column6107"/>
    <tableColumn id="6139" xr3:uid="{63616B47-FD05-4A3A-9423-74B530CD4CBC}" name="Column6108"/>
    <tableColumn id="6140" xr3:uid="{547A701E-9DAF-4697-9D53-38A82908AB8B}" name="Column6109"/>
    <tableColumn id="6141" xr3:uid="{D014BFEC-3157-45DF-9406-DF24B155A357}" name="Column6110"/>
    <tableColumn id="6142" xr3:uid="{038862AD-8613-4DF0-B116-1F475491E699}" name="Column6111"/>
    <tableColumn id="6143" xr3:uid="{CD3AE1F8-3F43-4416-B07E-B3732BA19856}" name="Column6112"/>
    <tableColumn id="6144" xr3:uid="{48BF886F-1DD1-489B-8DC0-97D24CEFC5C3}" name="Column6113"/>
    <tableColumn id="6145" xr3:uid="{3BB8658B-C477-476F-852F-73EBF4308B96}" name="Column6114"/>
    <tableColumn id="6146" xr3:uid="{03FE76E8-5B05-4A91-BE3B-A14958A4C0F0}" name="Column6115"/>
    <tableColumn id="6147" xr3:uid="{65A7DF2A-405C-477C-AF86-2B880E623356}" name="Column6116"/>
    <tableColumn id="6148" xr3:uid="{CC426088-CEDD-4D0B-B7A8-C6EA5E2CEFB4}" name="Column6117"/>
    <tableColumn id="6149" xr3:uid="{6AFCF924-DF31-4D6D-99E4-166A49E6756F}" name="Column6118"/>
    <tableColumn id="6150" xr3:uid="{C59E217F-25C6-4FBB-8FE0-7D8177850E69}" name="Column6119"/>
    <tableColumn id="6151" xr3:uid="{1227D487-5D95-40B1-BD9B-9A8999631DAF}" name="Column6120"/>
    <tableColumn id="6152" xr3:uid="{FD00FD58-14AA-4FC4-96E8-293471D5641F}" name="Column6121"/>
    <tableColumn id="6153" xr3:uid="{3149EC16-5A2F-42FE-BCF3-72427B2837CD}" name="Column6122"/>
    <tableColumn id="6154" xr3:uid="{9E176A05-4785-43D8-A863-1745F4ABBF60}" name="Column6123"/>
    <tableColumn id="6155" xr3:uid="{F87C27D8-8D96-4BB7-B1EF-AF8CCDA584D2}" name="Column6124"/>
    <tableColumn id="6156" xr3:uid="{156AFEE9-3392-4277-9FC1-CC3092157492}" name="Column6125"/>
    <tableColumn id="6157" xr3:uid="{C564D7E6-F5C1-4BAE-8A32-19D930D7881B}" name="Column6126"/>
    <tableColumn id="6158" xr3:uid="{C29CDFCE-D57A-4ADB-AFBF-E3B239920B49}" name="Column6127"/>
    <tableColumn id="6159" xr3:uid="{22EDB72F-DC50-4678-B2FA-25A0D8DF7683}" name="Column6128"/>
    <tableColumn id="6160" xr3:uid="{3228C29F-6BD6-4766-9FC4-7217AFE48077}" name="Column6129"/>
    <tableColumn id="6161" xr3:uid="{8F44760C-39EE-4AB5-8A3E-E7D26344FC86}" name="Column6130"/>
    <tableColumn id="6162" xr3:uid="{2660341B-8257-46F5-A921-13686DA3B504}" name="Column6131"/>
    <tableColumn id="6163" xr3:uid="{D71FC5D9-8180-4D90-AEF6-F0AD0F25D69A}" name="Column6132"/>
    <tableColumn id="6164" xr3:uid="{6B6ABF85-1F49-42EA-9438-FF9720E0A6FF}" name="Column6133"/>
    <tableColumn id="6165" xr3:uid="{A971B663-28BC-4C55-BDE2-DC4614DC9631}" name="Column6134"/>
    <tableColumn id="6166" xr3:uid="{C222469B-FE66-435D-85CA-5E80253DA90B}" name="Column6135"/>
    <tableColumn id="6167" xr3:uid="{9018A354-7ED7-43A4-A733-130DDD0C0F3B}" name="Column6136"/>
    <tableColumn id="6168" xr3:uid="{6E9677E2-426E-4AB4-8FBD-7A3F6FEDD0BB}" name="Column6137"/>
    <tableColumn id="6169" xr3:uid="{7D37A68B-7175-4532-A03B-E1EAD3BF23A6}" name="Column6138"/>
    <tableColumn id="6170" xr3:uid="{4CB27FD7-F671-47DA-8A27-017389E323A4}" name="Column6139"/>
    <tableColumn id="6171" xr3:uid="{EF841CFE-136F-455A-A099-11193362E26B}" name="Column6140"/>
    <tableColumn id="6172" xr3:uid="{8DED95FA-6C65-4E22-ABF4-BBAD44F8EB01}" name="Column6141"/>
    <tableColumn id="6173" xr3:uid="{EB93F75D-3D70-428B-8AF8-45A3473BA880}" name="Column6142"/>
    <tableColumn id="6174" xr3:uid="{A09254BD-BBAB-47FA-A802-8517DCAEE108}" name="Column6143"/>
    <tableColumn id="6175" xr3:uid="{CA0215E7-0709-4FB3-B874-03BA791761F4}" name="Column6144"/>
    <tableColumn id="6176" xr3:uid="{6D95D519-25A2-4443-A0FF-2260CC35D101}" name="Column6145"/>
    <tableColumn id="6177" xr3:uid="{DAF4F3F9-539B-42CF-B2DC-CB4CD3CCEE75}" name="Column6146"/>
    <tableColumn id="6178" xr3:uid="{76A7EF5B-9305-4BE3-922F-00CF76CC5C97}" name="Column6147"/>
    <tableColumn id="6179" xr3:uid="{7B05596B-0619-4B20-AC34-6253A2DB4E89}" name="Column6148"/>
    <tableColumn id="6180" xr3:uid="{31A21BBD-A9FF-4600-AFB0-004106BA24AC}" name="Column6149"/>
    <tableColumn id="6181" xr3:uid="{38F455C5-E571-4069-BEA2-4DCEB3E8FC92}" name="Column6150"/>
    <tableColumn id="6182" xr3:uid="{805A7A4F-B8A8-4C87-9DD4-65187B4DEFC0}" name="Column6151"/>
    <tableColumn id="6183" xr3:uid="{C1ACC11B-0757-46B9-84D1-5DCD49112DE1}" name="Column6152"/>
    <tableColumn id="6184" xr3:uid="{4E9654EC-DBDB-4BCE-A26B-4B2CC96A41A0}" name="Column6153"/>
    <tableColumn id="6185" xr3:uid="{63EA8309-95D6-4D58-A75D-2DFE0FA84315}" name="Column6154"/>
    <tableColumn id="6186" xr3:uid="{0CE07BA6-ECF7-4C9B-A0D5-BAF96C275107}" name="Column6155"/>
    <tableColumn id="6187" xr3:uid="{E0B947E3-7941-49D3-AB1F-E31A72D6E009}" name="Column6156"/>
    <tableColumn id="6188" xr3:uid="{E2E0E202-7C85-4A99-85A0-7B16EF01AD1F}" name="Column6157"/>
    <tableColumn id="6189" xr3:uid="{7C5414FD-781B-4297-9A29-5CA67653599C}" name="Column6158"/>
    <tableColumn id="6190" xr3:uid="{1D931423-DFD9-4FBB-AF4E-18FA840EC9F9}" name="Column6159"/>
    <tableColumn id="6191" xr3:uid="{AF65C0E4-963B-4F05-A2BD-C8904EBA17AA}" name="Column6160"/>
    <tableColumn id="6192" xr3:uid="{CF6BED62-E9AF-463F-9155-2FA5B05B4CD4}" name="Column6161"/>
    <tableColumn id="6193" xr3:uid="{46E51DD7-A86A-4A14-A08D-EEE22951FDD8}" name="Column6162"/>
    <tableColumn id="6194" xr3:uid="{7ED3DBBD-7558-4B5B-9C2C-1D4B689682FE}" name="Column6163"/>
    <tableColumn id="6195" xr3:uid="{F056F6E8-904D-4142-8DA0-6AB0637DF8C4}" name="Column6164"/>
    <tableColumn id="6196" xr3:uid="{07F5DEA2-BC47-4CF7-8550-655DBB28E40A}" name="Column6165"/>
    <tableColumn id="6197" xr3:uid="{3A110C73-4839-4B00-84B9-0203467F8675}" name="Column6166"/>
    <tableColumn id="6198" xr3:uid="{EBF80C19-8ED2-4219-A4E8-7E6DF996445C}" name="Column6167"/>
    <tableColumn id="6199" xr3:uid="{C396AB59-A00E-496C-A193-07ABF329D970}" name="Column6168"/>
    <tableColumn id="6200" xr3:uid="{5F4B652B-A2DF-4059-9596-8C8496661768}" name="Column6169"/>
    <tableColumn id="6201" xr3:uid="{507B0726-1E17-457A-9C21-A6ADFF36EB6D}" name="Column6170"/>
    <tableColumn id="6202" xr3:uid="{472380CE-786C-4BC2-BFBE-8DB548D93B8A}" name="Column6171"/>
    <tableColumn id="6203" xr3:uid="{3219EEE9-F4C7-45BD-9D9E-9A0B0A515A36}" name="Column6172"/>
    <tableColumn id="6204" xr3:uid="{4B12F45A-E137-47ED-93C7-6904AA471763}" name="Column6173"/>
    <tableColumn id="6205" xr3:uid="{F460074E-841C-4643-92C3-906E75E3AF75}" name="Column6174"/>
    <tableColumn id="6206" xr3:uid="{C6A7BBD2-F0B7-492E-B8EF-2DE5037E0D5B}" name="Column6175"/>
    <tableColumn id="6207" xr3:uid="{9E570896-9426-4041-A7C0-89E37440C29A}" name="Column6176"/>
    <tableColumn id="6208" xr3:uid="{5F11335F-162A-42C7-9E97-A79527941758}" name="Column6177"/>
    <tableColumn id="6209" xr3:uid="{83548BE5-8900-4616-A01F-CB07CE7B7AC6}" name="Column6178"/>
    <tableColumn id="6210" xr3:uid="{ADA9BDAE-1CCF-4FAD-A52E-E4505150A276}" name="Column6179"/>
    <tableColumn id="6211" xr3:uid="{0A678521-5CBD-4FEA-A777-721C95832FA0}" name="Column6180"/>
    <tableColumn id="6212" xr3:uid="{B0E603D3-CB64-4B0D-A1FE-344B6A15276A}" name="Column6181"/>
    <tableColumn id="6213" xr3:uid="{508BE91E-7A6E-4D96-97B9-F4CEBA78EFDB}" name="Column6182"/>
    <tableColumn id="6214" xr3:uid="{6F07A185-682B-4CFC-803A-521EE94A1B4D}" name="Column6183"/>
    <tableColumn id="6215" xr3:uid="{48461B52-4A4F-41A6-AAFE-35B1E37244CD}" name="Column6184"/>
    <tableColumn id="6216" xr3:uid="{6FEDAC20-C4ED-45C3-BB8B-3778CE8601ED}" name="Column6185"/>
    <tableColumn id="6217" xr3:uid="{20D26C15-6C7C-4576-A958-4AF444FF7BF4}" name="Column6186"/>
    <tableColumn id="6218" xr3:uid="{DA5C0A99-2E77-4167-98C1-214CCC63F4CF}" name="Column6187"/>
    <tableColumn id="6219" xr3:uid="{44D538CA-327D-4E9F-8CAE-5B1F079CE8AB}" name="Column6188"/>
    <tableColumn id="6220" xr3:uid="{AD97D853-EF37-4A16-B432-15B0380833D1}" name="Column6189"/>
    <tableColumn id="6221" xr3:uid="{412986F5-439F-4B39-B0BC-1671141755B9}" name="Column6190"/>
    <tableColumn id="6222" xr3:uid="{43D55440-6929-46C6-8D30-6E4DED7E837A}" name="Column6191"/>
    <tableColumn id="6223" xr3:uid="{1FB6DA01-CD5F-4F1C-870E-3C7683E2B7D0}" name="Column6192"/>
    <tableColumn id="6224" xr3:uid="{F3C849A1-9ED1-4C6D-B19B-9E3D250B97CA}" name="Column6193"/>
    <tableColumn id="6225" xr3:uid="{D2676D74-418F-4201-B22E-6F582CBE4786}" name="Column6194"/>
    <tableColumn id="6226" xr3:uid="{7557B637-1A45-4A69-98E3-DDD6D5CCB627}" name="Column6195"/>
    <tableColumn id="6227" xr3:uid="{33A12AE3-F56E-4F24-BFDD-9B3D15720637}" name="Column6196"/>
    <tableColumn id="6228" xr3:uid="{FE276626-2A42-4973-9119-4FE1978A6108}" name="Column6197"/>
    <tableColumn id="6229" xr3:uid="{3615C122-2F22-4976-BF7E-FAE2838C18BC}" name="Column6198"/>
    <tableColumn id="6230" xr3:uid="{E145ECA0-59EC-43A8-8714-A7F8AF5BD244}" name="Column6199"/>
    <tableColumn id="6231" xr3:uid="{FF019773-3A17-4990-BB32-E81D18FB8FD1}" name="Column6200"/>
    <tableColumn id="6232" xr3:uid="{EF1FC41D-F60C-47FE-9605-C343E8F94568}" name="Column6201"/>
    <tableColumn id="6233" xr3:uid="{543A774F-14C9-4941-A4A0-4FD026450748}" name="Column6202"/>
    <tableColumn id="6234" xr3:uid="{501CC154-91B4-4891-9770-57BE339EF771}" name="Column6203"/>
    <tableColumn id="6235" xr3:uid="{F08F33D6-2D07-4294-8BD8-C5094C5DA77F}" name="Column6204"/>
    <tableColumn id="6236" xr3:uid="{9E440C14-0508-4CFE-B67A-EAA608A2B1D2}" name="Column6205"/>
    <tableColumn id="6237" xr3:uid="{81937BCE-C52A-49E1-9D3E-D70F67EA95C7}" name="Column6206"/>
    <tableColumn id="6238" xr3:uid="{BD7343CC-C1BB-401F-8758-20F82D6E9EF5}" name="Column6207"/>
    <tableColumn id="6239" xr3:uid="{1E59F2C9-90E3-4029-98B7-FC439C1C54B1}" name="Column6208"/>
    <tableColumn id="6240" xr3:uid="{35D2D0EA-5F71-4EE4-B91A-B3CBF88B333F}" name="Column6209"/>
    <tableColumn id="6241" xr3:uid="{4A1585EE-DF5B-4DA0-9148-5F2CBF905C06}" name="Column6210"/>
    <tableColumn id="6242" xr3:uid="{47B9763D-7D26-4C60-BDA7-AFAA730A2C41}" name="Column6211"/>
    <tableColumn id="6243" xr3:uid="{026217A7-5DF4-4C0C-B394-E4FE49A234B3}" name="Column6212"/>
    <tableColumn id="6244" xr3:uid="{2D03B3EA-DAD1-4307-BE1E-20C05BA76C5B}" name="Column6213"/>
    <tableColumn id="6245" xr3:uid="{75D0B5D7-589E-4E1A-B63A-2BF962292679}" name="Column6214"/>
    <tableColumn id="6246" xr3:uid="{8DF688C4-A037-484E-96D5-5D41EAB0D51C}" name="Column6215"/>
    <tableColumn id="6247" xr3:uid="{AB8CF077-BAE9-4E19-B617-8DED82E420BE}" name="Column6216"/>
    <tableColumn id="6248" xr3:uid="{FB32A35C-535E-476F-BE4E-7EACDFF8CCC3}" name="Column6217"/>
    <tableColumn id="6249" xr3:uid="{93C9124A-D6FC-4137-9C1F-BF73ADA5D3C0}" name="Column6218"/>
    <tableColumn id="6250" xr3:uid="{851216DC-9194-46AA-8DE2-DBA74EC982D6}" name="Column6219"/>
    <tableColumn id="6251" xr3:uid="{F40F5633-EF2E-470E-AE0F-B4787A35954D}" name="Column6220"/>
    <tableColumn id="6252" xr3:uid="{01DC9B72-B7E3-4EF8-985F-510F72467BCE}" name="Column6221"/>
    <tableColumn id="6253" xr3:uid="{DD406707-07FC-4E96-BDB1-D99BA7195273}" name="Column6222"/>
    <tableColumn id="6254" xr3:uid="{37B0F5D0-5570-45E5-8511-56FE222BD903}" name="Column6223"/>
    <tableColumn id="6255" xr3:uid="{9AE30A07-622B-40DC-AF55-AED1F22ADE2C}" name="Column6224"/>
    <tableColumn id="6256" xr3:uid="{0BA1A842-76FA-49E7-9808-E55749ED97A5}" name="Column6225"/>
    <tableColumn id="6257" xr3:uid="{19176DC6-3FFD-48C4-95C6-DC2B8630A1FD}" name="Column6226"/>
    <tableColumn id="6258" xr3:uid="{4831B960-A604-4DD9-948D-342655EDAB05}" name="Column6227"/>
    <tableColumn id="6259" xr3:uid="{008EE21B-0A68-4AF7-85AB-E1CEED637FE8}" name="Column6228"/>
    <tableColumn id="6260" xr3:uid="{DA0F9AF2-7297-49D9-8351-0E6BA0BAD829}" name="Column6229"/>
    <tableColumn id="6261" xr3:uid="{1A3B1756-D845-4FB6-B6E5-0153B4960F04}" name="Column6230"/>
    <tableColumn id="6262" xr3:uid="{31595A47-19B9-4F9F-8459-763DCE98BBD7}" name="Column6231"/>
    <tableColumn id="6263" xr3:uid="{9C0A2BEE-1EAC-4E8A-A166-08087D21A0D2}" name="Column6232"/>
    <tableColumn id="6264" xr3:uid="{B059C94D-FA73-42F5-84FE-1C60AA347831}" name="Column6233"/>
    <tableColumn id="6265" xr3:uid="{0606EF59-F4E1-4BB2-B6F3-9A7E31EE090D}" name="Column6234"/>
    <tableColumn id="6266" xr3:uid="{AEDFAE58-E3D0-4852-BD2A-CF0BB77E7010}" name="Column6235"/>
    <tableColumn id="6267" xr3:uid="{AB391A9C-186B-4050-8577-0718F2CB0EAD}" name="Column6236"/>
    <tableColumn id="6268" xr3:uid="{A6E828C7-17C2-41F0-844D-A025B6252D92}" name="Column6237"/>
    <tableColumn id="6269" xr3:uid="{75FED948-6134-4606-A6F9-FBBB131784D8}" name="Column6238"/>
    <tableColumn id="6270" xr3:uid="{CD54A018-E2DD-4DC4-B649-D585AEC989D1}" name="Column6239"/>
    <tableColumn id="6271" xr3:uid="{51F2CB2D-1F6C-4A31-9F85-5A8F13F75B75}" name="Column6240"/>
    <tableColumn id="6272" xr3:uid="{EDCE221E-FE10-4072-AB0F-00032AD0BB28}" name="Column6241"/>
    <tableColumn id="6273" xr3:uid="{A378461E-DED7-4EBB-9A9C-1D813D2734C2}" name="Column6242"/>
    <tableColumn id="6274" xr3:uid="{6183028F-A59D-45AF-9934-CDD436F989AF}" name="Column6243"/>
    <tableColumn id="6275" xr3:uid="{5B519585-011B-4353-A221-BA6827BA649A}" name="Column6244"/>
    <tableColumn id="6276" xr3:uid="{281C6858-B905-45D8-BAEA-F0C3AF9B5EEF}" name="Column6245"/>
    <tableColumn id="6277" xr3:uid="{30DF54FF-7ECA-42A6-8A47-5A49E0368EE5}" name="Column6246"/>
    <tableColumn id="6278" xr3:uid="{EEBD77DA-369F-4EDA-A6D8-C99ED1853A91}" name="Column6247"/>
    <tableColumn id="6279" xr3:uid="{F055BD75-A4EE-4433-B355-2DFA964ABEE8}" name="Column6248"/>
    <tableColumn id="6280" xr3:uid="{6391853F-9999-4BEE-B7D8-C795737EB3FA}" name="Column6249"/>
    <tableColumn id="6281" xr3:uid="{10CB83DA-EAF0-4518-B100-D6CB50C27FD5}" name="Column6250"/>
    <tableColumn id="6282" xr3:uid="{96577C1A-E687-4170-86D1-61BC2E68AED6}" name="Column6251"/>
    <tableColumn id="6283" xr3:uid="{180B3039-9511-471E-8FA2-8BF91D4950AF}" name="Column6252"/>
    <tableColumn id="6284" xr3:uid="{88CC07C9-A4C4-41E7-A895-B6343CD3C168}" name="Column6253"/>
    <tableColumn id="6285" xr3:uid="{448F5936-68E1-4F65-A10F-7561200C6AFB}" name="Column6254"/>
    <tableColumn id="6286" xr3:uid="{0F86A4DD-D3A4-416F-9076-54133DED6508}" name="Column6255"/>
    <tableColumn id="6287" xr3:uid="{E5E4AF91-7E5F-464D-BE33-D8E638B8A0F6}" name="Column6256"/>
    <tableColumn id="6288" xr3:uid="{2FD08B45-D94A-43E6-9FDA-2E0C5683F46A}" name="Column6257"/>
    <tableColumn id="6289" xr3:uid="{42AEC0DE-B330-4CA2-BEC0-5AAF7585BEE6}" name="Column6258"/>
    <tableColumn id="6290" xr3:uid="{48E6C689-4F29-4647-A962-75A1B081F8F2}" name="Column6259"/>
    <tableColumn id="6291" xr3:uid="{2A34D727-C3E1-449D-8B47-A98399DD3259}" name="Column6260"/>
    <tableColumn id="6292" xr3:uid="{B3779EFB-EA09-49F0-B053-3B3092139A1C}" name="Column6261"/>
    <tableColumn id="6293" xr3:uid="{AFAAB9FA-0743-4E31-B5AB-6E37F7F15CCD}" name="Column6262"/>
    <tableColumn id="6294" xr3:uid="{29E4F14E-7443-4BF1-A104-03B8D829460D}" name="Column6263"/>
    <tableColumn id="6295" xr3:uid="{F3B6279D-784C-4027-8BB7-68A8268AAD33}" name="Column6264"/>
    <tableColumn id="6296" xr3:uid="{0CF77E3C-AB75-4A1D-9444-F83EA2CDC205}" name="Column6265"/>
    <tableColumn id="6297" xr3:uid="{D8BCD25C-5251-4B52-AD80-6A40E0CE1365}" name="Column6266"/>
    <tableColumn id="6298" xr3:uid="{942A0B1C-C74C-4DB7-9177-C1C8E90C4FB5}" name="Column6267"/>
    <tableColumn id="6299" xr3:uid="{89C49151-E5EB-48D5-A10D-29767E067ED2}" name="Column6268"/>
    <tableColumn id="6300" xr3:uid="{FB0A4A6A-83EC-4477-9D5F-832EB44F0D4C}" name="Column6269"/>
    <tableColumn id="6301" xr3:uid="{F7FE8D3C-F6C1-4FBC-8F57-E414D892DE6A}" name="Column6270"/>
    <tableColumn id="6302" xr3:uid="{4A4F961D-EE60-4F6E-B7FE-E08757E37296}" name="Column6271"/>
    <tableColumn id="6303" xr3:uid="{0059E47D-CFA0-4FE2-85BA-66862734B375}" name="Column6272"/>
    <tableColumn id="6304" xr3:uid="{3B112A2D-4EC7-42FE-98FD-02295FDB6F3C}" name="Column6273"/>
    <tableColumn id="6305" xr3:uid="{F528EE9F-09FC-4C25-92E4-B7F8E979ABD8}" name="Column6274"/>
    <tableColumn id="6306" xr3:uid="{2A4AA2F5-A26C-4C3E-A29E-F6105CE3A020}" name="Column6275"/>
    <tableColumn id="6307" xr3:uid="{DDB713D6-411A-4F22-9952-703B955E9F7A}" name="Column6276"/>
    <tableColumn id="6308" xr3:uid="{E900593A-F4B4-44BF-983F-5F0282AB9572}" name="Column6277"/>
    <tableColumn id="6309" xr3:uid="{DDD3775F-4399-4D38-B25A-4820840AF0E3}" name="Column6278"/>
    <tableColumn id="6310" xr3:uid="{6D2863DB-D1D5-48AF-BEA9-450E07897D47}" name="Column6279"/>
    <tableColumn id="6311" xr3:uid="{BF9D389B-530A-4501-AA69-DBFF3AC2860C}" name="Column6280"/>
    <tableColumn id="6312" xr3:uid="{B79746D7-4BE7-4A6A-AEA5-4D3D54C593EC}" name="Column6281"/>
    <tableColumn id="6313" xr3:uid="{6A3D2A35-9EBC-4A1E-BA37-54E1BEE01F4B}" name="Column6282"/>
    <tableColumn id="6314" xr3:uid="{D704DECD-09FB-46BD-98C6-B7D8B421E016}" name="Column6283"/>
    <tableColumn id="6315" xr3:uid="{84574C9E-F1EC-4324-AE2F-DC5143472F30}" name="Column6284"/>
    <tableColumn id="6316" xr3:uid="{E66E7349-20A2-4A5D-89E8-3F21038FC556}" name="Column6285"/>
    <tableColumn id="6317" xr3:uid="{8D4616FA-182A-4887-9DC3-E9A1234A6E43}" name="Column6286"/>
    <tableColumn id="6318" xr3:uid="{15E1987E-1B72-4EEA-95C0-684F8FF9E5D2}" name="Column6287"/>
    <tableColumn id="6319" xr3:uid="{E20927D8-EB6F-4CBE-A862-78EBD6251C1B}" name="Column6288"/>
    <tableColumn id="6320" xr3:uid="{6CA54527-213C-4A09-AF00-73142F4A5683}" name="Column6289"/>
    <tableColumn id="6321" xr3:uid="{82467766-F705-46BD-B7CE-542EE87BBD81}" name="Column6290"/>
    <tableColumn id="6322" xr3:uid="{FA7AA3DE-A8CA-4090-BC0A-9F1AD4CC310A}" name="Column6291"/>
    <tableColumn id="6323" xr3:uid="{17632AF0-BB7C-4AAB-A741-7AF174D59AC1}" name="Column6292"/>
    <tableColumn id="6324" xr3:uid="{FBC85D6E-AAA4-4430-8349-B7C1DFC2B414}" name="Column6293"/>
    <tableColumn id="6325" xr3:uid="{F52040E8-D2D1-4F12-986D-0374DEBF6B2A}" name="Column6294"/>
    <tableColumn id="6326" xr3:uid="{6C77029A-BB7E-4DED-AD40-D7FFE544797B}" name="Column6295"/>
    <tableColumn id="6327" xr3:uid="{B03B85F6-DBE0-4ABA-A266-2759B67E846A}" name="Column6296"/>
    <tableColumn id="6328" xr3:uid="{6A5B1AF1-0B0A-4FCF-BD0E-2FDECF401638}" name="Column6297"/>
    <tableColumn id="6329" xr3:uid="{2D9EC310-5CA0-488A-BC56-C7335E1DFB59}" name="Column6298"/>
    <tableColumn id="6330" xr3:uid="{E729F46C-F66F-404E-B56E-7004F3D5E87D}" name="Column6299"/>
    <tableColumn id="6331" xr3:uid="{2938EB02-8443-4356-85E0-E414624174D2}" name="Column6300"/>
    <tableColumn id="6332" xr3:uid="{1BEEBE46-0475-42FD-B325-D8088CB2406F}" name="Column6301"/>
    <tableColumn id="6333" xr3:uid="{1C698901-65C0-41CC-9622-D904D0D361DC}" name="Column6302"/>
    <tableColumn id="6334" xr3:uid="{32E4DE19-AC08-4297-8511-9C5F6DB6D24B}" name="Column6303"/>
    <tableColumn id="6335" xr3:uid="{502D8FE6-4E74-44EE-AF7B-DEE9613FC30A}" name="Column6304"/>
    <tableColumn id="6336" xr3:uid="{203A050D-C3F9-4927-9781-ED162201D60A}" name="Column6305"/>
    <tableColumn id="6337" xr3:uid="{48C02753-58BC-4CE0-B4AD-C8CB83456D0F}" name="Column6306"/>
    <tableColumn id="6338" xr3:uid="{807CB4AC-E93F-442A-B3DD-1590B787D905}" name="Column6307"/>
    <tableColumn id="6339" xr3:uid="{533C1424-5F72-41F9-A24F-9A7C765BAD03}" name="Column6308"/>
    <tableColumn id="6340" xr3:uid="{09564314-DD61-4E91-AFC9-E782FBC98C37}" name="Column6309"/>
    <tableColumn id="6341" xr3:uid="{D8F56324-3D8D-4E81-B63D-D520FFEDDDC3}" name="Column6310"/>
    <tableColumn id="6342" xr3:uid="{0B548BED-783A-4BC8-98F7-F548F62700EC}" name="Column6311"/>
    <tableColumn id="6343" xr3:uid="{12EDFDF1-542C-4732-9B9F-ED6231223752}" name="Column6312"/>
    <tableColumn id="6344" xr3:uid="{0A05DB6B-E8E4-4FB5-931D-5AFB27383586}" name="Column6313"/>
    <tableColumn id="6345" xr3:uid="{76F910AC-F351-4C1E-91B5-3A40109B00CD}" name="Column6314"/>
    <tableColumn id="6346" xr3:uid="{3841F6E9-615B-48C6-93A8-B66C14AC0FF5}" name="Column6315"/>
    <tableColumn id="6347" xr3:uid="{61C6BD9F-AF36-42E0-90D7-A68DDB7FD34C}" name="Column6316"/>
    <tableColumn id="6348" xr3:uid="{0FA72426-1DF0-4993-9AD0-D419D23DE95B}" name="Column6317"/>
    <tableColumn id="6349" xr3:uid="{02388C8D-4E89-4D0E-A351-D165A1F2A941}" name="Column6318"/>
    <tableColumn id="6350" xr3:uid="{EBD50A3F-7770-4FA3-8769-1CCA0CC48266}" name="Column6319"/>
    <tableColumn id="6351" xr3:uid="{78C4D34C-E7CF-4221-8C5E-108A32B6D948}" name="Column6320"/>
    <tableColumn id="6352" xr3:uid="{EE2DAFFA-C842-4EDF-83F8-C62500640EA6}" name="Column6321"/>
    <tableColumn id="6353" xr3:uid="{3E889B46-7986-45E8-82CF-53B515262B97}" name="Column6322"/>
    <tableColumn id="6354" xr3:uid="{7ACD7F3C-1D66-4045-B038-086E35D7BF4A}" name="Column6323"/>
    <tableColumn id="6355" xr3:uid="{F331A840-7799-491F-BEE7-C8A010A8389E}" name="Column6324"/>
    <tableColumn id="6356" xr3:uid="{E2044E94-CE72-47AF-962E-771AC31A77DE}" name="Column6325"/>
    <tableColumn id="6357" xr3:uid="{F68AD22F-0FE8-4BBC-80AF-313A68500898}" name="Column6326"/>
    <tableColumn id="6358" xr3:uid="{C2C2C6A7-36F4-4A4D-B198-D03D1BFDE323}" name="Column6327"/>
    <tableColumn id="6359" xr3:uid="{6FD9794D-C62B-4C37-97E8-C9B256308DA3}" name="Column6328"/>
    <tableColumn id="6360" xr3:uid="{5F631170-3CB4-4AB9-83E2-FF171FD2487A}" name="Column6329"/>
    <tableColumn id="6361" xr3:uid="{96E0CD19-8718-48D3-A736-27FAE1A30549}" name="Column6330"/>
    <tableColumn id="6362" xr3:uid="{3EF3543D-689D-44C0-975C-438AA91233BC}" name="Column6331"/>
    <tableColumn id="6363" xr3:uid="{100D0E3F-1FE7-41C0-8CAB-BDBB4BCD390C}" name="Column6332"/>
    <tableColumn id="6364" xr3:uid="{BCF84BF2-65DE-44C9-9E03-2E8D83834544}" name="Column6333"/>
    <tableColumn id="6365" xr3:uid="{F433F1E9-B936-41FD-B10B-6177C029DEDA}" name="Column6334"/>
    <tableColumn id="6366" xr3:uid="{B9A4936D-2614-43DD-864B-0BD04BB83F53}" name="Column6335"/>
    <tableColumn id="6367" xr3:uid="{FD89807C-EADF-4F65-9962-0804AA9FEF04}" name="Column6336"/>
    <tableColumn id="6368" xr3:uid="{8C3B5580-A11E-43AD-B5A6-01D41A3C50AC}" name="Column6337"/>
    <tableColumn id="6369" xr3:uid="{5EF56432-C3B5-4CBE-8B29-CB705442B124}" name="Column6338"/>
    <tableColumn id="6370" xr3:uid="{38407B2F-31A5-4242-8BEE-78F944988128}" name="Column6339"/>
    <tableColumn id="6371" xr3:uid="{221A17FC-8067-498B-931F-79451C16DC65}" name="Column6340"/>
    <tableColumn id="6372" xr3:uid="{EFC6918F-598D-427E-9099-DF0CBF627306}" name="Column6341"/>
    <tableColumn id="6373" xr3:uid="{69E5F51D-B513-4AA6-8209-A24DBD62A1E9}" name="Column6342"/>
    <tableColumn id="6374" xr3:uid="{C2C1220D-1007-42FE-AEBB-895867C80544}" name="Column6343"/>
    <tableColumn id="6375" xr3:uid="{C59B84B2-14FC-4837-842E-F1E5DD8FFA8E}" name="Column6344"/>
    <tableColumn id="6376" xr3:uid="{8EEBBDF5-3BDE-48F2-9710-A8A40B016D2C}" name="Column6345"/>
    <tableColumn id="6377" xr3:uid="{91FCFF30-3BE3-44B3-B2F8-72C8AA380A57}" name="Column6346"/>
    <tableColumn id="6378" xr3:uid="{EABCC8CF-7CC5-4A7D-AD19-1F0C379BB39D}" name="Column6347"/>
    <tableColumn id="6379" xr3:uid="{73220029-46B7-4A1C-AF7D-4B353520F653}" name="Column6348"/>
    <tableColumn id="6380" xr3:uid="{69CA4CC1-FA6A-4204-8F63-D4A2FF83E4E5}" name="Column6349"/>
    <tableColumn id="6381" xr3:uid="{1339984D-F91A-4349-AEF6-EB07D7E2896E}" name="Column6350"/>
    <tableColumn id="6382" xr3:uid="{EA833ED5-5C75-4F4E-8227-724E3A55E256}" name="Column6351"/>
    <tableColumn id="6383" xr3:uid="{717040DE-4DB8-4705-9E31-866ACFA412F0}" name="Column6352"/>
    <tableColumn id="6384" xr3:uid="{F8296DA9-01F3-45E5-9C69-901087B7D2A4}" name="Column6353"/>
    <tableColumn id="6385" xr3:uid="{6DA4CC88-332E-45F8-B3E8-90B0DA57E807}" name="Column6354"/>
    <tableColumn id="6386" xr3:uid="{286D9834-09B1-4119-A594-85B9A96CDA75}" name="Column6355"/>
    <tableColumn id="6387" xr3:uid="{1E59F357-FEC5-4AF2-B830-9E3593224D75}" name="Column6356"/>
    <tableColumn id="6388" xr3:uid="{8F207351-A2EB-4402-990C-81987CBC3DD7}" name="Column6357"/>
    <tableColumn id="6389" xr3:uid="{D443AF35-C842-44C5-B797-97039A5DD3BC}" name="Column6358"/>
    <tableColumn id="6390" xr3:uid="{0C676AB8-66C5-49F4-B98B-8D5879EFBC90}" name="Column6359"/>
    <tableColumn id="6391" xr3:uid="{7612DE35-24D4-4E8A-B2A3-17DD2552E76F}" name="Column6360"/>
    <tableColumn id="6392" xr3:uid="{A0E6B922-AAEB-40A2-97AF-981E911B1F9B}" name="Column6361"/>
    <tableColumn id="6393" xr3:uid="{3D37E53C-CA54-4DCF-BBE3-F7E6C1466F68}" name="Column6362"/>
    <tableColumn id="6394" xr3:uid="{58106E73-0D79-4F73-B59A-984BC6FA921B}" name="Column6363"/>
    <tableColumn id="6395" xr3:uid="{E75C5E7E-EE8B-4F48-B49A-5E7654D699B4}" name="Column6364"/>
    <tableColumn id="6396" xr3:uid="{84A62BBD-EC0E-4E7C-98DE-C65AF0A07E50}" name="Column6365"/>
    <tableColumn id="6397" xr3:uid="{C69D0C7B-EBD5-4487-8C76-D47C1A502FD2}" name="Column6366"/>
    <tableColumn id="6398" xr3:uid="{493C10E0-3241-4B28-AB1D-97EA9F1979F8}" name="Column6367"/>
    <tableColumn id="6399" xr3:uid="{208DC4EA-79C4-4C3A-B583-3C35AF22CC7A}" name="Column6368"/>
    <tableColumn id="6400" xr3:uid="{681DEF99-BAB3-4D72-A1A1-AEF5D04A8FC6}" name="Column6369"/>
    <tableColumn id="6401" xr3:uid="{3B9E2FF0-314B-4448-B92C-7163EF8FF8CA}" name="Column6370"/>
    <tableColumn id="6402" xr3:uid="{6EAE44E0-BBE6-4DD4-B81F-7106EF8E882A}" name="Column6371"/>
    <tableColumn id="6403" xr3:uid="{D6F02CD8-1FAF-4970-94DD-AE2C1CA9F9EA}" name="Column6372"/>
    <tableColumn id="6404" xr3:uid="{7A5FCAA3-2C20-4878-8DF5-12385D03D381}" name="Column6373"/>
    <tableColumn id="6405" xr3:uid="{FF063CBB-8E3E-40FA-B659-29133037805E}" name="Column6374"/>
    <tableColumn id="6406" xr3:uid="{57E0CFFA-F3BE-4D0A-87F3-D7D6932F1D96}" name="Column6375"/>
    <tableColumn id="6407" xr3:uid="{CA1073F3-765A-44A7-A93C-A79D9EB3A062}" name="Column6376"/>
    <tableColumn id="6408" xr3:uid="{6FB21B5F-B0FA-4DB7-9DB0-42A000BFDDB0}" name="Column6377"/>
    <tableColumn id="6409" xr3:uid="{2BE806D9-89D0-4405-85B8-F6C5552E2BE1}" name="Column6378"/>
    <tableColumn id="6410" xr3:uid="{EDB61AB2-ADEF-4CB6-AFF5-85D43268E399}" name="Column6379"/>
    <tableColumn id="6411" xr3:uid="{DAE5A805-94A5-4836-9532-C85A23B767B7}" name="Column6380"/>
    <tableColumn id="6412" xr3:uid="{144888F9-40A6-4475-B5C9-7B8766B33BBB}" name="Column6381"/>
    <tableColumn id="6413" xr3:uid="{293D8900-2BEC-4C1D-84C3-4455D7D405E7}" name="Column6382"/>
    <tableColumn id="6414" xr3:uid="{35641811-B9DC-4D90-A5DB-348C75B9D827}" name="Column6383"/>
    <tableColumn id="6415" xr3:uid="{F523AB0D-9948-4F47-B2D6-27B75909C551}" name="Column6384"/>
    <tableColumn id="6416" xr3:uid="{0040B77E-ED0B-4306-B786-279D7FCF488D}" name="Column6385"/>
    <tableColumn id="6417" xr3:uid="{882F8747-C8B6-466F-857D-EF8D03CFBD09}" name="Column6386"/>
    <tableColumn id="6418" xr3:uid="{584956BF-7E1A-483D-9EB2-7DAB73107327}" name="Column6387"/>
    <tableColumn id="6419" xr3:uid="{2FC75460-DACE-48E5-8C7A-02FC5212DE47}" name="Column6388"/>
    <tableColumn id="6420" xr3:uid="{5A07DA7E-40B0-4107-A76F-FAA534E89263}" name="Column6389"/>
    <tableColumn id="6421" xr3:uid="{BBD7900D-6101-41A0-8A4D-881EC04FBAF0}" name="Column6390"/>
    <tableColumn id="6422" xr3:uid="{09803258-6245-444F-B7D7-D2F83181AB77}" name="Column6391"/>
    <tableColumn id="6423" xr3:uid="{AEEF50A7-B0C2-4A0F-B44D-CEC38576E290}" name="Column6392"/>
    <tableColumn id="6424" xr3:uid="{F893BB38-425E-43A7-969E-664515C042D3}" name="Column6393"/>
    <tableColumn id="6425" xr3:uid="{E585DDB7-675C-4760-8FD6-0B695F2AE684}" name="Column6394"/>
    <tableColumn id="6426" xr3:uid="{B66F777F-991C-4423-91F2-556D01A921F1}" name="Column6395"/>
    <tableColumn id="6427" xr3:uid="{57458E75-1A71-46A5-8190-ABF9FF1CDE1B}" name="Column6396"/>
    <tableColumn id="6428" xr3:uid="{C6227B01-3896-425D-B02D-F73236FDEE12}" name="Column6397"/>
    <tableColumn id="6429" xr3:uid="{F706A45A-7249-4A79-A620-81A307B23605}" name="Column6398"/>
    <tableColumn id="6430" xr3:uid="{30D4B02C-DD6A-4D5F-8F68-0DA6EA571E7D}" name="Column6399"/>
    <tableColumn id="6431" xr3:uid="{CF510B07-A411-4478-A287-63D3DB259B9C}" name="Column6400"/>
    <tableColumn id="6432" xr3:uid="{B0178B45-C4FA-4142-9E7F-95416102BCA7}" name="Column6401"/>
    <tableColumn id="6433" xr3:uid="{48032195-46B6-458D-AC4F-77B7F862D9D8}" name="Column6402"/>
    <tableColumn id="6434" xr3:uid="{944D366E-5265-4F9F-AB10-D264B3BE2D59}" name="Column6403"/>
    <tableColumn id="6435" xr3:uid="{A1FA2865-BDD2-489C-9245-51B1F934F9CB}" name="Column6404"/>
    <tableColumn id="6436" xr3:uid="{B103DC9C-3119-43ED-BD71-EBAA5E9D0A40}" name="Column6405"/>
    <tableColumn id="6437" xr3:uid="{E49C4697-8540-425E-B4F9-849243E1AB1F}" name="Column6406"/>
    <tableColumn id="6438" xr3:uid="{CF1B285A-920D-4DB6-98EC-ADE6A57C2E8F}" name="Column6407"/>
    <tableColumn id="6439" xr3:uid="{E46ABBB4-19C7-4045-9D59-F68E4F1BF6DD}" name="Column6408"/>
    <tableColumn id="6440" xr3:uid="{03595220-8123-4F80-B0B0-DACB3F89EDD2}" name="Column6409"/>
    <tableColumn id="6441" xr3:uid="{4B82BD2C-4179-4C31-8F68-6DBBB1E108EB}" name="Column6410"/>
    <tableColumn id="6442" xr3:uid="{C0CA97A2-D83B-4A14-B7A2-37E234C94DE7}" name="Column6411"/>
    <tableColumn id="6443" xr3:uid="{9E00CEBD-68D5-4DD0-828C-BF3EECEE4950}" name="Column6412"/>
    <tableColumn id="6444" xr3:uid="{FE1711D7-6343-4701-9C00-D61279FB3A78}" name="Column6413"/>
    <tableColumn id="6445" xr3:uid="{CACAE56A-BFB8-4B5E-8107-3CA6DA99228E}" name="Column6414"/>
    <tableColumn id="6446" xr3:uid="{9E0F9081-E9A7-4DDC-ABEE-E45CBFCBA048}" name="Column6415"/>
    <tableColumn id="6447" xr3:uid="{1756B80F-E209-4B2F-BDBB-4841CF49D210}" name="Column6416"/>
    <tableColumn id="6448" xr3:uid="{7B689BF8-1A21-40AE-964D-66341EC9268B}" name="Column6417"/>
    <tableColumn id="6449" xr3:uid="{2FF9CB6D-7BB5-4967-9765-DFE7269B1B1E}" name="Column6418"/>
    <tableColumn id="6450" xr3:uid="{78884F17-16CF-4C1E-872C-39C2055A39B8}" name="Column6419"/>
    <tableColumn id="6451" xr3:uid="{07747E2E-0F8F-47D0-B3B3-713ED930934B}" name="Column6420"/>
    <tableColumn id="6452" xr3:uid="{FF3F8DBB-2E6F-49A7-91C9-083CCE9FBA5E}" name="Column6421"/>
    <tableColumn id="6453" xr3:uid="{050C536A-BE77-4CD2-BFE7-B0A1DC438EFA}" name="Column6422"/>
    <tableColumn id="6454" xr3:uid="{5C5CDF9E-7863-4CAE-A3E1-027187326FE2}" name="Column6423"/>
    <tableColumn id="6455" xr3:uid="{6C519345-CF08-46CE-BCF5-E95C7794417B}" name="Column6424"/>
    <tableColumn id="6456" xr3:uid="{01A4CFF7-F6E2-46A3-8701-28DAA893145F}" name="Column6425"/>
    <tableColumn id="6457" xr3:uid="{755EFB04-1313-48BD-B1E4-61C662CE0288}" name="Column6426"/>
    <tableColumn id="6458" xr3:uid="{77E3667C-33F7-4B08-AB47-CFB5D7DB4607}" name="Column6427"/>
    <tableColumn id="6459" xr3:uid="{02E09838-BAF0-4DDD-9BB4-A9AEB133D828}" name="Column6428"/>
    <tableColumn id="6460" xr3:uid="{0DEF93F9-186C-4535-89E4-8FAFDE0B61F8}" name="Column6429"/>
    <tableColumn id="6461" xr3:uid="{E7B73146-7907-4FB3-8289-900E7D40C5E0}" name="Column6430"/>
    <tableColumn id="6462" xr3:uid="{220787E6-5886-4EA4-97D1-EF060CC44996}" name="Column6431"/>
    <tableColumn id="6463" xr3:uid="{32A97B71-7797-48BD-BB66-386515FA89AB}" name="Column6432"/>
    <tableColumn id="6464" xr3:uid="{24296E19-4153-49A1-B436-E50E585ABB0B}" name="Column6433"/>
    <tableColumn id="6465" xr3:uid="{A194C055-47F9-4FAC-AA86-F8258878B669}" name="Column6434"/>
    <tableColumn id="6466" xr3:uid="{7B5561B9-10DA-4C33-B1F4-FBF18E8DA188}" name="Column6435"/>
    <tableColumn id="6467" xr3:uid="{420426D1-31B0-46AE-82A6-8272AC6D23D8}" name="Column6436"/>
    <tableColumn id="6468" xr3:uid="{96BDD5BF-2127-4100-995C-AC488DF30C42}" name="Column6437"/>
    <tableColumn id="6469" xr3:uid="{A8B1A149-A637-489A-B774-D0B728FB896B}" name="Column6438"/>
    <tableColumn id="6470" xr3:uid="{DC0499C9-61FA-4834-8F62-FB2234D1BF98}" name="Column6439"/>
    <tableColumn id="6471" xr3:uid="{EE5448A6-6552-496C-8BB4-226F3D21083F}" name="Column6440"/>
    <tableColumn id="6472" xr3:uid="{DC6EEA9D-6946-4242-85FE-C26D26822FE8}" name="Column6441"/>
    <tableColumn id="6473" xr3:uid="{6DEB70FA-02D0-4944-8826-6FFB96DB9525}" name="Column6442"/>
    <tableColumn id="6474" xr3:uid="{189243CF-A216-40AA-9FBB-CBFF60EAEEBD}" name="Column6443"/>
    <tableColumn id="6475" xr3:uid="{E8BB4E7A-8431-45C8-A585-2BDBEF87CF4A}" name="Column6444"/>
    <tableColumn id="6476" xr3:uid="{62A37DDB-EEC0-4C20-8605-819BDD776074}" name="Column6445"/>
    <tableColumn id="6477" xr3:uid="{22DB7893-337E-4A85-9097-701498972BD6}" name="Column6446"/>
    <tableColumn id="6478" xr3:uid="{265F064E-C332-4B4A-BFF8-5C6DD1C59732}" name="Column6447"/>
    <tableColumn id="6479" xr3:uid="{D76ECED1-2254-4B97-8902-78938877956B}" name="Column6448"/>
    <tableColumn id="6480" xr3:uid="{1468818B-EA0F-4EED-9ACE-BA4CBDBB33BF}" name="Column6449"/>
    <tableColumn id="6481" xr3:uid="{8C829BE2-03AB-45FF-BA2E-72B5BAB328A8}" name="Column6450"/>
    <tableColumn id="6482" xr3:uid="{8DB36AFE-2260-44D5-885C-1856BD2FAFF3}" name="Column6451"/>
    <tableColumn id="6483" xr3:uid="{E845F46A-DEB5-4B97-BAFD-C43408B3AE42}" name="Column6452"/>
    <tableColumn id="6484" xr3:uid="{1089A035-514F-47AA-8A79-6E88A52D1D00}" name="Column6453"/>
    <tableColumn id="6485" xr3:uid="{10DE1483-38CB-40DC-87A3-7A6F94F0CE89}" name="Column6454"/>
    <tableColumn id="6486" xr3:uid="{27E11BA4-59FC-4DD4-8017-9D09FEE64631}" name="Column6455"/>
    <tableColumn id="6487" xr3:uid="{32FFCA28-0BE8-4D32-ACA8-A49466F91B81}" name="Column6456"/>
    <tableColumn id="6488" xr3:uid="{6FED7145-B82A-47E1-A663-5FE3E736839A}" name="Column6457"/>
    <tableColumn id="6489" xr3:uid="{A39BF33E-6AFF-45DE-BC01-9DB2958A7C36}" name="Column6458"/>
    <tableColumn id="6490" xr3:uid="{4310D2F8-B1E0-4DDD-9E38-F1A243DDC600}" name="Column6459"/>
    <tableColumn id="6491" xr3:uid="{FBD8D236-8644-4FF2-9760-CFAAE13C2382}" name="Column6460"/>
    <tableColumn id="6492" xr3:uid="{9341EEF6-BC5F-4E49-A505-D56BD99DBB04}" name="Column6461"/>
    <tableColumn id="6493" xr3:uid="{EE824072-49D1-46A0-85AA-EFB9B39AB945}" name="Column6462"/>
    <tableColumn id="6494" xr3:uid="{C62B5D1A-95D7-4454-8A85-C26E1EBD989F}" name="Column6463"/>
    <tableColumn id="6495" xr3:uid="{26B3FD3B-4761-4668-B963-550444689E40}" name="Column6464"/>
    <tableColumn id="6496" xr3:uid="{145EED5D-C818-44E6-A942-AAF56FEA81F2}" name="Column6465"/>
    <tableColumn id="6497" xr3:uid="{A9E02EBC-08F6-4B14-BE24-B42490FCAD15}" name="Column6466"/>
    <tableColumn id="6498" xr3:uid="{22B25AD9-73C3-4CE9-ABFB-1F56744673F3}" name="Column6467"/>
    <tableColumn id="6499" xr3:uid="{3A67F796-30B4-4935-B193-EF1CC0C3AAB4}" name="Column6468"/>
    <tableColumn id="6500" xr3:uid="{679A20F9-9D04-453B-A2E2-3B3C74751972}" name="Column6469"/>
    <tableColumn id="6501" xr3:uid="{C4105409-5B17-4545-88F6-C1B5DEBEA82C}" name="Column6470"/>
    <tableColumn id="6502" xr3:uid="{2597412D-8C3E-4B7C-8ADC-2AE21227069C}" name="Column6471"/>
    <tableColumn id="6503" xr3:uid="{C3B04780-7DE2-432D-A422-B99D423C0A96}" name="Column6472"/>
    <tableColumn id="6504" xr3:uid="{2B8B1B39-3946-4EB7-B50B-3D53AAF40183}" name="Column6473"/>
    <tableColumn id="6505" xr3:uid="{4E826FE0-4E6B-490B-A288-0823A875796A}" name="Column6474"/>
    <tableColumn id="6506" xr3:uid="{F8462B41-D474-4E8F-848F-76023FB73E5E}" name="Column6475"/>
    <tableColumn id="6507" xr3:uid="{FB6B0F05-081A-40AE-B545-54812D0125D2}" name="Column6476"/>
    <tableColumn id="6508" xr3:uid="{101B2E4B-8D7C-4DA9-A5C5-27E2370DF220}" name="Column6477"/>
    <tableColumn id="6509" xr3:uid="{31832D4E-7477-4966-AFE1-FD3BDAA26C7F}" name="Column6478"/>
    <tableColumn id="6510" xr3:uid="{0A14425F-8CB5-425E-A047-3E41F8F33FD3}" name="Column6479"/>
    <tableColumn id="6511" xr3:uid="{67E64B6E-3DBE-4939-A545-31D4D9C60429}" name="Column6480"/>
    <tableColumn id="6512" xr3:uid="{D7F7B47F-7904-4363-8FFA-2EB95C97F5B8}" name="Column6481"/>
    <tableColumn id="6513" xr3:uid="{1DBEA6F9-5D40-407E-8B3B-4A0C5BA24CF2}" name="Column6482"/>
    <tableColumn id="6514" xr3:uid="{00C68309-6A84-4231-B61E-A38D29310BF3}" name="Column6483"/>
    <tableColumn id="6515" xr3:uid="{C3EEFAF4-1C07-4BB7-80C9-BE512D829C56}" name="Column6484"/>
    <tableColumn id="6516" xr3:uid="{2D316C4D-0CC2-48AF-B005-072874EBE5DE}" name="Column6485"/>
    <tableColumn id="6517" xr3:uid="{D2040901-E4F5-4AC1-A796-024A8C048EF4}" name="Column6486"/>
    <tableColumn id="6518" xr3:uid="{1026F32D-CFF4-478C-B2B2-9ED82FDD43BC}" name="Column6487"/>
    <tableColumn id="6519" xr3:uid="{D631D308-67DE-4437-8DED-AC611D66EA85}" name="Column6488"/>
    <tableColumn id="6520" xr3:uid="{985D511E-16B1-4ECA-8F82-FAF9B27FF262}" name="Column6489"/>
    <tableColumn id="6521" xr3:uid="{397075C5-4CED-473B-9D2E-88503B19E6BF}" name="Column6490"/>
    <tableColumn id="6522" xr3:uid="{540BE93F-B150-4283-9426-F4F58381B3FC}" name="Column6491"/>
    <tableColumn id="6523" xr3:uid="{A395CBFD-B893-4202-A449-0E55F94647E8}" name="Column6492"/>
    <tableColumn id="6524" xr3:uid="{3B37088F-6E20-4F58-87E6-14707DD92464}" name="Column6493"/>
    <tableColumn id="6525" xr3:uid="{E13850AE-9048-4013-A20F-903E498E37BE}" name="Column6494"/>
    <tableColumn id="6526" xr3:uid="{F6D8E5BE-5C7B-4ABC-9136-0420612B90DE}" name="Column6495"/>
    <tableColumn id="6527" xr3:uid="{1A279693-2FB5-48EC-9775-925CD435C6E6}" name="Column6496"/>
    <tableColumn id="6528" xr3:uid="{4D52D688-0DD7-4162-9E53-04C26782F43A}" name="Column6497"/>
    <tableColumn id="6529" xr3:uid="{E0115D9D-EE0B-4035-B276-9E94E83D3BD3}" name="Column6498"/>
    <tableColumn id="6530" xr3:uid="{1E7DA576-B08E-427C-BEEB-BE13323CA3F0}" name="Column6499"/>
    <tableColumn id="6531" xr3:uid="{EAA9CF2E-3D65-43FA-9B10-9F1143EFC8B8}" name="Column6500"/>
    <tableColumn id="6532" xr3:uid="{0B177789-496D-4E41-AD63-246EA42E82CA}" name="Column6501"/>
    <tableColumn id="6533" xr3:uid="{EBA8F5A3-D1A3-4A3A-B752-4544439182B1}" name="Column6502"/>
    <tableColumn id="6534" xr3:uid="{9B9F0145-3602-4FC4-B8F3-72B4460CC045}" name="Column6503"/>
    <tableColumn id="6535" xr3:uid="{0EFCDA9B-9AEC-4678-8524-DAFB09AF6C30}" name="Column6504"/>
    <tableColumn id="6536" xr3:uid="{B8C4940F-2ACF-4D63-9BE6-844BCDC7434C}" name="Column6505"/>
    <tableColumn id="6537" xr3:uid="{CA527D76-D0D3-44A9-BF69-7A40850E78AF}" name="Column6506"/>
    <tableColumn id="6538" xr3:uid="{DAD709A7-640A-4844-B73B-0D606B60BF17}" name="Column6507"/>
    <tableColumn id="6539" xr3:uid="{06F8EED2-B817-4E14-A6EE-B12FCD8D2A6F}" name="Column6508"/>
    <tableColumn id="6540" xr3:uid="{8A0BE693-DABA-49E9-887E-26D525FD1B5E}" name="Column6509"/>
    <tableColumn id="6541" xr3:uid="{6D295F95-3D9C-47C6-BBDC-980E6B8D298C}" name="Column6510"/>
    <tableColumn id="6542" xr3:uid="{61C2A85D-8038-4827-ABAF-F99609C59F80}" name="Column6511"/>
    <tableColumn id="6543" xr3:uid="{D9DC1717-4AEB-4E55-B273-ABA1D700A7B8}" name="Column6512"/>
    <tableColumn id="6544" xr3:uid="{7DC9C469-7C77-4950-BC71-25D849BB4564}" name="Column6513"/>
    <tableColumn id="6545" xr3:uid="{D5B50643-A0EB-4353-AF35-8E367DC2C5D6}" name="Column6514"/>
    <tableColumn id="6546" xr3:uid="{72504FF6-8962-4CCD-8770-8AA8BA520C60}" name="Column6515"/>
    <tableColumn id="6547" xr3:uid="{393DA7B3-6D0E-4E41-AE5B-196F410D4536}" name="Column6516"/>
    <tableColumn id="6548" xr3:uid="{3BE92C77-8C40-43FE-AC54-2F451AF0119B}" name="Column6517"/>
    <tableColumn id="6549" xr3:uid="{A7C6DEBA-F7F8-439B-9A91-FC85D433C862}" name="Column6518"/>
    <tableColumn id="6550" xr3:uid="{54A24C0F-4A64-49A4-94AD-6CD5C6E36A35}" name="Column6519"/>
    <tableColumn id="6551" xr3:uid="{CA0D3E89-198B-4BBE-8188-F317C604E84B}" name="Column6520"/>
    <tableColumn id="6552" xr3:uid="{46125CC2-D663-4047-A357-E258D4B80558}" name="Column6521"/>
    <tableColumn id="6553" xr3:uid="{6DDCFF07-ABFC-42F5-9377-2E3775A7F7F8}" name="Column6522"/>
    <tableColumn id="6554" xr3:uid="{3D58B846-7726-4517-8F70-D77DF666DB39}" name="Column6523"/>
    <tableColumn id="6555" xr3:uid="{4EA41107-47DC-408B-82BE-929D06ED649B}" name="Column6524"/>
    <tableColumn id="6556" xr3:uid="{35E1F071-BE7B-4375-B09F-AB286C0C95A8}" name="Column6525"/>
    <tableColumn id="6557" xr3:uid="{33ACC69B-88C9-43E5-9009-3359B893C8CE}" name="Column6526"/>
    <tableColumn id="6558" xr3:uid="{CCF5569A-8313-4BF4-885F-084A09B52BCC}" name="Column6527"/>
    <tableColumn id="6559" xr3:uid="{660E6942-3D2A-48D3-A428-7B5506F91F90}" name="Column6528"/>
    <tableColumn id="6560" xr3:uid="{51763136-D0CE-43B1-B7FA-F3B1D60D1EBC}" name="Column6529"/>
    <tableColumn id="6561" xr3:uid="{6E129639-B52E-42C8-9E69-6BCF6CB0BEF8}" name="Column6530"/>
    <tableColumn id="6562" xr3:uid="{E1CB8E3C-3DF4-4EBE-BD0B-18F61F7FD4DF}" name="Column6531"/>
    <tableColumn id="6563" xr3:uid="{C072C2D7-48F6-4523-A8B6-28258BC26A47}" name="Column6532"/>
    <tableColumn id="6564" xr3:uid="{3BD6EFE1-BF4C-4806-BA89-620177CC11EF}" name="Column6533"/>
    <tableColumn id="6565" xr3:uid="{D72FC6C7-7EB9-4942-9E10-D2958403BC68}" name="Column6534"/>
    <tableColumn id="6566" xr3:uid="{D22C2733-B070-41B0-94D3-2837325B1817}" name="Column6535"/>
    <tableColumn id="6567" xr3:uid="{E978EB02-6F68-4AB9-BB39-86B9B53D0D98}" name="Column6536"/>
    <tableColumn id="6568" xr3:uid="{2C7FE82F-6C3B-4040-9467-1DF02AADACE7}" name="Column6537"/>
    <tableColumn id="6569" xr3:uid="{FFD94DF0-493E-4F49-86DF-798E395B357F}" name="Column6538"/>
    <tableColumn id="6570" xr3:uid="{DAA0BE94-0897-4205-AA2C-9E231D4ABBD1}" name="Column6539"/>
    <tableColumn id="6571" xr3:uid="{428E3B82-260F-4E94-B858-61D4BBF3ACC3}" name="Column6540"/>
    <tableColumn id="6572" xr3:uid="{4D717684-BC75-44AA-9463-70D6CB228476}" name="Column6541"/>
    <tableColumn id="6573" xr3:uid="{F35CD4CE-970A-4D88-B324-BCF90E7443DC}" name="Column6542"/>
    <tableColumn id="6574" xr3:uid="{371EEC26-4199-44BA-A64F-983E69B29C78}" name="Column6543"/>
    <tableColumn id="6575" xr3:uid="{3E48B075-24BB-4B19-A8B1-B786993F9839}" name="Column6544"/>
    <tableColumn id="6576" xr3:uid="{FDCDC48A-6FB9-4611-B583-54D62BDF39A9}" name="Column6545"/>
    <tableColumn id="6577" xr3:uid="{4025C2DA-5990-4738-987B-CED52A41BFAF}" name="Column6546"/>
    <tableColumn id="6578" xr3:uid="{03E1FFEC-3CD4-4EC7-BA94-0600A392EFD0}" name="Column6547"/>
    <tableColumn id="6579" xr3:uid="{01966063-6607-4EF5-BB4F-B0308AF70234}" name="Column6548"/>
    <tableColumn id="6580" xr3:uid="{9CEDB486-F220-4671-9FF6-78FD04737D2E}" name="Column6549"/>
    <tableColumn id="6581" xr3:uid="{D98F005C-CB22-448A-8362-D94979AA4D8D}" name="Column6550"/>
    <tableColumn id="6582" xr3:uid="{8502CCAC-3ECB-462A-85F8-C30C4594D80A}" name="Column6551"/>
    <tableColumn id="6583" xr3:uid="{64C12F32-8B28-469A-A16C-B832A050F5A1}" name="Column6552"/>
    <tableColumn id="6584" xr3:uid="{B0FE0FA1-9B59-4005-9636-3C82FADEA257}" name="Column6553"/>
    <tableColumn id="6585" xr3:uid="{A7F13A2C-6BEC-4EFB-9EF1-77C81A0F1D62}" name="Column6554"/>
    <tableColumn id="6586" xr3:uid="{7A2AC8AC-D4E0-46EF-BEDD-4A09938810DE}" name="Column6555"/>
    <tableColumn id="6587" xr3:uid="{75ECD0AC-F7F5-4054-9782-E524422C05FA}" name="Column6556"/>
    <tableColumn id="6588" xr3:uid="{8C9662EE-8E19-4605-8BED-EF2486AC0090}" name="Column6557"/>
    <tableColumn id="6589" xr3:uid="{58C45EA0-C250-42F4-8E62-4DC6D4685A1E}" name="Column6558"/>
    <tableColumn id="6590" xr3:uid="{8B4C19B7-1959-4852-BA38-FD8C4AA929C3}" name="Column6559"/>
    <tableColumn id="6591" xr3:uid="{3141CE2A-20BF-4EA1-8388-BC11CF989495}" name="Column6560"/>
    <tableColumn id="6592" xr3:uid="{097C1EDA-4171-4EE1-BE80-ED681C3EC925}" name="Column6561"/>
    <tableColumn id="6593" xr3:uid="{F2AC969A-8D17-4885-8C29-E84CF6DDED0D}" name="Column6562"/>
    <tableColumn id="6594" xr3:uid="{EA35E511-DC8F-484A-9C29-6CFE228EEF0C}" name="Column6563"/>
    <tableColumn id="6595" xr3:uid="{1F167ACD-5790-41EE-BE04-7E8955CC44F5}" name="Column6564"/>
    <tableColumn id="6596" xr3:uid="{E7BD4A58-A63D-475C-BE3F-A552DE01097C}" name="Column6565"/>
    <tableColumn id="6597" xr3:uid="{8B71AEF4-1EEE-4844-BD5A-8993A4ABEF1D}" name="Column6566"/>
    <tableColumn id="6598" xr3:uid="{7F3B7E82-454A-44AD-A485-43F2358D2820}" name="Column6567"/>
    <tableColumn id="6599" xr3:uid="{BCE53657-FEBC-4B3D-8831-CBF7EEB575CD}" name="Column6568"/>
    <tableColumn id="6600" xr3:uid="{2EEC16BA-F13B-4600-A871-D82EB8C23440}" name="Column6569"/>
    <tableColumn id="6601" xr3:uid="{32EBFC76-6686-4D46-8CDC-FA8EA3710C51}" name="Column6570"/>
    <tableColumn id="6602" xr3:uid="{B721DE52-2D6E-4F07-9186-FE0D9D76D059}" name="Column6571"/>
    <tableColumn id="6603" xr3:uid="{67E56EBE-E023-4E6F-A2D3-F06D2B868A97}" name="Column6572"/>
    <tableColumn id="6604" xr3:uid="{144B5BBE-88DA-4F86-AC70-2938CD1052C1}" name="Column6573"/>
    <tableColumn id="6605" xr3:uid="{CA1F4FE2-DF91-404C-8875-2150062F6678}" name="Column6574"/>
    <tableColumn id="6606" xr3:uid="{6ED4A4C2-916F-4A85-8D30-DE01A1D76CAD}" name="Column6575"/>
    <tableColumn id="6607" xr3:uid="{C8DD97F5-A7D4-43BF-81AB-2ED0FF77F456}" name="Column6576"/>
    <tableColumn id="6608" xr3:uid="{BB9368EF-F866-4626-997E-7908F9552C40}" name="Column6577"/>
    <tableColumn id="6609" xr3:uid="{49DC4C19-0930-42BF-B2BC-24D56751F004}" name="Column6578"/>
    <tableColumn id="6610" xr3:uid="{B2C11F13-DCA0-4376-A973-982DD83418FF}" name="Column6579"/>
    <tableColumn id="6611" xr3:uid="{918E5403-63A8-45CB-BB5D-0DB9778B04C4}" name="Column6580"/>
    <tableColumn id="6612" xr3:uid="{D67014A9-E73B-4547-8078-552AB145165B}" name="Column6581"/>
    <tableColumn id="6613" xr3:uid="{DE156470-EE12-467B-B6AA-56706300B4AF}" name="Column6582"/>
    <tableColumn id="6614" xr3:uid="{6E3680CE-EBAE-4B52-A65C-0BBBED83479A}" name="Column6583"/>
    <tableColumn id="6615" xr3:uid="{9172D037-F7C7-4175-83AB-25370405DF32}" name="Column6584"/>
    <tableColumn id="6616" xr3:uid="{9794FD52-DAFB-438C-AD4D-085371F7B4E9}" name="Column6585"/>
    <tableColumn id="6617" xr3:uid="{34C30D48-46A9-4745-8940-5E83CDD0E73F}" name="Column6586"/>
    <tableColumn id="6618" xr3:uid="{0095894B-F48D-4320-A75E-54FD0F13237C}" name="Column6587"/>
    <tableColumn id="6619" xr3:uid="{EA958F69-E68C-40AD-8DA3-0DD61C9889D1}" name="Column6588"/>
    <tableColumn id="6620" xr3:uid="{20358872-132C-4BFC-B6C1-CB0B9A144A36}" name="Column6589"/>
    <tableColumn id="6621" xr3:uid="{F15010D5-92E1-4EE0-A347-7E92D6B0BCC4}" name="Column6590"/>
    <tableColumn id="6622" xr3:uid="{F9DA298F-EEAC-4963-AE96-50CD144DA737}" name="Column6591"/>
    <tableColumn id="6623" xr3:uid="{779AAF56-F0CE-4051-A887-241AD83E98A6}" name="Column6592"/>
    <tableColumn id="6624" xr3:uid="{D7F8BE01-67F7-4E30-8188-CDB7D6F5A38F}" name="Column6593"/>
    <tableColumn id="6625" xr3:uid="{2C02174D-78D7-49EC-9DBC-761279327E08}" name="Column6594"/>
    <tableColumn id="6626" xr3:uid="{710D2CAE-3EBF-4A28-9FD5-27E86DB15204}" name="Column6595"/>
    <tableColumn id="6627" xr3:uid="{F2E965C9-9017-4C17-A13C-D34D9FDFE7F3}" name="Column6596"/>
    <tableColumn id="6628" xr3:uid="{241CA382-1624-44A9-BE4C-5CA132FF6F04}" name="Column6597"/>
    <tableColumn id="6629" xr3:uid="{38525CF4-0CDE-4633-9555-9EBA814FEEBB}" name="Column6598"/>
    <tableColumn id="6630" xr3:uid="{95082BC7-E689-4486-B675-2C74AC96037B}" name="Column6599"/>
    <tableColumn id="6631" xr3:uid="{964AB0AB-5527-4F64-8D3F-4F9EB5AF7D10}" name="Column6600"/>
    <tableColumn id="6632" xr3:uid="{154E694A-E9EF-4A27-8989-23F0EBFB4B66}" name="Column6601"/>
    <tableColumn id="6633" xr3:uid="{FE85C92F-B26F-4F9E-8F64-F79EF8395BBA}" name="Column6602"/>
    <tableColumn id="6634" xr3:uid="{A93E6E83-5EEF-4512-805B-DD08046754BF}" name="Column6603"/>
    <tableColumn id="6635" xr3:uid="{A8BD2279-D8F3-4D7B-957B-6B69898258CD}" name="Column6604"/>
    <tableColumn id="6636" xr3:uid="{017D8910-1FC4-424B-8ACE-EFD8A3E409D6}" name="Column6605"/>
    <tableColumn id="6637" xr3:uid="{8A7D02E0-7796-4BC5-BC42-930E328F6D05}" name="Column6606"/>
    <tableColumn id="6638" xr3:uid="{F6836F64-EB16-4CC3-B762-622F4E8B4605}" name="Column6607"/>
    <tableColumn id="6639" xr3:uid="{793D053F-3456-4EF3-8A7E-CDE4386D0FF4}" name="Column6608"/>
    <tableColumn id="6640" xr3:uid="{050A28DC-1A3C-4944-AE7B-3AEB18B1F270}" name="Column6609"/>
    <tableColumn id="6641" xr3:uid="{A2232417-187B-46CE-9814-7ADC64E8FF8C}" name="Column6610"/>
    <tableColumn id="6642" xr3:uid="{0722F4DB-3F63-4A2D-B539-FA20A2B970F0}" name="Column6611"/>
    <tableColumn id="6643" xr3:uid="{7CA34B5B-8248-4A95-909D-E7710C8A5360}" name="Column6612"/>
    <tableColumn id="6644" xr3:uid="{372A1302-D619-49A5-967D-7AB3ACDFEDD8}" name="Column6613"/>
    <tableColumn id="6645" xr3:uid="{4B5E585D-3E21-4C8C-B73D-A1663137AA31}" name="Column6614"/>
    <tableColumn id="6646" xr3:uid="{6443912A-0385-48E5-939A-28806BD66755}" name="Column6615"/>
    <tableColumn id="6647" xr3:uid="{9F7ED3F7-D419-48A7-9071-27E753964739}" name="Column6616"/>
    <tableColumn id="6648" xr3:uid="{0EDD63C1-7AA3-445F-AEF0-71BD1005DC61}" name="Column6617"/>
    <tableColumn id="6649" xr3:uid="{F4C57962-1081-4FB2-803A-A3C346BCD02D}" name="Column6618"/>
    <tableColumn id="6650" xr3:uid="{CB8CDC5D-4741-41F2-BB8B-DB7ED26AE3B1}" name="Column6619"/>
    <tableColumn id="6651" xr3:uid="{BC796E4D-D0A3-467E-837C-196ECD47CFC5}" name="Column6620"/>
    <tableColumn id="6652" xr3:uid="{9525B39D-3758-4C02-B143-14CA692B82BE}" name="Column6621"/>
    <tableColumn id="6653" xr3:uid="{1AE847A5-D72A-4AD6-AE05-3698D141C9FF}" name="Column6622"/>
    <tableColumn id="6654" xr3:uid="{13A410BC-F8B8-4A88-A800-A74799521749}" name="Column6623"/>
    <tableColumn id="6655" xr3:uid="{D604D9D3-29B8-402B-870A-6BA1EE20548B}" name="Column6624"/>
    <tableColumn id="6656" xr3:uid="{8E5EAE76-3C86-46B8-A3F2-C12A2DE2F061}" name="Column6625"/>
    <tableColumn id="6657" xr3:uid="{F73CD15C-F81B-4555-88A3-DBCC13FBF3A8}" name="Column6626"/>
    <tableColumn id="6658" xr3:uid="{D6513CFF-EF90-41D5-8C7A-0DC555111ED1}" name="Column6627"/>
    <tableColumn id="6659" xr3:uid="{FFC76FAB-FAE6-4A72-8D94-42CF60812388}" name="Column6628"/>
    <tableColumn id="6660" xr3:uid="{7AD5E96B-4D1F-4F8B-B09E-716A5DDE714B}" name="Column6629"/>
    <tableColumn id="6661" xr3:uid="{DB918436-4F08-45BF-A090-4F2F9D2605BE}" name="Column6630"/>
    <tableColumn id="6662" xr3:uid="{E51D2855-EDC6-46DA-9D20-04A47C946892}" name="Column6631"/>
    <tableColumn id="6663" xr3:uid="{C4362528-54C8-4A22-B9FB-B40E345734EF}" name="Column6632"/>
    <tableColumn id="6664" xr3:uid="{56B5CEF2-1FAA-49B5-8347-4479438C4F28}" name="Column6633"/>
    <tableColumn id="6665" xr3:uid="{AC87E6FC-61CD-447F-B2D6-7A0DA4CBB823}" name="Column6634"/>
    <tableColumn id="6666" xr3:uid="{1BEFDC11-A04E-4717-A546-1F20F55FA168}" name="Column6635"/>
    <tableColumn id="6667" xr3:uid="{9B753647-0EB8-4A00-9DBD-E3DD9ECB831C}" name="Column6636"/>
    <tableColumn id="6668" xr3:uid="{22BD2521-C061-4CAB-BF12-B51B43A7ACDD}" name="Column6637"/>
    <tableColumn id="6669" xr3:uid="{7A9B2893-25DA-4D8F-9663-9C9B2280DB9D}" name="Column6638"/>
    <tableColumn id="6670" xr3:uid="{4E5C7E4B-6D27-4824-A9EB-E56F4356F9A9}" name="Column6639"/>
    <tableColumn id="6671" xr3:uid="{31850132-1C3E-4D36-B350-47853D8E1D25}" name="Column6640"/>
    <tableColumn id="6672" xr3:uid="{1CA8FC70-C808-4DCD-84BE-6767C2F955B5}" name="Column6641"/>
    <tableColumn id="6673" xr3:uid="{28CCAD87-6060-42BF-AF55-61333D3B1D3D}" name="Column6642"/>
    <tableColumn id="6674" xr3:uid="{378B2100-6E8D-40E6-A1E5-A903C191425E}" name="Column6643"/>
    <tableColumn id="6675" xr3:uid="{93E3F233-BB21-422A-99ED-61B92381CF53}" name="Column6644"/>
    <tableColumn id="6676" xr3:uid="{B0FFFE45-67FF-4517-AA29-736AEA8E355D}" name="Column6645"/>
    <tableColumn id="6677" xr3:uid="{AD4E2ACB-4FCE-4210-847C-EA66433119B7}" name="Column6646"/>
    <tableColumn id="6678" xr3:uid="{F887CB80-B42C-4DA9-828A-61FC2B855EE6}" name="Column6647"/>
    <tableColumn id="6679" xr3:uid="{D19C3FB1-A2CF-4230-89E0-22A6728A21DB}" name="Column6648"/>
    <tableColumn id="6680" xr3:uid="{9D733FD9-7379-4B8B-8C9D-F3DED1BD880F}" name="Column6649"/>
    <tableColumn id="6681" xr3:uid="{4E2F8049-3C7E-4A70-9EEA-DBE628CD73A2}" name="Column6650"/>
    <tableColumn id="6682" xr3:uid="{ACAE2C3A-379C-4AB4-9304-CE5949A746CD}" name="Column6651"/>
    <tableColumn id="6683" xr3:uid="{FCA3F39E-2879-4A03-BAB7-B372665C8B3E}" name="Column6652"/>
    <tableColumn id="6684" xr3:uid="{D614A352-5868-409E-8A9A-38D82C2010E6}" name="Column6653"/>
    <tableColumn id="6685" xr3:uid="{FFFB631A-C0D0-427B-855D-49014703C7ED}" name="Column6654"/>
    <tableColumn id="6686" xr3:uid="{5FE64AD0-EA8E-46C9-BC1C-EBE62594364F}" name="Column6655"/>
    <tableColumn id="6687" xr3:uid="{EDAE395A-8F3B-4E6D-8868-DD74A333AC8D}" name="Column6656"/>
    <tableColumn id="6688" xr3:uid="{7F3F183B-9EF3-446A-A6A4-CD721609F77A}" name="Column6657"/>
    <tableColumn id="6689" xr3:uid="{1E37191B-9C10-426D-A91C-DA415D802786}" name="Column6658"/>
    <tableColumn id="6690" xr3:uid="{120AC27B-6BBB-4569-A461-E12F87C7AE01}" name="Column6659"/>
    <tableColumn id="6691" xr3:uid="{63090852-1A0F-4948-9CBB-5CE339C11053}" name="Column6660"/>
    <tableColumn id="6692" xr3:uid="{A51EAD1D-29E7-418D-93C8-80D049814557}" name="Column6661"/>
    <tableColumn id="6693" xr3:uid="{D9C1AF39-8D3B-4C6A-9F71-0FE82C14B05F}" name="Column6662"/>
    <tableColumn id="6694" xr3:uid="{CAF30B4B-96AA-49C2-AA86-DF161C147E35}" name="Column6663"/>
    <tableColumn id="6695" xr3:uid="{EDB7481C-A8E5-479F-ADB7-02B60FBF3AB1}" name="Column6664"/>
    <tableColumn id="6696" xr3:uid="{E7246666-004A-4499-AA90-DC2625210295}" name="Column6665"/>
    <tableColumn id="6697" xr3:uid="{BD8D9E2F-8F53-47D1-ACCF-29937DE21A1B}" name="Column6666"/>
    <tableColumn id="6698" xr3:uid="{670BA404-88B6-41DC-8044-D4E1486D921B}" name="Column6667"/>
    <tableColumn id="6699" xr3:uid="{4A0F6182-0368-4F78-AE4C-AB611AF24356}" name="Column6668"/>
    <tableColumn id="6700" xr3:uid="{D1005048-E843-4C95-8AB2-EDA5BDF0BE4F}" name="Column6669"/>
    <tableColumn id="6701" xr3:uid="{0DCFF474-E21F-4EBE-A9AE-D2034C523ED8}" name="Column6670"/>
    <tableColumn id="6702" xr3:uid="{67A8AA68-C8B1-4FEB-892B-B2E871AD629A}" name="Column6671"/>
    <tableColumn id="6703" xr3:uid="{53605E82-097B-4A4D-B10D-C00DFDF95C05}" name="Column6672"/>
    <tableColumn id="6704" xr3:uid="{BBA69AC7-D960-46D9-B676-741BB95685E4}" name="Column6673"/>
    <tableColumn id="6705" xr3:uid="{62EC8432-D5F2-449A-B6DE-4D560AF818C7}" name="Column6674"/>
    <tableColumn id="6706" xr3:uid="{C535FAB5-EC33-4C79-9ECE-348BEA929466}" name="Column6675"/>
    <tableColumn id="6707" xr3:uid="{6CA43280-1DCF-4707-9F7D-92944E447133}" name="Column6676"/>
    <tableColumn id="6708" xr3:uid="{298DEBAF-1E70-4579-AEF2-6C8CB829D3C6}" name="Column6677"/>
    <tableColumn id="6709" xr3:uid="{3A17DC1E-EB56-4F87-9331-ABABF717BF3A}" name="Column6678"/>
    <tableColumn id="6710" xr3:uid="{54006DEF-5AA0-4E31-AC60-1578B1A56D86}" name="Column6679"/>
    <tableColumn id="6711" xr3:uid="{97A0A0D7-4DCF-4E22-B32D-E0D55139F49C}" name="Column6680"/>
    <tableColumn id="6712" xr3:uid="{3267E60B-5EE8-4B9C-B4AB-CE37806A8F69}" name="Column6681"/>
    <tableColumn id="6713" xr3:uid="{7A1DF1CB-9DDC-402A-AB0E-6687005B244C}" name="Column6682"/>
    <tableColumn id="6714" xr3:uid="{4FE94D61-6205-4340-8274-FD6EC6B3B205}" name="Column6683"/>
    <tableColumn id="6715" xr3:uid="{E212F3C9-54F8-4F1F-BF2D-330FD5CE8EC6}" name="Column6684"/>
    <tableColumn id="6716" xr3:uid="{0F29A1D6-C466-487D-A1E7-53F849F2B229}" name="Column6685"/>
    <tableColumn id="6717" xr3:uid="{B3E08F93-820B-40D2-A244-57F1541EE98C}" name="Column6686"/>
    <tableColumn id="6718" xr3:uid="{3E8F18B0-F81F-4008-A599-CFB2AAE136EF}" name="Column6687"/>
    <tableColumn id="6719" xr3:uid="{ADB94239-C81C-41CE-BA6B-FDC4726ED77B}" name="Column6688"/>
    <tableColumn id="6720" xr3:uid="{B3B6F302-09D8-4B1D-A121-9181A0C9928C}" name="Column6689"/>
    <tableColumn id="6721" xr3:uid="{7143D59F-2B71-40B8-B725-B6FEDB05A4D6}" name="Column6690"/>
    <tableColumn id="6722" xr3:uid="{FE7FF280-F444-457E-96E0-2769155615D5}" name="Column6691"/>
    <tableColumn id="6723" xr3:uid="{2728C7B8-274B-41E2-B7B9-A1C37C8B23D6}" name="Column6692"/>
    <tableColumn id="6724" xr3:uid="{17ABC21F-00AB-43AE-B3C3-5744D3650E3E}" name="Column6693"/>
    <tableColumn id="6725" xr3:uid="{C4FBB543-F3B8-41DE-A2D8-B2B8E2DFFC8A}" name="Column6694"/>
    <tableColumn id="6726" xr3:uid="{8C129A7E-9FED-4D86-A6CD-F98E2296FD9C}" name="Column6695"/>
    <tableColumn id="6727" xr3:uid="{1C08514D-2115-4CF2-95BD-401667E62EB1}" name="Column6696"/>
    <tableColumn id="6728" xr3:uid="{2D3C937F-AD92-4BE2-ACF4-44687C3536CC}" name="Column6697"/>
    <tableColumn id="6729" xr3:uid="{C338C0B7-E83C-4353-8F6F-F08FB290DE07}" name="Column6698"/>
    <tableColumn id="6730" xr3:uid="{01BAC9B5-89A2-4641-83CA-3E950A66724E}" name="Column6699"/>
    <tableColumn id="6731" xr3:uid="{48787795-7749-40F1-801C-906BEE9C9C9F}" name="Column6700"/>
    <tableColumn id="6732" xr3:uid="{EA85A047-C1DD-4E8B-80B0-7B6C2E8199A6}" name="Column6701"/>
    <tableColumn id="6733" xr3:uid="{1C780060-6586-4FF9-8F4A-8E62E137758E}" name="Column6702"/>
    <tableColumn id="6734" xr3:uid="{751D7DE6-CDAF-49D9-BDD9-86201A8DDF3E}" name="Column6703"/>
    <tableColumn id="6735" xr3:uid="{E8171075-C223-486E-8491-7D3ECDB61EE5}" name="Column6704"/>
    <tableColumn id="6736" xr3:uid="{5C636466-64AB-4EED-B542-B7FC610111AF}" name="Column6705"/>
    <tableColumn id="6737" xr3:uid="{5D09BAC2-A2A0-4168-A089-189924630C0E}" name="Column6706"/>
    <tableColumn id="6738" xr3:uid="{D42C9E69-9C6C-4270-B698-0CFF345D7C1C}" name="Column6707"/>
    <tableColumn id="6739" xr3:uid="{1DFB7EFA-4D2A-4F50-8A75-3FEFAF50D203}" name="Column6708"/>
    <tableColumn id="6740" xr3:uid="{FC09C2DF-9D48-4C48-8331-AA7C8E1BDA42}" name="Column6709"/>
    <tableColumn id="6741" xr3:uid="{E0B0E762-CAD6-4592-9F79-B383720C85D2}" name="Column6710"/>
    <tableColumn id="6742" xr3:uid="{923791C9-623C-4A1B-8C62-04B9D77262F0}" name="Column6711"/>
    <tableColumn id="6743" xr3:uid="{A46FDB6D-D8F2-4AD3-BECC-7685B0D4AAAC}" name="Column6712"/>
    <tableColumn id="6744" xr3:uid="{A1B7409E-A71B-4AE1-8DDE-3DDA64A4F41B}" name="Column6713"/>
    <tableColumn id="6745" xr3:uid="{D15078C4-18F4-41BB-9D5A-82395E982AC3}" name="Column6714"/>
    <tableColumn id="6746" xr3:uid="{591A3B0E-B155-4EC3-89E2-2584115820EE}" name="Column6715"/>
    <tableColumn id="6747" xr3:uid="{E697BE86-1FE3-4307-B2F9-51123AA263D2}" name="Column6716"/>
    <tableColumn id="6748" xr3:uid="{847541A1-0FA6-4EEF-BD1D-08C3B3FC17D0}" name="Column6717"/>
    <tableColumn id="6749" xr3:uid="{E48AEACE-5742-48CF-BB61-7C95E0894F50}" name="Column6718"/>
    <tableColumn id="6750" xr3:uid="{1BEC7890-B9BA-4DEB-BBF5-5B1CA125AD65}" name="Column6719"/>
    <tableColumn id="6751" xr3:uid="{AC10B56B-F655-4021-B72D-3DD77BCF01C2}" name="Column6720"/>
    <tableColumn id="6752" xr3:uid="{25D7A6C3-A966-405B-8B0C-63514E10DA3A}" name="Column6721"/>
    <tableColumn id="6753" xr3:uid="{E6F03C7A-6295-448C-8A4B-895B9B68D3D5}" name="Column6722"/>
    <tableColumn id="6754" xr3:uid="{C14C48EE-292A-4ADC-B604-CCA659A13DEE}" name="Column6723"/>
    <tableColumn id="6755" xr3:uid="{9AF8147D-7B58-48F3-AE64-2A58BBE951FF}" name="Column6724"/>
    <tableColumn id="6756" xr3:uid="{CDC30879-48F2-45D0-85F1-600F17544E24}" name="Column6725"/>
    <tableColumn id="6757" xr3:uid="{E54CA939-AB1B-4DD5-83B0-3E22EEB80610}" name="Column6726"/>
    <tableColumn id="6758" xr3:uid="{9D61CFFC-9134-4FB1-B7D2-30F557C5EA1C}" name="Column6727"/>
    <tableColumn id="6759" xr3:uid="{69178FC8-8801-4F4C-AAE3-AC3B0C61C165}" name="Column6728"/>
    <tableColumn id="6760" xr3:uid="{4160FFF7-56E6-4E3D-86A3-B098BD363680}" name="Column6729"/>
    <tableColumn id="6761" xr3:uid="{0967AAB0-057E-4034-BC5B-F6795CC357EC}" name="Column6730"/>
    <tableColumn id="6762" xr3:uid="{613E8EA2-038E-4C23-9EEC-E77F2136C57F}" name="Column6731"/>
    <tableColumn id="6763" xr3:uid="{0E18CCFC-D6A5-45AF-B0CA-0682726CF4EE}" name="Column6732"/>
    <tableColumn id="6764" xr3:uid="{7DA45FCB-5A5F-415E-80ED-B7BB3941EEE8}" name="Column6733"/>
    <tableColumn id="6765" xr3:uid="{3B2A88D2-BA66-4E26-9566-3A47AA7228C6}" name="Column6734"/>
    <tableColumn id="6766" xr3:uid="{5848C27C-09F2-454F-87EA-58E73B803D0C}" name="Column6735"/>
    <tableColumn id="6767" xr3:uid="{050DF8CE-F119-40DF-B78E-629B67D780C0}" name="Column6736"/>
    <tableColumn id="6768" xr3:uid="{9716990C-1956-45A2-851C-7A5652CEDE7D}" name="Column6737"/>
    <tableColumn id="6769" xr3:uid="{16538561-B0EC-44F5-A90A-369205CEE7E0}" name="Column6738"/>
    <tableColumn id="6770" xr3:uid="{BCA93CDF-BA13-42A3-8C20-8A7C410DB793}" name="Column6739"/>
    <tableColumn id="6771" xr3:uid="{1BEC525D-1272-445E-887C-08D66684915A}" name="Column6740"/>
    <tableColumn id="6772" xr3:uid="{E20EBFBC-E88D-49C6-8F50-134F0A7FD2D6}" name="Column6741"/>
    <tableColumn id="6773" xr3:uid="{C53CE8C5-6801-4524-9DE1-63A93580A9E5}" name="Column6742"/>
    <tableColumn id="6774" xr3:uid="{2C024A32-6FF0-41F0-B841-BE0D43160B70}" name="Column6743"/>
    <tableColumn id="6775" xr3:uid="{C7924B9E-68E2-4620-8EB2-FA7837967E4D}" name="Column6744"/>
    <tableColumn id="6776" xr3:uid="{36173045-3A9E-4367-8D52-B9C3CCF48089}" name="Column6745"/>
    <tableColumn id="6777" xr3:uid="{C2EF5785-C2AE-4C14-BDD1-14A4D87DFB61}" name="Column6746"/>
    <tableColumn id="6778" xr3:uid="{79D97536-2728-446E-A0BE-36118DF017A7}" name="Column6747"/>
    <tableColumn id="6779" xr3:uid="{9174FA38-FD2C-470C-BEB4-091ED9A3F0F6}" name="Column6748"/>
    <tableColumn id="6780" xr3:uid="{FD429845-4E41-4E4A-B62E-82461BD4C682}" name="Column6749"/>
    <tableColumn id="6781" xr3:uid="{08EE63EF-7380-4B76-91B1-500737E30DBA}" name="Column6750"/>
    <tableColumn id="6782" xr3:uid="{75DF54C7-4726-4C98-80F1-6F591E9BA650}" name="Column6751"/>
    <tableColumn id="6783" xr3:uid="{BDDDE3D7-FFAB-43B0-B4CA-3A523DAA801C}" name="Column6752"/>
    <tableColumn id="6784" xr3:uid="{16884A47-BBCA-40CF-988D-FF4B4CFDB1A8}" name="Column6753"/>
    <tableColumn id="6785" xr3:uid="{F1D07197-CED0-498D-AFBD-0DB01B83CEA3}" name="Column6754"/>
    <tableColumn id="6786" xr3:uid="{D4F7283F-CF2E-472F-9BD0-EB9AADC4374E}" name="Column6755"/>
    <tableColumn id="6787" xr3:uid="{3AFA72CC-5A80-4F13-9DDA-0BC6CE3A3C6F}" name="Column6756"/>
    <tableColumn id="6788" xr3:uid="{F0BB1E7C-152F-4F84-A385-C7D36E46D60D}" name="Column6757"/>
    <tableColumn id="6789" xr3:uid="{99E6D440-821D-4029-909B-A5E97619CFB6}" name="Column6758"/>
    <tableColumn id="6790" xr3:uid="{CAECFD2C-67F7-49F8-8A5C-9358693C4416}" name="Column6759"/>
    <tableColumn id="6791" xr3:uid="{55D56946-170C-4970-96AC-6544EBEB0D5C}" name="Column6760"/>
    <tableColumn id="6792" xr3:uid="{3B96E086-405B-4BAE-9703-C83A4FA5C539}" name="Column6761"/>
    <tableColumn id="6793" xr3:uid="{0CE5BA72-3E51-44FC-9518-F26AEE374B38}" name="Column6762"/>
    <tableColumn id="6794" xr3:uid="{5E8330C2-9011-47ED-9766-6578EB7D68E7}" name="Column6763"/>
    <tableColumn id="6795" xr3:uid="{7585B6BF-2CED-4601-BC5A-D37D64B715ED}" name="Column6764"/>
    <tableColumn id="6796" xr3:uid="{9DE99C3B-C47E-48CF-ADC8-BFFB76F48E8F}" name="Column6765"/>
    <tableColumn id="6797" xr3:uid="{45AD55E5-BF8B-415E-87C8-85B1826F3143}" name="Column6766"/>
    <tableColumn id="6798" xr3:uid="{F0A96EFC-FC7E-4F78-9179-1425324D901C}" name="Column6767"/>
    <tableColumn id="6799" xr3:uid="{40F618AA-FCAF-4D71-AA5B-3D3FB117B56B}" name="Column6768"/>
    <tableColumn id="6800" xr3:uid="{E6D89B99-5DAE-49EB-94C4-80CFFE84A3D5}" name="Column6769"/>
    <tableColumn id="6801" xr3:uid="{BF6C15FD-7E71-4D7B-B563-A0DA90AC2F93}" name="Column6770"/>
    <tableColumn id="6802" xr3:uid="{1106A481-E1F8-4A35-8A59-958A53E3AFE4}" name="Column6771"/>
    <tableColumn id="6803" xr3:uid="{AC676600-4717-43BA-942A-6250696245D7}" name="Column6772"/>
    <tableColumn id="6804" xr3:uid="{0B80A40E-04DB-4F5B-88F3-D1EA6DBFFA92}" name="Column6773"/>
    <tableColumn id="6805" xr3:uid="{EA94D380-2CA3-421D-88BB-A6ADF67FC880}" name="Column6774"/>
    <tableColumn id="6806" xr3:uid="{D651AFA6-B6C0-482D-B600-44F309EBF3E5}" name="Column6775"/>
    <tableColumn id="6807" xr3:uid="{046A1F85-46A8-4E9E-AF43-08F0323E6D2D}" name="Column6776"/>
    <tableColumn id="6808" xr3:uid="{29000E11-0B46-46AD-8689-F729ABF79A97}" name="Column6777"/>
    <tableColumn id="6809" xr3:uid="{C576397E-106A-4D49-A4C9-458CFB167C77}" name="Column6778"/>
    <tableColumn id="6810" xr3:uid="{544F9476-7F19-4493-B67B-F9AB92955AB7}" name="Column6779"/>
    <tableColumn id="6811" xr3:uid="{7FB309D8-5426-423C-9AEC-799D03C916B9}" name="Column6780"/>
    <tableColumn id="6812" xr3:uid="{23DEFDDC-06F4-4505-8749-A1CC88ACEAEB}" name="Column6781"/>
    <tableColumn id="6813" xr3:uid="{5AB75E64-F505-4F6D-BD25-CFE36B1D50B9}" name="Column6782"/>
    <tableColumn id="6814" xr3:uid="{C8EAEBDD-DF60-4CD8-9AC2-B8409051A34F}" name="Column6783"/>
    <tableColumn id="6815" xr3:uid="{F9F177C3-364D-4FBA-9276-5F0BE454366C}" name="Column6784"/>
    <tableColumn id="6816" xr3:uid="{625067C4-9635-4092-8BA7-11BCBED5F36B}" name="Column6785"/>
    <tableColumn id="6817" xr3:uid="{1A635FCD-5229-45E7-A822-1D71CCCB4488}" name="Column6786"/>
    <tableColumn id="6818" xr3:uid="{B29CA735-7C1A-4AF8-93F2-8C1C2884C524}" name="Column6787"/>
    <tableColumn id="6819" xr3:uid="{43190E1A-D2CF-45B6-9771-4CAF58DEA408}" name="Column6788"/>
    <tableColumn id="6820" xr3:uid="{3C1EB9CF-069D-44B6-979F-2284AB7F254A}" name="Column6789"/>
    <tableColumn id="6821" xr3:uid="{8148AD6C-9972-4B96-94AD-53EDA64A74C7}" name="Column6790"/>
    <tableColumn id="6822" xr3:uid="{FD3ACD7A-C8C0-4DBC-B38B-025975DFBC5A}" name="Column6791"/>
    <tableColumn id="6823" xr3:uid="{71C5EE3D-D305-4B90-8D23-94BC4AEC5245}" name="Column6792"/>
    <tableColumn id="6824" xr3:uid="{EDA467D2-C185-4E87-AE6C-FCA3DF06E42F}" name="Column6793"/>
    <tableColumn id="6825" xr3:uid="{0683AE0B-46E4-4B8C-A29F-928924D30D91}" name="Column6794"/>
    <tableColumn id="6826" xr3:uid="{6610C881-98F2-4F91-8697-5B192316DD00}" name="Column6795"/>
    <tableColumn id="6827" xr3:uid="{48BF77CB-D571-49A5-99EB-DFA35FE1F368}" name="Column6796"/>
    <tableColumn id="6828" xr3:uid="{17F639C5-E363-487F-B719-8D2E01833861}" name="Column6797"/>
    <tableColumn id="6829" xr3:uid="{EC6E9917-645B-4C83-8E88-D4CDE88D4D04}" name="Column6798"/>
    <tableColumn id="6830" xr3:uid="{BD281161-FD68-4939-BCA8-6BF1205D36BA}" name="Column6799"/>
    <tableColumn id="6831" xr3:uid="{2515B720-FF25-4CC1-847C-9272B19D88D1}" name="Column6800"/>
    <tableColumn id="6832" xr3:uid="{DA935C52-0087-44E0-BC2F-5A238D5A215D}" name="Column6801"/>
    <tableColumn id="6833" xr3:uid="{0E667C58-A526-4252-9EB3-3878D62FF14F}" name="Column6802"/>
    <tableColumn id="6834" xr3:uid="{1F26824D-EDE2-4CA7-AB8B-A397F1E0BC2C}" name="Column6803"/>
    <tableColumn id="6835" xr3:uid="{8A732B75-3287-415E-AA69-42CCF78085D4}" name="Column6804"/>
    <tableColumn id="6836" xr3:uid="{7953DA94-8EB1-49A4-ADAB-802D376BD0A0}" name="Column6805"/>
    <tableColumn id="6837" xr3:uid="{6752B269-0BE7-4EC3-9094-DF657B1A1402}" name="Column6806"/>
    <tableColumn id="6838" xr3:uid="{352C7806-E609-4490-9AC8-881D18455648}" name="Column6807"/>
    <tableColumn id="6839" xr3:uid="{58495156-BCF0-4E3E-811A-E0609BD39776}" name="Column6808"/>
    <tableColumn id="6840" xr3:uid="{144EB6D0-A3A9-4786-8A4F-8394054F5CAA}" name="Column6809"/>
    <tableColumn id="6841" xr3:uid="{38DAD5F3-9938-4E57-A77C-F9CE7199D004}" name="Column6810"/>
    <tableColumn id="6842" xr3:uid="{78A19435-3512-4E62-B880-84F400FC2BF9}" name="Column6811"/>
    <tableColumn id="6843" xr3:uid="{5CC0A009-E04C-41CA-9A10-9CBFB9B556F1}" name="Column6812"/>
    <tableColumn id="6844" xr3:uid="{8330D0B7-86DF-41F2-BF12-7924E1D0822D}" name="Column6813"/>
    <tableColumn id="6845" xr3:uid="{5B119ED3-19B5-4B00-8363-7AE838088AC3}" name="Column6814"/>
    <tableColumn id="6846" xr3:uid="{49956FD3-3E2E-4A33-9387-9EB92CEDB1A4}" name="Column6815"/>
    <tableColumn id="6847" xr3:uid="{B20FEC73-2CB1-4C2F-982E-E1EF3ED550B6}" name="Column6816"/>
    <tableColumn id="6848" xr3:uid="{4531D897-FBFD-494F-917D-9EF52345F500}" name="Column6817"/>
    <tableColumn id="6849" xr3:uid="{75F8529A-A379-4A78-B6CF-65933E97BFDF}" name="Column6818"/>
    <tableColumn id="6850" xr3:uid="{6C2BBFB2-8244-470A-BAFF-B235B8DE1933}" name="Column6819"/>
    <tableColumn id="6851" xr3:uid="{04FDBC95-24F8-4582-B7CF-0455BF4B140A}" name="Column6820"/>
    <tableColumn id="6852" xr3:uid="{61874AC4-B4B8-4CF4-B923-81A55A50FB32}" name="Column6821"/>
    <tableColumn id="6853" xr3:uid="{6D9FFA62-FEB1-4540-B2A5-8053C7B6A1E8}" name="Column6822"/>
    <tableColumn id="6854" xr3:uid="{01C233F7-CB5B-4516-A597-B981CE2E7654}" name="Column6823"/>
    <tableColumn id="6855" xr3:uid="{D9524E49-27FC-44E2-BDEE-3F60847B2E8A}" name="Column6824"/>
    <tableColumn id="6856" xr3:uid="{C5EF30C4-4851-4327-AA97-E3CBBB869B9F}" name="Column6825"/>
    <tableColumn id="6857" xr3:uid="{295027D9-B51E-4C68-A69C-2C3D532C6208}" name="Column6826"/>
    <tableColumn id="6858" xr3:uid="{90D44863-DD56-4FB1-AC25-46DB05A18076}" name="Column6827"/>
    <tableColumn id="6859" xr3:uid="{A21779B4-6967-4218-BCAA-DC0B12858D32}" name="Column6828"/>
    <tableColumn id="6860" xr3:uid="{4981D43C-2AB6-4C34-82AD-BB7F38BC1948}" name="Column6829"/>
    <tableColumn id="6861" xr3:uid="{CEAABA2B-90DF-4AD2-82E9-7738180692B8}" name="Column6830"/>
    <tableColumn id="6862" xr3:uid="{EB5DDB93-DB9A-4BF6-B3D5-8C9C3372ADB2}" name="Column6831"/>
    <tableColumn id="6863" xr3:uid="{422BF405-0E0A-4164-8256-C46B02F08C6B}" name="Column6832"/>
    <tableColumn id="6864" xr3:uid="{62CED23F-C650-4519-880F-A02B5572FDE1}" name="Column6833"/>
    <tableColumn id="6865" xr3:uid="{77FC0669-D7A6-434C-87E7-765668D8CA1C}" name="Column6834"/>
    <tableColumn id="6866" xr3:uid="{73FDC2F9-70DB-4140-8FBB-BDC2E46E12FB}" name="Column6835"/>
    <tableColumn id="6867" xr3:uid="{AC870794-AD49-402A-80B6-D4C3EFAA9CF5}" name="Column6836"/>
    <tableColumn id="6868" xr3:uid="{FF294881-0DC0-4F6B-BE6F-9AB494631FEA}" name="Column6837"/>
    <tableColumn id="6869" xr3:uid="{EBD1117F-7ECB-4F06-894C-B8EC97A1AE3F}" name="Column6838"/>
    <tableColumn id="6870" xr3:uid="{AAFE6392-BD6D-4F57-979D-67AF4626793E}" name="Column6839"/>
    <tableColumn id="6871" xr3:uid="{BA1F4B83-062F-444C-AC4F-3E5A99559E22}" name="Column6840"/>
    <tableColumn id="6872" xr3:uid="{542BD521-6867-46EC-BE71-882DB0E59BFF}" name="Column6841"/>
    <tableColumn id="6873" xr3:uid="{DCFBF122-74BA-4A0C-AAA8-A25761908957}" name="Column6842"/>
    <tableColumn id="6874" xr3:uid="{66FC902A-E844-431F-B310-DC265474B651}" name="Column6843"/>
    <tableColumn id="6875" xr3:uid="{2A9E526D-DCE5-4F09-BC28-B0E96E6EE5A2}" name="Column6844"/>
    <tableColumn id="6876" xr3:uid="{3E82459A-280B-4288-825C-48CB9BB58BC7}" name="Column6845"/>
    <tableColumn id="6877" xr3:uid="{ACB00173-8590-4417-90ED-99943539BB5C}" name="Column6846"/>
    <tableColumn id="6878" xr3:uid="{0B935E05-DDAD-49D2-A6BE-5F76A9FE82CC}" name="Column6847"/>
    <tableColumn id="6879" xr3:uid="{E906A813-9844-4E5D-8876-3072E2A50F08}" name="Column6848"/>
    <tableColumn id="6880" xr3:uid="{30DD8AA4-962F-4DFE-A78E-2E3996FC484D}" name="Column6849"/>
    <tableColumn id="6881" xr3:uid="{49BBEEBA-F58C-4EC4-B8FD-E6BB4E2EDB56}" name="Column6850"/>
    <tableColumn id="6882" xr3:uid="{059B90BA-595D-4952-9AC2-D9D5DD5A95DA}" name="Column6851"/>
    <tableColumn id="6883" xr3:uid="{33886DA2-CFE7-4272-8819-155B905562BF}" name="Column6852"/>
    <tableColumn id="6884" xr3:uid="{C47DE1B6-9055-420C-BDF5-6195F02A39BB}" name="Column6853"/>
    <tableColumn id="6885" xr3:uid="{19ED061F-EACE-4C39-9CE7-E6659997F11C}" name="Column6854"/>
    <tableColumn id="6886" xr3:uid="{60234839-148F-4DE2-9968-040CB8185E81}" name="Column6855"/>
    <tableColumn id="6887" xr3:uid="{FFDB9A01-5ACF-44AF-B59C-4CEC0EC28A5A}" name="Column6856"/>
    <tableColumn id="6888" xr3:uid="{24A16774-8DF1-4C5B-AEAA-AB8706948009}" name="Column6857"/>
    <tableColumn id="6889" xr3:uid="{3624189E-F197-4553-A45C-E65AA7C7192C}" name="Column6858"/>
    <tableColumn id="6890" xr3:uid="{5D596592-23C1-49E3-B5F3-8A0CC971FCE3}" name="Column6859"/>
    <tableColumn id="6891" xr3:uid="{0D84978B-DF4C-40A9-A818-3E813936A876}" name="Column6860"/>
    <tableColumn id="6892" xr3:uid="{A6849B4A-0B7F-4F71-BAC1-07A07D65DDB6}" name="Column6861"/>
    <tableColumn id="6893" xr3:uid="{5C4BCCC5-1CFF-4BE5-99F3-CC139579134D}" name="Column6862"/>
    <tableColumn id="6894" xr3:uid="{14FCD1B4-31C9-4834-B517-6855B64AAA3B}" name="Column6863"/>
    <tableColumn id="6895" xr3:uid="{946802E8-A487-4366-BBF4-3BA7320B4871}" name="Column6864"/>
    <tableColumn id="6896" xr3:uid="{90CEFAFF-05C2-4E20-B06B-BB00C25B337C}" name="Column6865"/>
    <tableColumn id="6897" xr3:uid="{3FA8C364-653B-4A85-B7A8-A16498164F68}" name="Column6866"/>
    <tableColumn id="6898" xr3:uid="{DD88E07F-EEC0-4603-B2F7-9A057EC3F519}" name="Column6867"/>
    <tableColumn id="6899" xr3:uid="{8D056015-2241-4AB0-A866-A19E004051CF}" name="Column6868"/>
    <tableColumn id="6900" xr3:uid="{9C8761C4-3DB6-4B1B-85C2-532361A23C69}" name="Column6869"/>
    <tableColumn id="6901" xr3:uid="{E51E9ABC-1010-4F72-923D-CBF26C4EA311}" name="Column6870"/>
    <tableColumn id="6902" xr3:uid="{CCAE28FB-C2A0-4E72-BE35-80896F030898}" name="Column6871"/>
    <tableColumn id="6903" xr3:uid="{80B12F5A-60F8-42F5-B798-22DCDA5D71D8}" name="Column6872"/>
    <tableColumn id="6904" xr3:uid="{8709E333-60BB-4255-82E8-299569DD11ED}" name="Column6873"/>
    <tableColumn id="6905" xr3:uid="{A327BAAF-6C02-4C52-88F5-ED9967BFBA73}" name="Column6874"/>
    <tableColumn id="6906" xr3:uid="{5791DB80-D42D-4BCA-B305-BC3CBA34E825}" name="Column6875"/>
    <tableColumn id="6907" xr3:uid="{2A97106B-DFC0-47E1-B225-0BC4F9B43A3F}" name="Column6876"/>
    <tableColumn id="6908" xr3:uid="{BD445419-7C0C-4773-A5B4-AF59E4065F15}" name="Column6877"/>
    <tableColumn id="6909" xr3:uid="{0F79B4B0-A3D7-416E-89DD-E7D72A61E4DB}" name="Column6878"/>
    <tableColumn id="6910" xr3:uid="{731867FE-8143-4E4F-A8F2-F6E91F801717}" name="Column6879"/>
    <tableColumn id="6911" xr3:uid="{C03A8719-31A5-4B70-B979-B113F18AAD31}" name="Column6880"/>
    <tableColumn id="6912" xr3:uid="{07653142-5653-4BBE-A004-BF75855E819A}" name="Column6881"/>
    <tableColumn id="6913" xr3:uid="{504793C7-123C-4EA2-80F7-75FCB6C058C7}" name="Column6882"/>
    <tableColumn id="6914" xr3:uid="{4BB29C51-2CCD-4B66-83BE-E0E0DB313AF0}" name="Column6883"/>
    <tableColumn id="6915" xr3:uid="{58291C28-3985-475C-AAE6-AFA9B59DCDB5}" name="Column6884"/>
    <tableColumn id="6916" xr3:uid="{C8464338-0D20-4613-812E-F7469E7E20CD}" name="Column6885"/>
    <tableColumn id="6917" xr3:uid="{8104D0BC-C451-456B-A3AD-4915812B33E3}" name="Column6886"/>
    <tableColumn id="6918" xr3:uid="{2E7BB88A-CAF4-429F-B6E1-749B66984742}" name="Column6887"/>
    <tableColumn id="6919" xr3:uid="{874FA630-E253-4A7A-B090-8342E74D779D}" name="Column6888"/>
    <tableColumn id="6920" xr3:uid="{5432F3FF-AA5D-4DF9-A6D2-5B55A2885AE8}" name="Column6889"/>
    <tableColumn id="6921" xr3:uid="{6594A2EC-06EF-4067-B83F-65B30F94F85B}" name="Column6890"/>
    <tableColumn id="6922" xr3:uid="{E7D9E301-C3F6-431B-B7E3-86612A45FEF9}" name="Column6891"/>
    <tableColumn id="6923" xr3:uid="{421855C8-6375-4AD3-8489-9A4A77480244}" name="Column6892"/>
    <tableColumn id="6924" xr3:uid="{64DA8804-6AFE-4F2E-96F8-A5F84945E8A7}" name="Column6893"/>
    <tableColumn id="6925" xr3:uid="{78B4A56A-2641-4B32-9AD3-F56B600D3FB1}" name="Column6894"/>
    <tableColumn id="6926" xr3:uid="{342B499A-1825-4A6D-BA4A-80981893E698}" name="Column6895"/>
    <tableColumn id="6927" xr3:uid="{C5E044FB-C42F-4B7A-A91A-E9CA66E2CD90}" name="Column6896"/>
    <tableColumn id="6928" xr3:uid="{5CB27A40-D315-4F20-ADC2-BA4DA26BAA48}" name="Column6897"/>
    <tableColumn id="6929" xr3:uid="{D7BE795D-34F3-4A8D-95AC-0B75604377A1}" name="Column6898"/>
    <tableColumn id="6930" xr3:uid="{2691CCE0-5269-4F44-AC60-B0EF57EEBC3A}" name="Column6899"/>
    <tableColumn id="6931" xr3:uid="{9E16B4F7-D1DC-47E9-9E46-3D14E9D85911}" name="Column6900"/>
    <tableColumn id="6932" xr3:uid="{F22DED1C-3A5E-497E-92F8-A7EF1A08B56F}" name="Column6901"/>
    <tableColumn id="6933" xr3:uid="{F5EBE5E3-CA57-429C-A001-F9EABC37FC27}" name="Column6902"/>
    <tableColumn id="6934" xr3:uid="{A2855D83-166B-42ED-AD50-5BE61EAA1869}" name="Column6903"/>
    <tableColumn id="6935" xr3:uid="{C3CE779F-73E5-4DE0-9709-7411D8B1F3A6}" name="Column6904"/>
    <tableColumn id="6936" xr3:uid="{321C96A4-61EC-4CC0-956E-14C2EED33707}" name="Column6905"/>
    <tableColumn id="6937" xr3:uid="{F22A5443-5B99-4D54-81FE-2C2AAB123CD4}" name="Column6906"/>
    <tableColumn id="6938" xr3:uid="{8411D70F-FB9D-484E-B735-33C86A6EA2AC}" name="Column6907"/>
    <tableColumn id="6939" xr3:uid="{9E7291BF-93B3-44DC-A94E-6988F77432E8}" name="Column6908"/>
    <tableColumn id="6940" xr3:uid="{46D6BB8A-3FE5-4BDE-8DFD-C6A499865FB3}" name="Column6909"/>
    <tableColumn id="6941" xr3:uid="{3232C23B-18AC-48E3-95BC-3E63A2128934}" name="Column6910"/>
    <tableColumn id="6942" xr3:uid="{655C40DD-89C1-4EC1-B166-5EC486529827}" name="Column6911"/>
    <tableColumn id="6943" xr3:uid="{CE4A7179-0C56-4522-A0F0-960743216E86}" name="Column6912"/>
    <tableColumn id="6944" xr3:uid="{FB100A31-CB51-4E14-88A7-73D77548070D}" name="Column6913"/>
    <tableColumn id="6945" xr3:uid="{514B5F0D-6404-4155-969B-4EA07D66A8F1}" name="Column6914"/>
    <tableColumn id="6946" xr3:uid="{E13899F8-2BC9-4F80-80C7-32147559C3C4}" name="Column6915"/>
    <tableColumn id="6947" xr3:uid="{740492B2-37D9-422C-8466-4B65AFE7FF58}" name="Column6916"/>
    <tableColumn id="6948" xr3:uid="{A07B5607-FBB7-4DA6-A896-FF04AAC530DA}" name="Column6917"/>
    <tableColumn id="6949" xr3:uid="{FA3976C3-928F-499A-BBE6-0C70C6E6FD19}" name="Column6918"/>
    <tableColumn id="6950" xr3:uid="{FF89420D-CB75-4216-9314-59620CDC1982}" name="Column6919"/>
    <tableColumn id="6951" xr3:uid="{343D1398-2988-4B05-82A2-231BB8F5CD7F}" name="Column6920"/>
    <tableColumn id="6952" xr3:uid="{1AA241F3-A5A9-417D-8CAE-80339BF7BF1F}" name="Column6921"/>
    <tableColumn id="6953" xr3:uid="{A2958792-B575-4E3C-A438-925BA67C52F6}" name="Column6922"/>
    <tableColumn id="6954" xr3:uid="{1BFCF430-31A5-4FD3-84D2-BD28FF530BDB}" name="Column6923"/>
    <tableColumn id="6955" xr3:uid="{9D9F8041-D0E2-4844-A39E-D0084D9CC321}" name="Column6924"/>
    <tableColumn id="6956" xr3:uid="{9DAC2A7F-9B44-4BF0-AC6A-C5DFDAF195D0}" name="Column6925"/>
    <tableColumn id="6957" xr3:uid="{930A0D46-9471-461F-8E5A-62B31690127D}" name="Column6926"/>
    <tableColumn id="6958" xr3:uid="{39E4B1F6-03BB-49C2-B6A7-BD197A5686EC}" name="Column6927"/>
    <tableColumn id="6959" xr3:uid="{D770A301-B43E-4526-B99C-591D0950039E}" name="Column6928"/>
    <tableColumn id="6960" xr3:uid="{F274FC04-CF7D-45C4-AE89-B8EB8B1E9239}" name="Column6929"/>
    <tableColumn id="6961" xr3:uid="{081906A4-302D-4F15-9B13-0F6D3C4F82AA}" name="Column6930"/>
    <tableColumn id="6962" xr3:uid="{A8E45949-7CCB-43F1-9E0D-AE703CC72AA5}" name="Column6931"/>
    <tableColumn id="6963" xr3:uid="{E7A3CE00-A36D-4FF5-8F96-E564E24E3A34}" name="Column6932"/>
    <tableColumn id="6964" xr3:uid="{32AAEE9F-D5B4-4C9B-8066-C550DA0D9C69}" name="Column6933"/>
    <tableColumn id="6965" xr3:uid="{2FAECF5D-0F86-4DF6-882B-26E0A7A8D528}" name="Column6934"/>
    <tableColumn id="6966" xr3:uid="{2113331A-3881-4DB8-AB01-EA1F395292AE}" name="Column6935"/>
    <tableColumn id="6967" xr3:uid="{61A8EB94-F356-44F0-BA34-DB665F88D6F5}" name="Column6936"/>
    <tableColumn id="6968" xr3:uid="{B9B64A52-C08F-4577-8505-45D60A39513E}" name="Column6937"/>
    <tableColumn id="6969" xr3:uid="{28771400-F4E9-4C26-B0FE-1236F96F0A62}" name="Column6938"/>
    <tableColumn id="6970" xr3:uid="{D731785B-9F88-4583-BA24-D63FD2818C4E}" name="Column6939"/>
    <tableColumn id="6971" xr3:uid="{B4711F7C-C26C-413C-A6C1-E94E30666B48}" name="Column6940"/>
    <tableColumn id="6972" xr3:uid="{8C7EAB63-006C-4CF6-AC97-1B883FDF4167}" name="Column6941"/>
    <tableColumn id="6973" xr3:uid="{B56EE79E-6CF4-4AE5-A6FC-E4B184569897}" name="Column6942"/>
    <tableColumn id="6974" xr3:uid="{51B481BF-CCD4-4A50-A371-B48C4E79DD91}" name="Column6943"/>
    <tableColumn id="6975" xr3:uid="{2B627CB3-0FD4-4995-BCED-106A65EDDB0F}" name="Column6944"/>
    <tableColumn id="6976" xr3:uid="{A09A58BF-79B2-4D5D-8D27-09F93FEBD1BF}" name="Column6945"/>
    <tableColumn id="6977" xr3:uid="{5FD0C839-962F-459D-AAF1-8F58253131A0}" name="Column6946"/>
    <tableColumn id="6978" xr3:uid="{4779E79A-98E7-4D41-BAC9-C82A8D7FAA01}" name="Column6947"/>
    <tableColumn id="6979" xr3:uid="{53731006-CC59-41E9-9A29-DC29870F0B0C}" name="Column6948"/>
    <tableColumn id="6980" xr3:uid="{94EEC6AA-58D4-4C5A-8BB4-E1059281F16B}" name="Column6949"/>
    <tableColumn id="6981" xr3:uid="{91B84408-D388-4A1D-A303-B15774C46CAE}" name="Column6950"/>
    <tableColumn id="6982" xr3:uid="{6280DFE6-AAD8-42CF-B4C8-074CB1AA5088}" name="Column6951"/>
    <tableColumn id="6983" xr3:uid="{2730FB1A-E522-42DA-AED1-3D0456E05A31}" name="Column6952"/>
    <tableColumn id="6984" xr3:uid="{B7D1EF7F-5FD6-4226-A872-24F533FD65F4}" name="Column6953"/>
    <tableColumn id="6985" xr3:uid="{CFD755FE-DA7F-4FB6-BD9B-6E2DAD979EA5}" name="Column6954"/>
    <tableColumn id="6986" xr3:uid="{C40C61B6-3716-4663-8F61-8AD29789FCEF}" name="Column6955"/>
    <tableColumn id="6987" xr3:uid="{92B8D1AA-5B81-45B3-8786-08626CD0A60D}" name="Column6956"/>
    <tableColumn id="6988" xr3:uid="{980AE074-C05B-4D57-8F73-E621DEDF810C}" name="Column6957"/>
    <tableColumn id="6989" xr3:uid="{71646FDA-4DFB-4B5B-8B06-8C8BCCA7A248}" name="Column6958"/>
    <tableColumn id="6990" xr3:uid="{D8B079E9-2E89-4611-82C1-6E9F51A212A1}" name="Column6959"/>
    <tableColumn id="6991" xr3:uid="{83F95104-B512-46C8-8DC7-E58E04C83CFA}" name="Column6960"/>
    <tableColumn id="6992" xr3:uid="{C243442E-A2E3-4078-A5F9-7ACDDE601276}" name="Column6961"/>
    <tableColumn id="6993" xr3:uid="{95F307BE-EF98-4CE1-9BD3-76F6C4E26095}" name="Column6962"/>
    <tableColumn id="6994" xr3:uid="{FCD4FA07-0E20-4DC1-86F7-19478752DF6D}" name="Column6963"/>
    <tableColumn id="6995" xr3:uid="{062A1FCC-49F0-4882-B22E-98538562F91F}" name="Column6964"/>
    <tableColumn id="6996" xr3:uid="{AD2707EE-92C3-4DBE-ABD4-756E8F73A7CB}" name="Column6965"/>
    <tableColumn id="6997" xr3:uid="{10D6AA66-3754-48D7-87B6-E7CB452155E5}" name="Column6966"/>
    <tableColumn id="6998" xr3:uid="{D15DCCB1-E75B-4E99-9928-932498B4669E}" name="Column6967"/>
    <tableColumn id="6999" xr3:uid="{02DD9DAF-9643-4915-83E5-40E5DD7D3CB5}" name="Column6968"/>
    <tableColumn id="7000" xr3:uid="{9BB12CD2-922B-4552-B240-32076707661C}" name="Column6969"/>
    <tableColumn id="7001" xr3:uid="{E21C2732-EBFE-46AA-B378-D7AE16188270}" name="Column6970"/>
    <tableColumn id="7002" xr3:uid="{133FB187-B15D-4056-A9A0-59D219F532AC}" name="Column6971"/>
    <tableColumn id="7003" xr3:uid="{E15AF3CE-A4FA-40E5-B8C8-188CD937B8E5}" name="Column6972"/>
    <tableColumn id="7004" xr3:uid="{B56F475A-58E1-482F-82AC-F667946B59D2}" name="Column6973"/>
    <tableColumn id="7005" xr3:uid="{0DFD45FC-9D56-4F95-8336-53B32BC6ACA3}" name="Column6974"/>
    <tableColumn id="7006" xr3:uid="{DD50CCA5-0832-45EF-9290-03DF1EB5367A}" name="Column6975"/>
    <tableColumn id="7007" xr3:uid="{5CB9170A-9E49-4ACD-B5B8-4EC4CFFA006F}" name="Column6976"/>
    <tableColumn id="7008" xr3:uid="{8A782660-E9CD-416A-A674-66F515926BCA}" name="Column6977"/>
    <tableColumn id="7009" xr3:uid="{0FF04440-8378-493C-8D1C-066D63245613}" name="Column6978"/>
    <tableColumn id="7010" xr3:uid="{8F277AEF-53C0-460A-B48A-3A0BA769A0C6}" name="Column6979"/>
    <tableColumn id="7011" xr3:uid="{BFB34D5E-9E26-472B-B040-19BB70897B63}" name="Column6980"/>
    <tableColumn id="7012" xr3:uid="{E9739783-EDE8-4C55-8783-5717D4C39413}" name="Column6981"/>
    <tableColumn id="7013" xr3:uid="{B314297D-2A73-4C27-ACEF-07B7E31CAAB6}" name="Column6982"/>
    <tableColumn id="7014" xr3:uid="{9F1B3109-DAFE-402A-81BD-3DE32A273627}" name="Column6983"/>
    <tableColumn id="7015" xr3:uid="{A75C8F20-754F-4831-A84F-310C689CC665}" name="Column6984"/>
    <tableColumn id="7016" xr3:uid="{F389D3B7-32E6-439D-B390-69B336F141AD}" name="Column6985"/>
    <tableColumn id="7017" xr3:uid="{E9A45320-F609-4536-A0C9-F71DBEDADE7B}" name="Column6986"/>
    <tableColumn id="7018" xr3:uid="{0DAD16B7-8879-4F4A-B19F-B798B9C9C245}" name="Column6987"/>
    <tableColumn id="7019" xr3:uid="{CD3A4A00-8C1C-4609-9CDF-22BE3C90E77A}" name="Column6988"/>
    <tableColumn id="7020" xr3:uid="{4757C595-5638-4CB0-A65F-374C2F9D69EE}" name="Column6989"/>
    <tableColumn id="7021" xr3:uid="{187C4B5A-2B70-49F2-A29F-5C51CC884E50}" name="Column6990"/>
    <tableColumn id="7022" xr3:uid="{9F2C18FD-AAAE-4885-8B79-5805B112B92E}" name="Column6991"/>
    <tableColumn id="7023" xr3:uid="{9209CBDB-18D9-4D57-A6FB-D17D4029E83D}" name="Column6992"/>
    <tableColumn id="7024" xr3:uid="{392FFC28-BF68-40A4-A737-375D71D5CB33}" name="Column6993"/>
    <tableColumn id="7025" xr3:uid="{104C04B5-8D62-47E9-B376-3036C32E89B9}" name="Column6994"/>
    <tableColumn id="7026" xr3:uid="{ADA263B8-9792-4E53-9B16-33F9F6FBA3F2}" name="Column6995"/>
    <tableColumn id="7027" xr3:uid="{98133B76-E1B8-480C-8120-344FBA410027}" name="Column6996"/>
    <tableColumn id="7028" xr3:uid="{AF49A8FC-1D98-4BCA-A667-31FADC93E72A}" name="Column6997"/>
    <tableColumn id="7029" xr3:uid="{C4F683F5-2DA6-45D7-8DE1-371902CE9087}" name="Column6998"/>
    <tableColumn id="7030" xr3:uid="{41C669B2-3548-459F-A92B-FA5E23E71A05}" name="Column6999"/>
    <tableColumn id="7031" xr3:uid="{04546DE0-C558-407F-9133-A4C1F8A8C725}" name="Column7000"/>
    <tableColumn id="7032" xr3:uid="{2FF420A5-6A4C-4BCA-B359-D674D105EDA3}" name="Column7001"/>
    <tableColumn id="7033" xr3:uid="{467132ED-9838-4614-AC68-31813A622DC0}" name="Column7002"/>
    <tableColumn id="7034" xr3:uid="{7BC9539A-EA60-493A-8A6F-ED3A02E6354F}" name="Column7003"/>
    <tableColumn id="7035" xr3:uid="{02175733-677D-4A00-A728-C3A1CB959D10}" name="Column7004"/>
    <tableColumn id="7036" xr3:uid="{E23499F4-771D-4658-A781-D14939838368}" name="Column7005"/>
    <tableColumn id="7037" xr3:uid="{AB24309E-00E7-4917-86B9-199008014277}" name="Column7006"/>
    <tableColumn id="7038" xr3:uid="{F4B6BC84-379F-4203-B330-590D47EB2E60}" name="Column7007"/>
    <tableColumn id="7039" xr3:uid="{75D8B4E7-3C59-4EFA-ACF9-D81047839B60}" name="Column7008"/>
    <tableColumn id="7040" xr3:uid="{7BDCDFE8-9615-4DF8-B2C3-D1BDA59E7879}" name="Column7009"/>
    <tableColumn id="7041" xr3:uid="{B19F6078-FBA0-4E57-A29E-D6BDEBAE4D1C}" name="Column7010"/>
    <tableColumn id="7042" xr3:uid="{9ABF0863-EE3B-49D7-99A9-73289E8C84EB}" name="Column7011"/>
    <tableColumn id="7043" xr3:uid="{661B4D26-7CFC-498F-A76B-07FAAB91D061}" name="Column7012"/>
    <tableColumn id="7044" xr3:uid="{C07CB72E-DCAB-44AA-A3F2-2B96701C96BC}" name="Column7013"/>
    <tableColumn id="7045" xr3:uid="{DB00A534-0AD1-4CE0-934A-B648AFA07BB5}" name="Column7014"/>
    <tableColumn id="7046" xr3:uid="{E9255D7A-55D2-4616-B09F-0168C5F3013A}" name="Column7015"/>
    <tableColumn id="7047" xr3:uid="{0E370EEE-D824-45F4-840A-7BDAE1EECA39}" name="Column7016"/>
    <tableColumn id="7048" xr3:uid="{86F9D861-3925-4B61-B960-FCF3B597922A}" name="Column7017"/>
    <tableColumn id="7049" xr3:uid="{146F00ED-B959-4B7B-B9EB-7312392A75F9}" name="Column7018"/>
    <tableColumn id="7050" xr3:uid="{58D599DB-96C3-4D05-BE72-6B7B9275F7C7}" name="Column7019"/>
    <tableColumn id="7051" xr3:uid="{125A37F7-CF67-4E60-8C75-770B62EB78EC}" name="Column7020"/>
    <tableColumn id="7052" xr3:uid="{F06ADAC1-C14D-4351-9519-1780F319C2D4}" name="Column7021"/>
    <tableColumn id="7053" xr3:uid="{EAF5FFB6-13CD-41AD-B4E7-05AA2BEE68E9}" name="Column7022"/>
    <tableColumn id="7054" xr3:uid="{57B1CFB6-F4B4-4E9A-9F62-611C765119DC}" name="Column7023"/>
    <tableColumn id="7055" xr3:uid="{EA1E8E4E-9CDB-46BD-BD1F-DBD36BD8DDD2}" name="Column7024"/>
    <tableColumn id="7056" xr3:uid="{2C886F35-F5EC-4C78-BDD8-8E900D89BC33}" name="Column7025"/>
    <tableColumn id="7057" xr3:uid="{71A1A967-22EA-4D87-A5BB-90A81EC3E0DE}" name="Column7026"/>
    <tableColumn id="7058" xr3:uid="{90A8944F-D906-4192-8E24-0D7EC60B8E28}" name="Column7027"/>
    <tableColumn id="7059" xr3:uid="{4673B9E0-928F-4859-AEB8-08419D637705}" name="Column7028"/>
    <tableColumn id="7060" xr3:uid="{0EDB19D2-1442-4417-9144-8DCAFAABA005}" name="Column7029"/>
    <tableColumn id="7061" xr3:uid="{451670D4-B08A-4CAA-8F6B-B9F0DB6E65BB}" name="Column7030"/>
    <tableColumn id="7062" xr3:uid="{88C2303B-81E2-4939-9875-10BB2F0D155E}" name="Column7031"/>
    <tableColumn id="7063" xr3:uid="{AD03631B-A47C-4FA7-ABC8-9FCE3E9FEF1A}" name="Column7032"/>
    <tableColumn id="7064" xr3:uid="{F004BED4-0608-4708-BF49-7F3022CDEFFD}" name="Column7033"/>
    <tableColumn id="7065" xr3:uid="{2AB988C3-03C5-4452-932C-2BBF6EBB7543}" name="Column7034"/>
    <tableColumn id="7066" xr3:uid="{87DA1E56-59A7-4A32-BE63-D7806DAF52A3}" name="Column7035"/>
    <tableColumn id="7067" xr3:uid="{9590B4DE-AAE1-4B8A-BD14-A01183251F2C}" name="Column7036"/>
    <tableColumn id="7068" xr3:uid="{F04ECCB4-F5A4-4443-AAF3-E1EA179AE9F8}" name="Column7037"/>
    <tableColumn id="7069" xr3:uid="{C0449D34-35C1-434C-B7E2-FE207947C8AA}" name="Column7038"/>
    <tableColumn id="7070" xr3:uid="{9DD62572-2A11-4837-BC47-E67AFC4A902C}" name="Column7039"/>
    <tableColumn id="7071" xr3:uid="{3A210565-2D19-4A42-8459-4FE242416C9E}" name="Column7040"/>
    <tableColumn id="7072" xr3:uid="{AA173F25-4800-4296-BD01-177E2B424398}" name="Column7041"/>
    <tableColumn id="7073" xr3:uid="{D40751D8-0E31-434D-87CD-7302A274FA0D}" name="Column7042"/>
    <tableColumn id="7074" xr3:uid="{CD2479AD-B915-44E4-A403-7304B193FD85}" name="Column7043"/>
    <tableColumn id="7075" xr3:uid="{A7B8D451-4CF8-4A29-AF09-08757D06F1B2}" name="Column7044"/>
    <tableColumn id="7076" xr3:uid="{E6F5702E-28EF-4950-8398-480723E7A007}" name="Column7045"/>
    <tableColumn id="7077" xr3:uid="{A93A7C72-5020-4891-99C7-4A1AC442FA1F}" name="Column7046"/>
    <tableColumn id="7078" xr3:uid="{AB697F84-46CC-4B89-93E9-48F7A267F278}" name="Column7047"/>
    <tableColumn id="7079" xr3:uid="{62855365-DE6D-42B1-9433-46813B47BA77}" name="Column7048"/>
    <tableColumn id="7080" xr3:uid="{67B391E7-3724-4AB7-9621-D49AF63AD362}" name="Column7049"/>
    <tableColumn id="7081" xr3:uid="{735B6BC5-4E9F-402F-9A71-D6A6E987E93A}" name="Column7050"/>
    <tableColumn id="7082" xr3:uid="{1B98F44D-4A6D-4E27-ABDF-2A4B7CDF1BDB}" name="Column7051"/>
    <tableColumn id="7083" xr3:uid="{9FEB7726-A330-4E51-85DE-53F1169842D0}" name="Column7052"/>
    <tableColumn id="7084" xr3:uid="{258229B8-0E46-45BE-A066-515719D51196}" name="Column7053"/>
    <tableColumn id="7085" xr3:uid="{DDA54C6C-423C-469B-B436-73C40F96F01C}" name="Column7054"/>
    <tableColumn id="7086" xr3:uid="{115BE7B3-68CB-41AB-A7B5-AB71BA1906F6}" name="Column7055"/>
    <tableColumn id="7087" xr3:uid="{CC32098D-A51F-4D30-A20A-014A83340FD2}" name="Column7056"/>
    <tableColumn id="7088" xr3:uid="{30C43F42-2024-4869-A613-A3815F9B3056}" name="Column7057"/>
    <tableColumn id="7089" xr3:uid="{BD903D7C-5FF4-430E-8AEE-2BD9C89A5BC5}" name="Column7058"/>
    <tableColumn id="7090" xr3:uid="{10E232C6-9146-4DB1-B91C-1A0DC10AB0EA}" name="Column7059"/>
    <tableColumn id="7091" xr3:uid="{E43D5B8E-3554-4493-BF1F-E755078BDE7E}" name="Column7060"/>
    <tableColumn id="7092" xr3:uid="{C2BADA2F-E1B9-4E3E-9C2D-4DDE725FA521}" name="Column7061"/>
    <tableColumn id="7093" xr3:uid="{2AA4CF8F-1560-4C88-BD48-F1BF4702DA68}" name="Column7062"/>
    <tableColumn id="7094" xr3:uid="{424FD880-B8A3-45B4-A503-F4EF162C7106}" name="Column7063"/>
    <tableColumn id="7095" xr3:uid="{48E0F9D2-A651-45EF-80EC-BC2EAC8A1DDA}" name="Column7064"/>
    <tableColumn id="7096" xr3:uid="{6A2818F8-813A-40BF-9D95-4447592419EF}" name="Column7065"/>
    <tableColumn id="7097" xr3:uid="{7854F0B0-0730-4574-8314-9D13D504C465}" name="Column7066"/>
    <tableColumn id="7098" xr3:uid="{F800DDF5-7317-4F63-A9E3-8746A197D2D8}" name="Column7067"/>
    <tableColumn id="7099" xr3:uid="{4BA153C9-470E-485B-8717-93CC402BCA94}" name="Column7068"/>
    <tableColumn id="7100" xr3:uid="{EBE9183F-C77C-4B06-9F8D-B9604D99B1B0}" name="Column7069"/>
    <tableColumn id="7101" xr3:uid="{D2E6A657-AE32-4110-B8AE-E646C5B9072C}" name="Column7070"/>
    <tableColumn id="7102" xr3:uid="{8C4201B8-06A8-412E-AE24-C9750AB8BB49}" name="Column7071"/>
    <tableColumn id="7103" xr3:uid="{3529EEEA-3A3E-421C-B3E3-18B41422B804}" name="Column7072"/>
    <tableColumn id="7104" xr3:uid="{54C0CD28-F5DD-4349-A6FA-C454C67580A9}" name="Column7073"/>
    <tableColumn id="7105" xr3:uid="{EC4E7B01-C420-431F-A27D-CA73AA41AF0E}" name="Column7074"/>
    <tableColumn id="7106" xr3:uid="{2D2E34A5-79B9-4182-9D1E-58F5810F7576}" name="Column7075"/>
    <tableColumn id="7107" xr3:uid="{6DA8728A-3355-4751-A0E3-0809603CC5E5}" name="Column7076"/>
    <tableColumn id="7108" xr3:uid="{449467A9-E068-4E3A-A168-85B92BE965A5}" name="Column7077"/>
    <tableColumn id="7109" xr3:uid="{CFA98AFE-EB9E-40C4-B7CE-59E712BC6DE5}" name="Column7078"/>
    <tableColumn id="7110" xr3:uid="{A1DCC8E3-7281-401D-B6A4-A37698551F2F}" name="Column7079"/>
    <tableColumn id="7111" xr3:uid="{4052FE11-278D-4321-B99C-1BC6BF71B371}" name="Column7080"/>
    <tableColumn id="7112" xr3:uid="{00E98E4B-B654-4C64-8D1B-B81F8F6896AC}" name="Column7081"/>
    <tableColumn id="7113" xr3:uid="{5D148068-E037-4C26-A57F-AAE65CEA79FA}" name="Column7082"/>
    <tableColumn id="7114" xr3:uid="{DED13E33-84A1-4D26-AE8B-21F7840648AD}" name="Column7083"/>
    <tableColumn id="7115" xr3:uid="{E73819D1-4A3A-40E1-8404-4A53585FD56F}" name="Column7084"/>
    <tableColumn id="7116" xr3:uid="{25A2B872-9B83-4A53-93F0-5E86F10C42CC}" name="Column7085"/>
    <tableColumn id="7117" xr3:uid="{254F6A0B-E307-49AA-A7D7-45C17CF8C129}" name="Column7086"/>
    <tableColumn id="7118" xr3:uid="{C0B76DD1-4C06-4E52-8234-0232166E5C99}" name="Column7087"/>
    <tableColumn id="7119" xr3:uid="{681FD8B1-072A-489D-857A-F8064F61E5ED}" name="Column7088"/>
    <tableColumn id="7120" xr3:uid="{97C35BA0-7216-4DB9-84B3-124247CF5686}" name="Column7089"/>
    <tableColumn id="7121" xr3:uid="{5C6B32F2-BBFA-4BBB-9D73-9E5F3A1098AB}" name="Column7090"/>
    <tableColumn id="7122" xr3:uid="{0B01AA19-B8C5-485E-BBF0-BFA495FD8E14}" name="Column7091"/>
    <tableColumn id="7123" xr3:uid="{5DF31BDA-AD30-411D-B2BE-D8D7ACDACCEC}" name="Column7092"/>
    <tableColumn id="7124" xr3:uid="{B028C2BA-28F5-49B4-BF0B-39D9DDDD3E3A}" name="Column7093"/>
    <tableColumn id="7125" xr3:uid="{0011357C-AEDA-4999-A543-F17BD7D0FD97}" name="Column7094"/>
    <tableColumn id="7126" xr3:uid="{12C8EBED-5730-40C4-8860-D5AD9BB264A2}" name="Column7095"/>
    <tableColumn id="7127" xr3:uid="{F1566675-6490-4CC6-AE5D-70C7B2E21D04}" name="Column7096"/>
    <tableColumn id="7128" xr3:uid="{B52841A3-E044-4191-A918-50B23E29D83D}" name="Column7097"/>
    <tableColumn id="7129" xr3:uid="{1B2F7E4E-D650-4653-BB21-2A5090C89082}" name="Column7098"/>
    <tableColumn id="7130" xr3:uid="{C8F1335A-5D82-42EE-966A-54382368A315}" name="Column7099"/>
    <tableColumn id="7131" xr3:uid="{DCAC0FF2-A646-4BF5-9157-60135C485EAF}" name="Column7100"/>
    <tableColumn id="7132" xr3:uid="{E39EC7AE-9BC2-4902-9882-631160393BA7}" name="Column7101"/>
    <tableColumn id="7133" xr3:uid="{55FD5219-27F2-48DC-8692-008A8F36F68A}" name="Column7102"/>
    <tableColumn id="7134" xr3:uid="{B1391FBF-B264-4D6E-B62A-7FA67B38FE77}" name="Column7103"/>
    <tableColumn id="7135" xr3:uid="{D7B78739-F9B3-4123-9C65-A2428C3F6C59}" name="Column7104"/>
    <tableColumn id="7136" xr3:uid="{93A555AA-9110-4D71-80D0-F8D86C8893D2}" name="Column7105"/>
    <tableColumn id="7137" xr3:uid="{19A54BA5-8978-4E22-BA38-A9124556179F}" name="Column7106"/>
    <tableColumn id="7138" xr3:uid="{907AE86C-8548-4319-8B03-1D2AA1A1BE37}" name="Column7107"/>
    <tableColumn id="7139" xr3:uid="{DF52AD75-D6DC-4A37-93F5-FFA1C7BD55DB}" name="Column7108"/>
    <tableColumn id="7140" xr3:uid="{8F001C17-C6BD-48D9-A8A1-9838887FBFD1}" name="Column7109"/>
    <tableColumn id="7141" xr3:uid="{D954D84E-EE8F-474E-904A-0E140AE7307C}" name="Column7110"/>
    <tableColumn id="7142" xr3:uid="{A3E08339-4E09-46FF-8FE5-F0812E6F4C1A}" name="Column7111"/>
    <tableColumn id="7143" xr3:uid="{A9389568-963B-43E8-8D22-000F80C4BB1F}" name="Column7112"/>
    <tableColumn id="7144" xr3:uid="{1AAA732D-F2B7-4DE7-BAC0-66B0DB40D088}" name="Column7113"/>
    <tableColumn id="7145" xr3:uid="{AA14725E-2914-4E10-AD32-9604A7F86021}" name="Column7114"/>
    <tableColumn id="7146" xr3:uid="{D84AF18F-E147-4E8A-8CC0-2401161542C6}" name="Column7115"/>
    <tableColumn id="7147" xr3:uid="{533A4927-8C92-4FA3-B833-A0485201BE81}" name="Column7116"/>
    <tableColumn id="7148" xr3:uid="{708A90E1-827F-4059-97D1-E7A534029446}" name="Column7117"/>
    <tableColumn id="7149" xr3:uid="{A26C9133-D3D3-4CAA-B0B6-1E4975DE29E4}" name="Column7118"/>
    <tableColumn id="7150" xr3:uid="{492836D5-1346-489F-9C64-70E9845C5C67}" name="Column7119"/>
    <tableColumn id="7151" xr3:uid="{19B1DA26-934D-4BBF-8BE0-83B445F79172}" name="Column7120"/>
    <tableColumn id="7152" xr3:uid="{1C272E68-3D52-4FA4-BA3F-75D53DCA36E3}" name="Column7121"/>
    <tableColumn id="7153" xr3:uid="{519E3CBF-4608-407F-94AB-F719BEC48E8D}" name="Column7122"/>
    <tableColumn id="7154" xr3:uid="{7F3327E9-7B83-40FD-B027-D3D80786A072}" name="Column7123"/>
    <tableColumn id="7155" xr3:uid="{F358C4DD-00B7-4E61-8401-977BCFD1D3B1}" name="Column7124"/>
    <tableColumn id="7156" xr3:uid="{973E4B54-D6C3-4553-8A1A-3D25BAD0058D}" name="Column7125"/>
    <tableColumn id="7157" xr3:uid="{7B56F3D4-6F38-447E-B0E7-B0CB38322218}" name="Column7126"/>
    <tableColumn id="7158" xr3:uid="{1A32F885-3904-4873-8EA1-4C75C66449AB}" name="Column7127"/>
    <tableColumn id="7159" xr3:uid="{DB9467FB-ABFE-47E6-B98C-9C3AC4590111}" name="Column7128"/>
    <tableColumn id="7160" xr3:uid="{6D494579-851A-4950-A95B-DDD50EA77E06}" name="Column7129"/>
    <tableColumn id="7161" xr3:uid="{440CCEA6-2330-4A28-B6B0-8EA9E5EF1489}" name="Column7130"/>
    <tableColumn id="7162" xr3:uid="{776DE1AC-9539-4F95-8B43-21E9E17A883B}" name="Column7131"/>
    <tableColumn id="7163" xr3:uid="{DE55AE6A-8252-4600-813A-E524B9CBE405}" name="Column7132"/>
    <tableColumn id="7164" xr3:uid="{E4B2AA57-C84B-4A64-B3A1-D2EFEEB6F519}" name="Column7133"/>
    <tableColumn id="7165" xr3:uid="{370A4408-CF45-42F1-9AE6-981B31AF8E3F}" name="Column7134"/>
    <tableColumn id="7166" xr3:uid="{23AD9976-B456-4E7B-99D9-84266AA524B7}" name="Column7135"/>
    <tableColumn id="7167" xr3:uid="{B08DC92A-BA77-4DC5-A312-AAB20775DBD7}" name="Column7136"/>
    <tableColumn id="7168" xr3:uid="{C8449C75-07C6-42CC-A6F6-83FE6A4F962D}" name="Column7137"/>
    <tableColumn id="7169" xr3:uid="{148FA477-FEA3-4D58-8CEB-B5C034D49763}" name="Column7138"/>
    <tableColumn id="7170" xr3:uid="{246043FD-1FA2-4996-99FC-B92E4F103446}" name="Column7139"/>
    <tableColumn id="7171" xr3:uid="{58DC59FD-AB3C-4952-8D1B-60F652EB818F}" name="Column7140"/>
    <tableColumn id="7172" xr3:uid="{C892EBDE-18D5-4E58-B31C-20C99241B435}" name="Column7141"/>
    <tableColumn id="7173" xr3:uid="{78E44029-43B8-4B18-A286-A8CA37036494}" name="Column7142"/>
    <tableColumn id="7174" xr3:uid="{CE7165B2-951C-4EDC-937F-8B7832639D1A}" name="Column7143"/>
    <tableColumn id="7175" xr3:uid="{439DAAD9-9A7B-4EB4-A1FE-1626AAECF107}" name="Column7144"/>
    <tableColumn id="7176" xr3:uid="{30E4CD3F-D984-412D-A9FB-53DADB81BEED}" name="Column7145"/>
    <tableColumn id="7177" xr3:uid="{E92ABD9B-11B5-4090-803C-6EAA790947A4}" name="Column7146"/>
    <tableColumn id="7178" xr3:uid="{733F07CA-F3D3-4FCD-87DB-325A65F57B1F}" name="Column7147"/>
    <tableColumn id="7179" xr3:uid="{1AEDF0CF-42D9-40B9-B750-BC84F7F72986}" name="Column7148"/>
    <tableColumn id="7180" xr3:uid="{F35E7410-54E9-4CEC-B979-07EA945960CD}" name="Column7149"/>
    <tableColumn id="7181" xr3:uid="{FFDE0093-10AD-48FC-834B-1D58230FE6AD}" name="Column7150"/>
    <tableColumn id="7182" xr3:uid="{44A3C659-27D6-4759-BEF5-2C58DDD13C5B}" name="Column7151"/>
    <tableColumn id="7183" xr3:uid="{E631AD83-0257-41A1-97E3-20B7B09D3EE2}" name="Column7152"/>
    <tableColumn id="7184" xr3:uid="{346DD255-75D9-49B2-8582-85DBCF187159}" name="Column7153"/>
    <tableColumn id="7185" xr3:uid="{6E7F385B-8CE3-4F2E-9F87-FCB3EA539CBB}" name="Column7154"/>
    <tableColumn id="7186" xr3:uid="{B13C2B46-4376-4D67-9819-922CCE626344}" name="Column7155"/>
    <tableColumn id="7187" xr3:uid="{5398E3ED-2A6F-4B14-83FE-E93C98D35293}" name="Column7156"/>
    <tableColumn id="7188" xr3:uid="{3F6F4B71-71E1-435F-B37B-B3F02633C258}" name="Column7157"/>
    <tableColumn id="7189" xr3:uid="{DF6A2822-0FCB-490E-A883-C7EB8DA1B544}" name="Column7158"/>
    <tableColumn id="7190" xr3:uid="{8A60E618-73DE-4370-B4DF-17810938E95D}" name="Column7159"/>
    <tableColumn id="7191" xr3:uid="{0A728118-FAD8-4883-A1CD-FF913E42DFE5}" name="Column7160"/>
    <tableColumn id="7192" xr3:uid="{16E9D5D6-D3BA-403D-9C2A-798A9D3BA7AA}" name="Column7161"/>
    <tableColumn id="7193" xr3:uid="{8C68633B-43F8-4FC4-99A2-41DC1D4899E2}" name="Column7162"/>
    <tableColumn id="7194" xr3:uid="{B3CC4373-C245-4631-86BB-BB60C0A56BEE}" name="Column7163"/>
    <tableColumn id="7195" xr3:uid="{BA273413-EB86-41D7-8C8E-E3CE9762748D}" name="Column7164"/>
    <tableColumn id="7196" xr3:uid="{6FEBB57E-04B7-482A-A172-5EAFA0026886}" name="Column7165"/>
    <tableColumn id="7197" xr3:uid="{6A648FE9-508F-4948-AEBA-4C273C9D72A2}" name="Column7166"/>
    <tableColumn id="7198" xr3:uid="{002FF7BC-ADD6-4C7F-B136-D0F295C1D0AA}" name="Column7167"/>
    <tableColumn id="7199" xr3:uid="{AA25C04C-6F08-4FCF-A717-8D22C84A2278}" name="Column7168"/>
    <tableColumn id="7200" xr3:uid="{93EF1AF0-A053-4CF7-8477-ACAE34521479}" name="Column7169"/>
    <tableColumn id="7201" xr3:uid="{AF650C5D-89ED-44EA-9C6E-0D7325A860F8}" name="Column7170"/>
    <tableColumn id="7202" xr3:uid="{82C9F613-C8E6-4A63-A01C-DE8CC933D69F}" name="Column7171"/>
    <tableColumn id="7203" xr3:uid="{2584AEBC-5692-45D5-A1E6-0336AB0FA974}" name="Column7172"/>
    <tableColumn id="7204" xr3:uid="{B4744A87-3DF1-4964-A5D6-FE505781CD18}" name="Column7173"/>
    <tableColumn id="7205" xr3:uid="{B11F4DCD-152D-46DB-A23E-466F9684EB7A}" name="Column7174"/>
    <tableColumn id="7206" xr3:uid="{60959E0D-38C8-441D-BDA7-696FD7C37523}" name="Column7175"/>
    <tableColumn id="7207" xr3:uid="{45D1FAF7-A1C2-4539-AA96-E8EF9A004F97}" name="Column7176"/>
    <tableColumn id="7208" xr3:uid="{FD972BF6-522D-470B-9FE7-CAA081B96B10}" name="Column7177"/>
    <tableColumn id="7209" xr3:uid="{57BE9354-98B7-4F1C-BF24-863B8C11538B}" name="Column7178"/>
    <tableColumn id="7210" xr3:uid="{24685401-93CC-4BF6-A08F-A409E0DF2035}" name="Column7179"/>
    <tableColumn id="7211" xr3:uid="{97129558-7E18-4C43-B3C1-1E44E395D484}" name="Column7180"/>
    <tableColumn id="7212" xr3:uid="{98FC1767-9979-49E0-AD39-C1AF9B5CE406}" name="Column7181"/>
    <tableColumn id="7213" xr3:uid="{BE6792E5-4C42-45A8-A606-4AA6270C8BCA}" name="Column7182"/>
    <tableColumn id="7214" xr3:uid="{4BEAEB7C-5EA7-4B47-BD80-D85EC357C542}" name="Column7183"/>
    <tableColumn id="7215" xr3:uid="{D63DCB27-21B0-42A8-B822-DAF8CE98B353}" name="Column7184"/>
    <tableColumn id="7216" xr3:uid="{582912A7-57A1-4746-A7D4-E3A975280920}" name="Column7185"/>
    <tableColumn id="7217" xr3:uid="{37C758D1-239F-4E85-BC97-C96618365764}" name="Column7186"/>
    <tableColumn id="7218" xr3:uid="{24E84EC5-71F7-4D8A-95E6-61940F87E927}" name="Column7187"/>
    <tableColumn id="7219" xr3:uid="{39AD2128-BDCE-40E7-BC73-65BE6028B385}" name="Column7188"/>
    <tableColumn id="7220" xr3:uid="{F33FD90B-F7EA-4947-A41C-252B05B00E94}" name="Column7189"/>
    <tableColumn id="7221" xr3:uid="{BD0512AA-1B2E-4843-A4DF-930BF2A6E2B5}" name="Column7190"/>
    <tableColumn id="7222" xr3:uid="{03E4FED3-EDA6-4FD4-813C-14D12D61A61C}" name="Column7191"/>
    <tableColumn id="7223" xr3:uid="{20FD93B5-8C0E-4388-B8D4-3DF521215DC8}" name="Column7192"/>
    <tableColumn id="7224" xr3:uid="{2155CB77-8C54-4CF4-A449-7F31A183D7EB}" name="Column7193"/>
    <tableColumn id="7225" xr3:uid="{F54E0291-98F5-4561-8D19-41CE6D817901}" name="Column7194"/>
    <tableColumn id="7226" xr3:uid="{98060771-6D6A-4A4A-96AD-0965DD3C2C8F}" name="Column7195"/>
    <tableColumn id="7227" xr3:uid="{3DE86132-5BF3-4950-B7F5-1D88D2D66955}" name="Column7196"/>
    <tableColumn id="7228" xr3:uid="{6D73D180-8960-42E8-9C3A-0FC6B4E455BD}" name="Column7197"/>
    <tableColumn id="7229" xr3:uid="{8D08C6DE-4D40-4642-A3CD-5B67827F4E0C}" name="Column7198"/>
    <tableColumn id="7230" xr3:uid="{7ED9FEDC-A067-407E-B455-7EEDC7B6A3F1}" name="Column7199"/>
    <tableColumn id="7231" xr3:uid="{A5F26267-056A-4CC6-9D9A-00E81AF97A7A}" name="Column7200"/>
    <tableColumn id="7232" xr3:uid="{1050BA34-580A-41BD-91DC-A53DBE8A084D}" name="Column7201"/>
    <tableColumn id="7233" xr3:uid="{4820BDF3-317B-4703-B8F0-D836DFC254A7}" name="Column7202"/>
    <tableColumn id="7234" xr3:uid="{0B8D796D-1A7D-4837-8CD4-2501D44F01C4}" name="Column7203"/>
    <tableColumn id="7235" xr3:uid="{6B155834-BE40-4775-A9C6-77899BC80F9E}" name="Column7204"/>
    <tableColumn id="7236" xr3:uid="{15DFE510-9F08-4128-83A5-49ACA4234D05}" name="Column7205"/>
    <tableColumn id="7237" xr3:uid="{C0C5A905-FA64-45B7-A784-0D458EEDEBDB}" name="Column7206"/>
    <tableColumn id="7238" xr3:uid="{76ABAADE-F543-448A-808D-E5E658C00EFC}" name="Column7207"/>
    <tableColumn id="7239" xr3:uid="{D542FC68-A410-4B2F-B7E8-7DC3B6CC3904}" name="Column7208"/>
    <tableColumn id="7240" xr3:uid="{2E17A8C5-5575-45AB-A427-BCC900856B70}" name="Column7209"/>
    <tableColumn id="7241" xr3:uid="{D6A4EB42-69E4-4A33-8A64-F9417DAD5B27}" name="Column7210"/>
    <tableColumn id="7242" xr3:uid="{96E5DFFF-F13B-4123-B851-5EA3CDB87D6E}" name="Column7211"/>
    <tableColumn id="7243" xr3:uid="{8253DD9C-DA1A-45D6-AEF0-22F3720063C9}" name="Column7212"/>
    <tableColumn id="7244" xr3:uid="{35C1A40C-88BA-408E-B647-61AC8A0AA133}" name="Column7213"/>
    <tableColumn id="7245" xr3:uid="{F7D003AF-EBF3-4D2D-A4BA-4BA90F94A46B}" name="Column7214"/>
    <tableColumn id="7246" xr3:uid="{8CA6D02F-B021-4486-94A3-97EB7B74AD56}" name="Column7215"/>
    <tableColumn id="7247" xr3:uid="{C8F3D1F9-FA50-47BA-A0C7-9BA1EF25E273}" name="Column7216"/>
    <tableColumn id="7248" xr3:uid="{33CCD148-A67C-482B-96C8-DAC616402BB9}" name="Column7217"/>
    <tableColumn id="7249" xr3:uid="{C0CDE1E6-EACD-4A32-87BA-8412C8D40B8C}" name="Column7218"/>
    <tableColumn id="7250" xr3:uid="{FD801A05-A217-4B90-837B-941C3519112E}" name="Column7219"/>
    <tableColumn id="7251" xr3:uid="{F044A93D-24ED-43ED-B1D7-ADCD2D1790A2}" name="Column7220"/>
    <tableColumn id="7252" xr3:uid="{1D447345-B1CC-41E7-9D12-D401A8F99B50}" name="Column7221"/>
    <tableColumn id="7253" xr3:uid="{262E2B1D-7493-47FC-966D-6EC4556C097A}" name="Column7222"/>
    <tableColumn id="7254" xr3:uid="{42788593-6F94-4BA2-8E77-B11612F8F9F6}" name="Column7223"/>
    <tableColumn id="7255" xr3:uid="{9A4D3E98-7A63-4439-8429-397F70387F16}" name="Column7224"/>
    <tableColumn id="7256" xr3:uid="{3232CEF4-E14A-4CEB-8703-445DBE9EC82F}" name="Column7225"/>
    <tableColumn id="7257" xr3:uid="{6F012EE3-9432-4AE6-98A0-00917E60369C}" name="Column7226"/>
    <tableColumn id="7258" xr3:uid="{7327401D-B013-45DF-A736-E5490495F285}" name="Column7227"/>
    <tableColumn id="7259" xr3:uid="{CB912878-0949-4CEA-B3DE-70B02B9F0179}" name="Column7228"/>
    <tableColumn id="7260" xr3:uid="{1FBF9B87-B318-4FD4-A34B-8578DB859B31}" name="Column7229"/>
    <tableColumn id="7261" xr3:uid="{B56BAD04-7633-4F8B-AB4F-BC1867906D64}" name="Column7230"/>
    <tableColumn id="7262" xr3:uid="{0B126C8A-C60A-4F21-86FB-6D94214BA08D}" name="Column7231"/>
    <tableColumn id="7263" xr3:uid="{6C1CA61F-928E-443A-8DCB-DE0A5835F103}" name="Column7232"/>
    <tableColumn id="7264" xr3:uid="{74EA8E9B-8079-4128-BFC7-46BADF13D0FD}" name="Column7233"/>
    <tableColumn id="7265" xr3:uid="{9ED70FAE-7581-4CB2-A4DD-AB3029255C57}" name="Column7234"/>
    <tableColumn id="7266" xr3:uid="{0BFAB243-B412-4BD6-832F-D89D03F3FD6A}" name="Column7235"/>
    <tableColumn id="7267" xr3:uid="{5CA49F02-CFE1-4F12-95C5-7075D15E3972}" name="Column7236"/>
    <tableColumn id="7268" xr3:uid="{89007CB1-E0EA-4353-959B-047910AAA57E}" name="Column7237"/>
    <tableColumn id="7269" xr3:uid="{EBE0DF03-3996-471D-998E-D3B514ACA14C}" name="Column7238"/>
    <tableColumn id="7270" xr3:uid="{DCFCD678-1AFC-428B-A8CD-211B602F77F1}" name="Column7239"/>
    <tableColumn id="7271" xr3:uid="{42E75EB7-8244-49CC-B8BA-44BC6EF31896}" name="Column7240"/>
    <tableColumn id="7272" xr3:uid="{F6289FE3-CAAA-4463-8FD2-C3BC66122DAC}" name="Column7241"/>
    <tableColumn id="7273" xr3:uid="{877F30D5-6176-4540-BB71-723A75186358}" name="Column7242"/>
    <tableColumn id="7274" xr3:uid="{704723B6-023F-46B8-95CD-EE5B6CFB52E6}" name="Column7243"/>
    <tableColumn id="7275" xr3:uid="{38E8B85A-C1F5-4456-80A2-F15A9905CA25}" name="Column7244"/>
    <tableColumn id="7276" xr3:uid="{B7BD063E-1B06-4CFC-B6B7-C7FEA014F5F8}" name="Column7245"/>
    <tableColumn id="7277" xr3:uid="{F7D751EC-BE34-44D0-BB9F-7E0CC32C7275}" name="Column7246"/>
    <tableColumn id="7278" xr3:uid="{D4F0457D-8D7D-47B7-90AA-1121C5879BBA}" name="Column7247"/>
    <tableColumn id="7279" xr3:uid="{E0A9F5FD-1323-4092-B9D8-AA7CDB9515A2}" name="Column7248"/>
    <tableColumn id="7280" xr3:uid="{91AD22A2-E051-475A-BEBD-1E935A6BB5DD}" name="Column7249"/>
    <tableColumn id="7281" xr3:uid="{69EB2D18-30C6-41BC-95C4-2BCA41362C12}" name="Column7250"/>
    <tableColumn id="7282" xr3:uid="{CA12376E-EACB-4DCE-9240-C99BC8D3CB98}" name="Column7251"/>
    <tableColumn id="7283" xr3:uid="{7A149C2C-098C-4BA0-8337-B97CD782AFE1}" name="Column7252"/>
    <tableColumn id="7284" xr3:uid="{DB01D6D3-0AE4-4C58-8D7E-9565D633B0A0}" name="Column7253"/>
    <tableColumn id="7285" xr3:uid="{3F34798F-B1EF-4A2E-8883-81080AC44C2B}" name="Column7254"/>
    <tableColumn id="7286" xr3:uid="{90CA972F-3323-4A88-B2DD-1525B91C2259}" name="Column7255"/>
    <tableColumn id="7287" xr3:uid="{94810D46-7F8E-4D52-AE60-06F26634ED7A}" name="Column7256"/>
    <tableColumn id="7288" xr3:uid="{7133DEEB-9E29-4532-A3A9-C24431E7D7FA}" name="Column7257"/>
    <tableColumn id="7289" xr3:uid="{7FFDCF65-0887-48E0-95F5-88A32ED369EC}" name="Column7258"/>
    <tableColumn id="7290" xr3:uid="{03E4536C-92B2-4EFE-A4D5-D582A97BA1F3}" name="Column7259"/>
    <tableColumn id="7291" xr3:uid="{484EFB22-F95A-441E-B9F1-72AE939C0687}" name="Column7260"/>
    <tableColumn id="7292" xr3:uid="{1181842F-C0A6-4F6E-8D8E-24ACD8C9B4BC}" name="Column7261"/>
    <tableColumn id="7293" xr3:uid="{DDCDACB8-B834-40FC-A04B-F6E39E9F1212}" name="Column7262"/>
    <tableColumn id="7294" xr3:uid="{C35E5E26-9B44-4535-8A2A-30CE74CF9CF0}" name="Column7263"/>
    <tableColumn id="7295" xr3:uid="{55EAA9F4-BDB2-4F52-AC95-8D5EEFE2E771}" name="Column7264"/>
    <tableColumn id="7296" xr3:uid="{FE36AF5A-1916-400B-AC43-814B9D2579C1}" name="Column7265"/>
    <tableColumn id="7297" xr3:uid="{B1ED6F72-039D-48FE-9F2C-833C5DC20BDA}" name="Column7266"/>
    <tableColumn id="7298" xr3:uid="{812D95B7-AF9A-4483-AA10-684CD7A7F37F}" name="Column7267"/>
    <tableColumn id="7299" xr3:uid="{45EAF890-066C-4ECB-A8F0-7F0DB7F9D556}" name="Column7268"/>
    <tableColumn id="7300" xr3:uid="{7722CBE5-5E4C-49A4-B072-92506E0A4268}" name="Column7269"/>
    <tableColumn id="7301" xr3:uid="{CF80567E-F88B-48FA-B36C-BE2739203B1D}" name="Column7270"/>
    <tableColumn id="7302" xr3:uid="{2698B336-DB8E-4DD3-977C-32588030C877}" name="Column7271"/>
    <tableColumn id="7303" xr3:uid="{06AF823F-A86C-48C8-BF9E-4A9334B577C7}" name="Column7272"/>
    <tableColumn id="7304" xr3:uid="{940C744B-3443-400B-97BC-86B78105E1DB}" name="Column7273"/>
    <tableColumn id="7305" xr3:uid="{44426616-C34E-42BD-8F11-590BABC7CCAB}" name="Column7274"/>
    <tableColumn id="7306" xr3:uid="{80FF3165-AE42-4D39-9FFC-F46FD58B9D07}" name="Column7275"/>
    <tableColumn id="7307" xr3:uid="{5040D94D-6A2B-4D3F-B357-E6AC635C02C2}" name="Column7276"/>
    <tableColumn id="7308" xr3:uid="{3DD6A71E-8306-49BD-AA70-F4998CF1D213}" name="Column7277"/>
    <tableColumn id="7309" xr3:uid="{AB6A4B60-427A-41F6-9733-44902E11CFBA}" name="Column7278"/>
    <tableColumn id="7310" xr3:uid="{952D7A22-042D-4C28-99A7-81FFC8AD009A}" name="Column7279"/>
    <tableColumn id="7311" xr3:uid="{6C0E14B2-68CF-4CEC-9EB6-DEB595CF78CF}" name="Column7280"/>
    <tableColumn id="7312" xr3:uid="{8D0BABEC-7B9B-4C30-A99E-64192A12472B}" name="Column7281"/>
    <tableColumn id="7313" xr3:uid="{014966A7-3587-4414-A839-AA13017398DB}" name="Column7282"/>
    <tableColumn id="7314" xr3:uid="{58A16F26-9737-4022-9C40-73ADF3A7943D}" name="Column7283"/>
    <tableColumn id="7315" xr3:uid="{A29C85DC-B0AD-446A-95B5-F6E9201BECC8}" name="Column7284"/>
    <tableColumn id="7316" xr3:uid="{55C3267A-2FDA-41CE-991C-1E3887FC492D}" name="Column7285"/>
    <tableColumn id="7317" xr3:uid="{8A058E3B-94DB-4310-820E-887E468FE75A}" name="Column7286"/>
    <tableColumn id="7318" xr3:uid="{476C97C6-A1B4-46FC-A46F-2220E4C9D076}" name="Column7287"/>
    <tableColumn id="7319" xr3:uid="{174DD44D-37A7-4396-B704-76A0717956C8}" name="Column7288"/>
    <tableColumn id="7320" xr3:uid="{304EBC12-22D4-47E9-8887-67B0501341F6}" name="Column7289"/>
    <tableColumn id="7321" xr3:uid="{BF355E61-67AD-4EC5-8B1A-DB279E34A6E3}" name="Column7290"/>
    <tableColumn id="7322" xr3:uid="{821FF52D-9373-450D-BBFA-1ED8B65F3008}" name="Column7291"/>
    <tableColumn id="7323" xr3:uid="{6871DFFC-6C67-48D4-97AC-EB75F23F212E}" name="Column7292"/>
    <tableColumn id="7324" xr3:uid="{9721CBF6-52E7-4E87-9FE2-427AE3294B4D}" name="Column7293"/>
    <tableColumn id="7325" xr3:uid="{FAF08C0F-AF66-47AE-A6B7-225776030DC5}" name="Column7294"/>
    <tableColumn id="7326" xr3:uid="{5DE30233-7AEA-4E7A-8A14-0283DC745744}" name="Column7295"/>
    <tableColumn id="7327" xr3:uid="{2A608787-5B11-4D6C-806E-7200632A6090}" name="Column7296"/>
    <tableColumn id="7328" xr3:uid="{913CE07F-1C2D-4D02-A6F4-33F59B5E049A}" name="Column7297"/>
    <tableColumn id="7329" xr3:uid="{15893C73-5D0B-492E-9189-1B46181BF437}" name="Column7298"/>
    <tableColumn id="7330" xr3:uid="{4FEA3CCA-B116-4E1C-BF3D-EBC88A401D2E}" name="Column7299"/>
    <tableColumn id="7331" xr3:uid="{49485CFA-4842-4C61-A65D-DAC483FE0D8F}" name="Column7300"/>
    <tableColumn id="7332" xr3:uid="{1B6DDC4A-702C-4734-9ADA-7B01F8CF34AE}" name="Column7301"/>
    <tableColumn id="7333" xr3:uid="{2766CA47-21EC-4E01-9579-79AE4F673DE1}" name="Column7302"/>
    <tableColumn id="7334" xr3:uid="{9E833540-79F1-40ED-B22A-840580F3CEBD}" name="Column7303"/>
    <tableColumn id="7335" xr3:uid="{8DE0F68A-A7B5-4A98-9C29-E9ABEB3CFAC8}" name="Column7304"/>
    <tableColumn id="7336" xr3:uid="{5AA6A801-8BA4-4523-A720-3B28F30849E8}" name="Column7305"/>
    <tableColumn id="7337" xr3:uid="{CC6FA1B8-8D64-4316-BF7D-CFF3F1CCFFFF}" name="Column7306"/>
    <tableColumn id="7338" xr3:uid="{D1E193CD-5B06-4644-8745-EBAE67D5B3A8}" name="Column7307"/>
    <tableColumn id="7339" xr3:uid="{B8B6B772-A143-4855-828A-29348F4BDEF0}" name="Column7308"/>
    <tableColumn id="7340" xr3:uid="{4DA20977-530F-4BE2-AF75-7F3D94E77575}" name="Column7309"/>
    <tableColumn id="7341" xr3:uid="{E971BA89-A61F-4266-A040-C0AA8F81DAB4}" name="Column7310"/>
    <tableColumn id="7342" xr3:uid="{DCF619E2-E404-48D3-B92A-BC97634F29F8}" name="Column7311"/>
    <tableColumn id="7343" xr3:uid="{5E87A807-66CF-453B-8652-BF92F507261F}" name="Column7312"/>
    <tableColumn id="7344" xr3:uid="{80AF8258-4CD5-46FC-A739-77AB94BA9A4F}" name="Column7313"/>
    <tableColumn id="7345" xr3:uid="{ACE5E213-3E4E-4BD9-8E61-F3BC7DAC15F6}" name="Column7314"/>
    <tableColumn id="7346" xr3:uid="{22AA15B5-9F27-49E3-AC07-AFBEE59B0EBE}" name="Column7315"/>
    <tableColumn id="7347" xr3:uid="{4F08214F-1D96-40A4-9D56-4EBA07EBA010}" name="Column7316"/>
    <tableColumn id="7348" xr3:uid="{ADD80F59-D434-4404-9E97-439150A875D6}" name="Column7317"/>
    <tableColumn id="7349" xr3:uid="{12A0CF05-4DD0-44C1-8246-32115A9CCC16}" name="Column7318"/>
    <tableColumn id="7350" xr3:uid="{0EC7313B-0123-4687-AF9D-08D13BDF9E53}" name="Column7319"/>
    <tableColumn id="7351" xr3:uid="{DE4DCB91-E736-40D3-860F-D7DE55C54F8F}" name="Column7320"/>
    <tableColumn id="7352" xr3:uid="{DE85D69E-288F-49B7-B22C-7E1F87E97A35}" name="Column7321"/>
    <tableColumn id="7353" xr3:uid="{8A6E6ED2-51DC-45FE-8460-45EC94A7E9C2}" name="Column7322"/>
    <tableColumn id="7354" xr3:uid="{92A94E38-BDAB-4792-AF32-B161660C94F4}" name="Column7323"/>
    <tableColumn id="7355" xr3:uid="{7B93703E-44DD-4D30-BA1E-D4C460C480BA}" name="Column7324"/>
    <tableColumn id="7356" xr3:uid="{7CBC82CE-5230-4954-958F-63D862FFF701}" name="Column7325"/>
    <tableColumn id="7357" xr3:uid="{DA8CA799-1686-4D32-A3E2-261F576B6D28}" name="Column7326"/>
    <tableColumn id="7358" xr3:uid="{8D7E600B-4CBE-4A7C-A31D-C5C907C19BDD}" name="Column7327"/>
    <tableColumn id="7359" xr3:uid="{99968219-EB57-4E04-BADC-BF52FC4485E1}" name="Column7328"/>
    <tableColumn id="7360" xr3:uid="{136960D4-9E69-47E5-B36E-A34BD30FDAE2}" name="Column7329"/>
    <tableColumn id="7361" xr3:uid="{D6C6F696-A4B0-4884-9DE3-7141E145D736}" name="Column7330"/>
    <tableColumn id="7362" xr3:uid="{A1B78F7E-1866-422F-9ED1-D51DCF3B20EF}" name="Column7331"/>
    <tableColumn id="7363" xr3:uid="{9CA9219D-84E5-4F37-BEED-4447494760E2}" name="Column7332"/>
    <tableColumn id="7364" xr3:uid="{AC2B7EA5-7A18-4A92-8B2F-8C215200F94B}" name="Column7333"/>
    <tableColumn id="7365" xr3:uid="{5538F47B-8B01-4581-8E60-CEC08F724A39}" name="Column7334"/>
    <tableColumn id="7366" xr3:uid="{85C0B404-AF09-4298-91A0-53A3CD36F978}" name="Column7335"/>
    <tableColumn id="7367" xr3:uid="{FB2203B7-D5B1-4637-9B24-08DF172DAF9A}" name="Column7336"/>
    <tableColumn id="7368" xr3:uid="{1D0C7D68-A510-4DF3-A188-1579BB530960}" name="Column7337"/>
    <tableColumn id="7369" xr3:uid="{A53AE8A0-8BF9-4B60-97A8-57F9A1175C67}" name="Column7338"/>
    <tableColumn id="7370" xr3:uid="{9D3FEED4-523C-4626-AB8E-08297062FBED}" name="Column7339"/>
    <tableColumn id="7371" xr3:uid="{E2013437-1317-478B-848A-F77A319CA06D}" name="Column7340"/>
    <tableColumn id="7372" xr3:uid="{D79CCEB0-97D3-4F23-BAC4-EC337CB4032C}" name="Column7341"/>
    <tableColumn id="7373" xr3:uid="{27B41926-E2C9-43E6-BB02-610A5DD70386}" name="Column7342"/>
    <tableColumn id="7374" xr3:uid="{1C80C549-D328-45EA-BAB0-F281B441346E}" name="Column7343"/>
    <tableColumn id="7375" xr3:uid="{AE5711D9-56CD-4D8D-92EF-EE5E3EEF14F0}" name="Column7344"/>
    <tableColumn id="7376" xr3:uid="{04A807EE-CCA3-4BD2-8E2A-1B57D13C8241}" name="Column7345"/>
    <tableColumn id="7377" xr3:uid="{FF467FA0-9EF0-43D8-8C7C-EA4B826AE0FA}" name="Column7346"/>
    <tableColumn id="7378" xr3:uid="{C38EE536-7B23-42E8-9DFE-432F2AED282C}" name="Column7347"/>
    <tableColumn id="7379" xr3:uid="{0187BBA4-F0C2-44AF-9803-04203F22B706}" name="Column7348"/>
    <tableColumn id="7380" xr3:uid="{75EA7542-2602-4478-B15C-816ED84C1A0F}" name="Column7349"/>
    <tableColumn id="7381" xr3:uid="{EEBCFEC0-C65F-4336-9721-FB9ED81CCAAF}" name="Column7350"/>
    <tableColumn id="7382" xr3:uid="{CA5C9185-1654-4868-BE8B-26FB3E437A9F}" name="Column7351"/>
    <tableColumn id="7383" xr3:uid="{F258702F-449A-4AEC-98F8-E572CA9BB49E}" name="Column7352"/>
    <tableColumn id="7384" xr3:uid="{C384B0A4-F52E-4EF4-84E0-D670308F9AC0}" name="Column7353"/>
    <tableColumn id="7385" xr3:uid="{15EAAE76-E569-4D82-B693-480BAB027634}" name="Column7354"/>
    <tableColumn id="7386" xr3:uid="{95D1B3FF-9D3F-45F2-A3E2-D8967005A2C0}" name="Column7355"/>
    <tableColumn id="7387" xr3:uid="{E6B5F3B9-C9B8-4D5D-A9C4-5C8ED52A7F6C}" name="Column7356"/>
    <tableColumn id="7388" xr3:uid="{ECE6D202-93A5-42DF-8309-051828F7F698}" name="Column7357"/>
    <tableColumn id="7389" xr3:uid="{A0DD7105-36E9-4213-A2E5-F9F3FEFD5654}" name="Column7358"/>
    <tableColumn id="7390" xr3:uid="{D65E69E9-FD14-4F0A-BCCA-12EAC09C2BAD}" name="Column7359"/>
    <tableColumn id="7391" xr3:uid="{04CA9970-AC90-4913-8F3B-F48E0AB0A279}" name="Column7360"/>
    <tableColumn id="7392" xr3:uid="{F7E91E84-4C3B-4CDC-B945-A2B057B4FE5E}" name="Column7361"/>
    <tableColumn id="7393" xr3:uid="{E18E414E-8EC7-4E9B-AA68-BA6214A75E2A}" name="Column7362"/>
    <tableColumn id="7394" xr3:uid="{A5C65503-43D9-418E-AD28-965F38FC0DFF}" name="Column7363"/>
    <tableColumn id="7395" xr3:uid="{ABF4EA98-1919-4970-A788-84CBAB325446}" name="Column7364"/>
    <tableColumn id="7396" xr3:uid="{5CAF2B36-005E-461F-A2AC-823C76F48B42}" name="Column7365"/>
    <tableColumn id="7397" xr3:uid="{FCC34F0D-F747-4104-A0D4-5F5921D00B95}" name="Column7366"/>
    <tableColumn id="7398" xr3:uid="{3F947B2C-B38C-4A46-A667-028DAEC312D9}" name="Column7367"/>
    <tableColumn id="7399" xr3:uid="{442BFD08-9CA4-47D6-88A4-0BC1769491FF}" name="Column7368"/>
    <tableColumn id="7400" xr3:uid="{0C6D79F7-A847-4CC3-A46E-4C3E617E5BFF}" name="Column7369"/>
    <tableColumn id="7401" xr3:uid="{427647AB-FF0C-4A71-ABAB-F407687B142A}" name="Column7370"/>
    <tableColumn id="7402" xr3:uid="{72B8F6B0-0D94-4905-A07A-A8C833C6639B}" name="Column7371"/>
    <tableColumn id="7403" xr3:uid="{1E96E183-676E-472E-986B-5FF7B1885A82}" name="Column7372"/>
    <tableColumn id="7404" xr3:uid="{9F73F83D-6098-4959-8D2F-0E092AACC5EC}" name="Column7373"/>
    <tableColumn id="7405" xr3:uid="{A20A59B1-B30E-44FD-9954-5E3914FE4315}" name="Column7374"/>
    <tableColumn id="7406" xr3:uid="{D6DBAD71-5529-4008-983F-0B84AD3FC5CE}" name="Column7375"/>
    <tableColumn id="7407" xr3:uid="{CFEAC07C-CE57-4087-A36C-FAFF7F6CB652}" name="Column7376"/>
    <tableColumn id="7408" xr3:uid="{FB0028D5-95C4-444D-9A7A-D12CB2774B78}" name="Column7377"/>
    <tableColumn id="7409" xr3:uid="{7FA6F021-B209-44FF-8AB5-571DA3304E48}" name="Column7378"/>
    <tableColumn id="7410" xr3:uid="{249B6C5D-C03E-4803-8075-B399057A0BAF}" name="Column7379"/>
    <tableColumn id="7411" xr3:uid="{C62DA7CD-E5E8-4B0E-BC02-926EA5E3F629}" name="Column7380"/>
    <tableColumn id="7412" xr3:uid="{3DB108FE-76D3-4ABF-B67E-993AB6C78F54}" name="Column7381"/>
    <tableColumn id="7413" xr3:uid="{C98A9410-3AD8-4DD2-97DF-E06DAFC21E42}" name="Column7382"/>
    <tableColumn id="7414" xr3:uid="{BF1F6AFC-8232-4BFE-9BB4-8628D0510BCF}" name="Column7383"/>
    <tableColumn id="7415" xr3:uid="{882D089F-E8F8-4465-95CD-6C8092084B9D}" name="Column7384"/>
    <tableColumn id="7416" xr3:uid="{226F5406-8AEE-4B76-ADAF-6465C48C1E6F}" name="Column7385"/>
    <tableColumn id="7417" xr3:uid="{D73B0368-5664-4069-BA29-08A00372E6D9}" name="Column7386"/>
    <tableColumn id="7418" xr3:uid="{5396FBF6-372D-4AAB-91EA-A718FCA6378F}" name="Column7387"/>
    <tableColumn id="7419" xr3:uid="{718B2467-E53C-469C-845F-8A8365B42418}" name="Column7388"/>
    <tableColumn id="7420" xr3:uid="{4A15F3A7-1901-4E1F-B8AA-87E97CD01EF9}" name="Column7389"/>
    <tableColumn id="7421" xr3:uid="{F17CA140-7233-4713-AEF7-0D359CFB9D44}" name="Column7390"/>
    <tableColumn id="7422" xr3:uid="{AD4BEE27-6E6F-4722-840C-E9AB6FFE6E87}" name="Column7391"/>
    <tableColumn id="7423" xr3:uid="{B6BA7D10-8C26-436C-8A3E-389F906E53A0}" name="Column7392"/>
    <tableColumn id="7424" xr3:uid="{EEC3CFDA-FB88-4904-B9EB-AC2CBAF3D9F3}" name="Column7393"/>
    <tableColumn id="7425" xr3:uid="{85C35C30-4306-469D-B607-E5781C9D7ABA}" name="Column7394"/>
    <tableColumn id="7426" xr3:uid="{7DAE57D3-147E-4C81-8BCF-294096A697CD}" name="Column7395"/>
    <tableColumn id="7427" xr3:uid="{CC8538BA-5C71-4BC3-90B7-887022AA3ECB}" name="Column7396"/>
    <tableColumn id="7428" xr3:uid="{C5532003-B4FB-49F5-B3B2-B4B2DE111CD7}" name="Column7397"/>
    <tableColumn id="7429" xr3:uid="{9837C8F6-EA5A-4F56-8C90-9EF842E4D9B9}" name="Column7398"/>
    <tableColumn id="7430" xr3:uid="{C45D5EF9-776C-407E-8070-9FA6C977D71E}" name="Column7399"/>
    <tableColumn id="7431" xr3:uid="{5295E9CE-AF88-4A32-BE04-EFEFA595899F}" name="Column7400"/>
    <tableColumn id="7432" xr3:uid="{687CF096-DABB-4055-9017-11C0965C48CC}" name="Column7401"/>
    <tableColumn id="7433" xr3:uid="{70224904-76EE-4E5F-AD08-95D0D6C4FDA6}" name="Column7402"/>
    <tableColumn id="7434" xr3:uid="{65713B19-FF39-4E83-BD34-C34CEC5F01AD}" name="Column7403"/>
    <tableColumn id="7435" xr3:uid="{16D42321-A7BB-43A4-92A2-2919D5788768}" name="Column7404"/>
    <tableColumn id="7436" xr3:uid="{6F849E0D-9FF6-46AB-A3AE-67D20A1004C9}" name="Column7405"/>
    <tableColumn id="7437" xr3:uid="{010CA32E-5E69-4A7C-BE61-7ACF4C5DCB42}" name="Column7406"/>
    <tableColumn id="7438" xr3:uid="{190844FD-96E7-4154-BADC-359E2C3903B0}" name="Column7407"/>
    <tableColumn id="7439" xr3:uid="{3DCC7368-10AB-48FE-9B4A-B90E258BC95C}" name="Column7408"/>
    <tableColumn id="7440" xr3:uid="{EE86662C-E626-4678-93C1-63CD832C9500}" name="Column7409"/>
    <tableColumn id="7441" xr3:uid="{3984087D-1519-4736-A4A2-C3DCF781852A}" name="Column7410"/>
    <tableColumn id="7442" xr3:uid="{56395D5E-DA73-4ECA-820F-46466C583FD6}" name="Column7411"/>
    <tableColumn id="7443" xr3:uid="{4484F330-1887-49D8-B144-14B62F79234C}" name="Column7412"/>
    <tableColumn id="7444" xr3:uid="{95D6A111-1545-45B0-A403-80F145F060A6}" name="Column7413"/>
    <tableColumn id="7445" xr3:uid="{7362F48C-D6DF-4D74-A68E-4CD59D50831A}" name="Column7414"/>
    <tableColumn id="7446" xr3:uid="{2601B2DC-CED2-4264-A654-E4C239C59781}" name="Column7415"/>
    <tableColumn id="7447" xr3:uid="{6878B8D0-F78A-4578-9344-2A8AA07EE738}" name="Column7416"/>
    <tableColumn id="7448" xr3:uid="{FB7C0219-F484-4750-A92E-212BF908C022}" name="Column7417"/>
    <tableColumn id="7449" xr3:uid="{FD2C3C6E-0A25-49DA-BC81-9F11E166CE98}" name="Column7418"/>
    <tableColumn id="7450" xr3:uid="{7681148A-9300-4818-B481-EF9DF54922F9}" name="Column7419"/>
    <tableColumn id="7451" xr3:uid="{26B2C295-5D90-4169-9ADB-C1066B62CD87}" name="Column7420"/>
    <tableColumn id="7452" xr3:uid="{071A4B8E-21C4-42A2-BC74-FF5468E933C1}" name="Column7421"/>
    <tableColumn id="7453" xr3:uid="{481620B1-3E83-422C-ADB5-FEF79116D067}" name="Column7422"/>
    <tableColumn id="7454" xr3:uid="{0F7B9615-95FA-402A-B31A-9D126AAE0D68}" name="Column7423"/>
    <tableColumn id="7455" xr3:uid="{8D45A13E-804A-47A6-88EE-4071428DD98B}" name="Column7424"/>
    <tableColumn id="7456" xr3:uid="{E028257F-1D44-4146-8D96-405FA91DBDDC}" name="Column7425"/>
    <tableColumn id="7457" xr3:uid="{34F66232-CB62-49BD-A0F3-2896A90DD2EB}" name="Column7426"/>
    <tableColumn id="7458" xr3:uid="{D1F677F4-B8DE-45B9-B714-71F006C8394A}" name="Column7427"/>
    <tableColumn id="7459" xr3:uid="{855F2C76-0E82-4297-888F-0D7CE5977AF8}" name="Column7428"/>
    <tableColumn id="7460" xr3:uid="{9A0FA639-88D5-4E64-A756-CA8C2D2F54FE}" name="Column7429"/>
    <tableColumn id="7461" xr3:uid="{5E63749B-565B-4C00-8B01-F795B263B112}" name="Column7430"/>
    <tableColumn id="7462" xr3:uid="{A4E055AE-04BC-472E-BD31-B52A8D6EBABB}" name="Column7431"/>
    <tableColumn id="7463" xr3:uid="{428DC547-1257-4C63-8167-3FFC5AC95FA2}" name="Column7432"/>
    <tableColumn id="7464" xr3:uid="{AA5E7A79-2B7D-40AC-A262-F02A3AF2E687}" name="Column7433"/>
    <tableColumn id="7465" xr3:uid="{DC791DA7-5A14-475F-A106-BD528803C390}" name="Column7434"/>
    <tableColumn id="7466" xr3:uid="{511868FA-70D6-4150-8D9F-EB178114EBDB}" name="Column7435"/>
    <tableColumn id="7467" xr3:uid="{5825C524-1923-45B6-B06E-08058A6F3C5D}" name="Column7436"/>
    <tableColumn id="7468" xr3:uid="{8E471DED-A43F-44A0-BB96-D67E35EDADED}" name="Column7437"/>
    <tableColumn id="7469" xr3:uid="{909B56D7-2038-4453-999E-82A4E9FEB337}" name="Column7438"/>
    <tableColumn id="7470" xr3:uid="{995FA733-CC69-401C-8954-BBFAFABD6F20}" name="Column7439"/>
    <tableColumn id="7471" xr3:uid="{086BF545-553F-464D-97DC-319618CA3692}" name="Column7440"/>
    <tableColumn id="7472" xr3:uid="{44A9DBFC-612C-4BBA-8476-F7AFAC054783}" name="Column7441"/>
    <tableColumn id="7473" xr3:uid="{427046C7-FDA4-48D0-B599-DA43727C200E}" name="Column7442"/>
    <tableColumn id="7474" xr3:uid="{D601D513-1614-4489-909E-A0B4AF790238}" name="Column7443"/>
    <tableColumn id="7475" xr3:uid="{7ECFA925-2AFE-46A7-A87F-ACEBE32F7241}" name="Column7444"/>
    <tableColumn id="7476" xr3:uid="{0E54CF11-C23C-4DF3-88C5-0ECB192C8885}" name="Column7445"/>
    <tableColumn id="7477" xr3:uid="{0A2B15BD-F9A4-4A42-A571-1BC5A485EFEA}" name="Column7446"/>
    <tableColumn id="7478" xr3:uid="{B90C4E22-ACAC-49E9-A0CE-C9CE23014A92}" name="Column7447"/>
    <tableColumn id="7479" xr3:uid="{10F31184-CFB5-4EDD-A063-356D72CBFE3D}" name="Column7448"/>
    <tableColumn id="7480" xr3:uid="{4A9122A5-3DDF-495F-B8F1-56177F317AA8}" name="Column7449"/>
    <tableColumn id="7481" xr3:uid="{B6349867-35BD-4B46-80B0-DB9678D85C3B}" name="Column7450"/>
    <tableColumn id="7482" xr3:uid="{656BA426-83F3-41D3-AAD3-24E019633B6A}" name="Column7451"/>
    <tableColumn id="7483" xr3:uid="{A0AE2F64-C36D-405B-8334-6B12CBB1211F}" name="Column7452"/>
    <tableColumn id="7484" xr3:uid="{5E0FC5B7-50FB-4598-A4B1-D4B1F5957561}" name="Column7453"/>
    <tableColumn id="7485" xr3:uid="{7E02DCC4-C296-42FE-ACC3-BA3283DCD33B}" name="Column7454"/>
    <tableColumn id="7486" xr3:uid="{398505B6-75AD-4114-8596-F91967930F88}" name="Column7455"/>
    <tableColumn id="7487" xr3:uid="{464D7894-E2BC-4E80-BB93-07176B92B685}" name="Column7456"/>
    <tableColumn id="7488" xr3:uid="{E0E46484-08DA-4665-98C4-9833E500BED5}" name="Column7457"/>
    <tableColumn id="7489" xr3:uid="{FF1554C5-DB9B-4FDB-ACB5-CF6F7FCB2B5A}" name="Column7458"/>
    <tableColumn id="7490" xr3:uid="{64B9F82E-4886-494E-BD22-838189F550C7}" name="Column7459"/>
    <tableColumn id="7491" xr3:uid="{4DC904AB-A7B0-42C8-9178-987E3C541D55}" name="Column7460"/>
    <tableColumn id="7492" xr3:uid="{7995F66C-4093-442C-9C1F-2096206120EE}" name="Column7461"/>
    <tableColumn id="7493" xr3:uid="{D2285F19-5F66-49D4-98F7-3F97411FF68E}" name="Column7462"/>
    <tableColumn id="7494" xr3:uid="{4BB40C0C-AB6C-457B-BA44-477026CF0D0E}" name="Column7463"/>
    <tableColumn id="7495" xr3:uid="{F71186F9-8730-4DE8-9203-90198E55D49A}" name="Column7464"/>
    <tableColumn id="7496" xr3:uid="{D4D22BB2-138B-4FC5-A1AB-6C9D814C9291}" name="Column7465"/>
    <tableColumn id="7497" xr3:uid="{0FF43A5E-16DB-45FB-9FA6-BF65B952EE13}" name="Column7466"/>
    <tableColumn id="7498" xr3:uid="{17F88125-C56A-43AB-A4C3-E0F7C018F794}" name="Column7467"/>
    <tableColumn id="7499" xr3:uid="{0C2FF735-C805-4497-8933-9C258EB3A112}" name="Column7468"/>
    <tableColumn id="7500" xr3:uid="{A920E937-4DE0-4FB6-9A40-0AE129BF3764}" name="Column7469"/>
    <tableColumn id="7501" xr3:uid="{F29D718D-CDE7-4CEA-96FC-C03ABC1FD453}" name="Column7470"/>
    <tableColumn id="7502" xr3:uid="{5ECD3674-71F1-4736-A408-E0B4170A000C}" name="Column7471"/>
    <tableColumn id="7503" xr3:uid="{AB8128A6-A957-4922-83B2-00A3C3AA3CBD}" name="Column7472"/>
    <tableColumn id="7504" xr3:uid="{BB78E0AF-8347-4516-B80A-8B267C663AF4}" name="Column7473"/>
    <tableColumn id="7505" xr3:uid="{04DAD460-66CE-4D62-B2B8-1FC83BD1000A}" name="Column7474"/>
    <tableColumn id="7506" xr3:uid="{89D04DDE-241B-4D4D-A008-0951C25683B7}" name="Column7475"/>
    <tableColumn id="7507" xr3:uid="{3AF12103-0ABB-4D3B-A665-25F317DA73A3}" name="Column7476"/>
    <tableColumn id="7508" xr3:uid="{E588B38F-D3B7-4F22-8BAA-4DF71FB144B0}" name="Column7477"/>
    <tableColumn id="7509" xr3:uid="{0E1F21CA-AC3F-4B12-803B-90423EAD7BC1}" name="Column7478"/>
    <tableColumn id="7510" xr3:uid="{F836BBFE-9EF8-4AD4-B6C4-B60ABDB83964}" name="Column7479"/>
    <tableColumn id="7511" xr3:uid="{C2E7085B-810A-404C-B935-275206B53666}" name="Column7480"/>
    <tableColumn id="7512" xr3:uid="{516030BE-2038-443A-B21A-1EDB8C8208A0}" name="Column7481"/>
    <tableColumn id="7513" xr3:uid="{A72FED58-94DB-4FD0-B42F-6BA12164E062}" name="Column7482"/>
    <tableColumn id="7514" xr3:uid="{B55A8B39-6C9A-4407-8411-0482E7B0479D}" name="Column7483"/>
    <tableColumn id="7515" xr3:uid="{382B7F55-D0EC-4E89-821C-D4CFCE28E435}" name="Column7484"/>
    <tableColumn id="7516" xr3:uid="{4C4B6FF6-AE83-43FB-B348-3F45619C0657}" name="Column7485"/>
    <tableColumn id="7517" xr3:uid="{376B659E-EBBC-4E2C-AAF7-7F90AE371E80}" name="Column7486"/>
    <tableColumn id="7518" xr3:uid="{85E00BAE-9C6D-457C-8099-62B3FA1F2077}" name="Column7487"/>
    <tableColumn id="7519" xr3:uid="{7370374B-2BBD-40E1-9714-9E82027145AC}" name="Column7488"/>
    <tableColumn id="7520" xr3:uid="{96E45A53-BADB-4548-8B7C-0F3B63659A92}" name="Column7489"/>
    <tableColumn id="7521" xr3:uid="{1D23EEFE-411F-4D63-9C25-56AAABA9E6C0}" name="Column7490"/>
    <tableColumn id="7522" xr3:uid="{63331B74-861F-4007-909B-954F47E5F92C}" name="Column7491"/>
    <tableColumn id="7523" xr3:uid="{D0CC244E-114A-4E68-9351-3D4775501373}" name="Column7492"/>
    <tableColumn id="7524" xr3:uid="{6EC36260-23A6-4610-8449-7380923B753A}" name="Column7493"/>
    <tableColumn id="7525" xr3:uid="{7B4BC13F-B376-4339-AA38-07C147F8CB08}" name="Column7494"/>
    <tableColumn id="7526" xr3:uid="{79C5FC38-6A4F-45AE-8049-232233DD09EE}" name="Column7495"/>
    <tableColumn id="7527" xr3:uid="{73E1D891-CDE9-4941-80CD-88F79990A504}" name="Column7496"/>
    <tableColumn id="7528" xr3:uid="{1771166A-C6B7-4863-AAF3-4ACFB8968016}" name="Column7497"/>
    <tableColumn id="7529" xr3:uid="{C68F540C-0A39-499C-82D1-771A17B25518}" name="Column7498"/>
    <tableColumn id="7530" xr3:uid="{6C17579F-0293-4337-9640-40A55C3FF4F5}" name="Column7499"/>
    <tableColumn id="7531" xr3:uid="{A9718904-1848-46F1-B73D-2304982A59CF}" name="Column7500"/>
    <tableColumn id="7532" xr3:uid="{6F7E2DFE-CDB3-4D4C-A4F8-0ABA2E38F7F1}" name="Column7501"/>
    <tableColumn id="7533" xr3:uid="{B48BE04C-E192-4B1F-AE3F-8753FD92FC67}" name="Column7502"/>
    <tableColumn id="7534" xr3:uid="{F03C7E3A-9304-4BED-B81B-32411CB06370}" name="Column7503"/>
    <tableColumn id="7535" xr3:uid="{4B1E3C16-B3D1-4AD6-8338-8912C4911662}" name="Column7504"/>
    <tableColumn id="7536" xr3:uid="{C38ADACC-FA1E-438E-AA76-8F6AEBBC8DEE}" name="Column7505"/>
    <tableColumn id="7537" xr3:uid="{3623AC54-7F2C-4F7F-A502-FE6108731D56}" name="Column7506"/>
    <tableColumn id="7538" xr3:uid="{B0F9A831-7BD2-4FEA-BAD1-DB5EA976B9C9}" name="Column7507"/>
    <tableColumn id="7539" xr3:uid="{A76FF44A-02D2-413B-B381-1C38244BC59E}" name="Column7508"/>
    <tableColumn id="7540" xr3:uid="{FC14F240-8370-409A-9668-DA1EEACDFBE4}" name="Column7509"/>
    <tableColumn id="7541" xr3:uid="{EE7CE062-B3DA-4971-B2A5-1A00D7F7123C}" name="Column7510"/>
    <tableColumn id="7542" xr3:uid="{CCE27996-B8B4-4577-9F06-1CBD6F3D3ECF}" name="Column7511"/>
    <tableColumn id="7543" xr3:uid="{B14C942D-B4BD-4DA6-B438-176885BD36C4}" name="Column7512"/>
    <tableColumn id="7544" xr3:uid="{BBB3D52E-44FF-4CFF-B2F7-1F27B2C581C9}" name="Column7513"/>
    <tableColumn id="7545" xr3:uid="{62E73378-6864-41D7-B936-AD47872E4818}" name="Column7514"/>
    <tableColumn id="7546" xr3:uid="{D91D1056-A932-4A9C-B6DD-16B3D44F87A6}" name="Column7515"/>
    <tableColumn id="7547" xr3:uid="{C8289D2C-708A-474C-8C24-2A4165316B78}" name="Column7516"/>
    <tableColumn id="7548" xr3:uid="{38CC0F25-4917-43B8-8589-FD9E67D0945A}" name="Column7517"/>
    <tableColumn id="7549" xr3:uid="{58536953-CEB3-4AED-8332-9668147CCB4A}" name="Column7518"/>
    <tableColumn id="7550" xr3:uid="{4A370D28-BC92-4332-A82C-2E007BB589BA}" name="Column7519"/>
    <tableColumn id="7551" xr3:uid="{AF408592-1A71-454A-AAC7-3F84A27BC935}" name="Column7520"/>
    <tableColumn id="7552" xr3:uid="{62243174-5BA3-47DA-B611-841CC18BFD6C}" name="Column7521"/>
    <tableColumn id="7553" xr3:uid="{62BC8941-284E-4E1F-9AF6-F61D8BE1B1EF}" name="Column7522"/>
    <tableColumn id="7554" xr3:uid="{357982B5-FA29-4CF3-8648-7E859E86A686}" name="Column7523"/>
    <tableColumn id="7555" xr3:uid="{9627A5CA-707E-4D6F-A07F-E2A4E1012CD9}" name="Column7524"/>
    <tableColumn id="7556" xr3:uid="{61BE81BD-4148-4348-A8F3-AA0F8223B430}" name="Column7525"/>
    <tableColumn id="7557" xr3:uid="{322204F6-F787-413A-A7EA-91E562135479}" name="Column7526"/>
    <tableColumn id="7558" xr3:uid="{071CBED8-8FE8-49AA-B3A9-8D8AA531C193}" name="Column7527"/>
    <tableColumn id="7559" xr3:uid="{8D48C89A-0210-4390-8377-E0346C877581}" name="Column7528"/>
    <tableColumn id="7560" xr3:uid="{DF0ADDF9-A676-44E9-AD05-F09A6F96B161}" name="Column7529"/>
    <tableColumn id="7561" xr3:uid="{8862F327-385A-479B-9D1E-FA77D10D2846}" name="Column7530"/>
    <tableColumn id="7562" xr3:uid="{544C6F13-D405-4A18-B917-2417F70BD1BE}" name="Column7531"/>
    <tableColumn id="7563" xr3:uid="{F2F7FD01-E0E0-43D8-89F8-8A18FC05EA5B}" name="Column7532"/>
    <tableColumn id="7564" xr3:uid="{0ADDC554-014C-4C77-AD75-5350D9E057E2}" name="Column7533"/>
    <tableColumn id="7565" xr3:uid="{C6027B9A-D486-475F-B4AB-BF0B257C00BF}" name="Column7534"/>
    <tableColumn id="7566" xr3:uid="{D95C6688-8EBF-498D-954E-6B8AB73E4B92}" name="Column7535"/>
    <tableColumn id="7567" xr3:uid="{C5449308-A675-4B9F-A2CA-252C34A5E753}" name="Column7536"/>
    <tableColumn id="7568" xr3:uid="{0A21552D-F0AD-4185-BC30-0A8E089DED4D}" name="Column7537"/>
    <tableColumn id="7569" xr3:uid="{B8E1B2DC-0E45-4C0D-8BEF-3F1DDB21BAFD}" name="Column7538"/>
    <tableColumn id="7570" xr3:uid="{5D6747E5-2EE5-4C43-BC58-79F9BF256628}" name="Column7539"/>
    <tableColumn id="7571" xr3:uid="{0931C099-04C2-4762-A465-184722D2CCD8}" name="Column7540"/>
    <tableColumn id="7572" xr3:uid="{B16DAE42-97F0-4F6D-B260-F4F09DC35EAA}" name="Column7541"/>
    <tableColumn id="7573" xr3:uid="{AD39140F-90E5-40C9-A09E-FA377B984757}" name="Column7542"/>
    <tableColumn id="7574" xr3:uid="{C63FC6C1-96A4-4018-8E93-D02E1F618E62}" name="Column7543"/>
    <tableColumn id="7575" xr3:uid="{5772F7D0-2F2E-4712-A976-CC3DEE7F233C}" name="Column7544"/>
    <tableColumn id="7576" xr3:uid="{A413C3F9-4A14-4403-8691-C2EA29132C3C}" name="Column7545"/>
    <tableColumn id="7577" xr3:uid="{D9CDA6F5-A3BB-4707-B845-CA94111D4723}" name="Column7546"/>
    <tableColumn id="7578" xr3:uid="{273C188E-CE57-402F-9BE0-DBD147783346}" name="Column7547"/>
    <tableColumn id="7579" xr3:uid="{4E4EB76E-D830-4480-B99C-7B17838D8511}" name="Column7548"/>
    <tableColumn id="7580" xr3:uid="{6A10D000-FC16-4CFE-AAEF-329FF8798795}" name="Column7549"/>
    <tableColumn id="7581" xr3:uid="{D047A60D-7BAD-4841-BDC0-6BDEBB03ADFC}" name="Column7550"/>
    <tableColumn id="7582" xr3:uid="{0DB8D0FD-EAC8-4542-939E-FAFB51B62AF9}" name="Column7551"/>
    <tableColumn id="7583" xr3:uid="{96ADD122-3913-4941-8D03-8A84BAA94976}" name="Column7552"/>
    <tableColumn id="7584" xr3:uid="{2CD50C74-C79E-4C61-92F3-2F652DA7CCDE}" name="Column7553"/>
    <tableColumn id="7585" xr3:uid="{B0A465C4-0703-4D4E-B9A1-FFFD46D07A31}" name="Column7554"/>
    <tableColumn id="7586" xr3:uid="{E74A6717-F860-483D-9395-AEF2E5A03A82}" name="Column7555"/>
    <tableColumn id="7587" xr3:uid="{369E9065-0E7A-416A-9AB2-93F7F11A64FF}" name="Column7556"/>
    <tableColumn id="7588" xr3:uid="{38057929-4DBD-4A22-929E-B04AFFB5E5E1}" name="Column7557"/>
    <tableColumn id="7589" xr3:uid="{A3BC85DA-2560-4CE1-8DAF-AEF66C230775}" name="Column7558"/>
    <tableColumn id="7590" xr3:uid="{5E18905D-D009-4E57-85A9-8734596D4DBB}" name="Column7559"/>
    <tableColumn id="7591" xr3:uid="{87E8A576-AF1B-4AAE-80CC-17E96ADA8CD3}" name="Column7560"/>
    <tableColumn id="7592" xr3:uid="{DEC8E71A-8DA3-41D9-B27A-4214BF5493A9}" name="Column7561"/>
    <tableColumn id="7593" xr3:uid="{C6D8B6C0-20F2-4EA0-9679-A88F41CE08A4}" name="Column7562"/>
    <tableColumn id="7594" xr3:uid="{4986CE58-7C70-4600-8088-4E345A5F5A0D}" name="Column7563"/>
    <tableColumn id="7595" xr3:uid="{08F521DD-F41A-4124-9B41-235E51486832}" name="Column7564"/>
    <tableColumn id="7596" xr3:uid="{D2A4F454-0D10-4327-B534-CBFBCFCE47DD}" name="Column7565"/>
    <tableColumn id="7597" xr3:uid="{3C710A8D-E3E4-4685-95E9-E564F9227D6F}" name="Column7566"/>
    <tableColumn id="7598" xr3:uid="{445E389B-BCCA-4A02-ADA3-F488167B1FE1}" name="Column7567"/>
    <tableColumn id="7599" xr3:uid="{B31B46ED-4970-4F3C-973F-3B91F051B94F}" name="Column7568"/>
    <tableColumn id="7600" xr3:uid="{1EA049C1-C60C-4384-B8B1-D069BEEE8D8D}" name="Column7569"/>
    <tableColumn id="7601" xr3:uid="{02667623-77FC-43C1-9A78-7064402C6FE6}" name="Column7570"/>
    <tableColumn id="7602" xr3:uid="{B62D5297-441D-494E-84F4-2AC10A90D648}" name="Column7571"/>
    <tableColumn id="7603" xr3:uid="{C925008B-B48A-4C68-B710-7D3E29FACC56}" name="Column7572"/>
    <tableColumn id="7604" xr3:uid="{DC083D3C-0D5D-472B-902E-DF4B14722E6C}" name="Column7573"/>
    <tableColumn id="7605" xr3:uid="{BAE7945F-EEB2-4501-A291-02F99E1C08B5}" name="Column7574"/>
    <tableColumn id="7606" xr3:uid="{62568771-5760-443C-86BC-C1B9343F589A}" name="Column7575"/>
    <tableColumn id="7607" xr3:uid="{D9A4476E-4D01-4027-A206-45E2E0F7B052}" name="Column7576"/>
    <tableColumn id="7608" xr3:uid="{83CF4D5D-0302-4BC3-877C-B27CA750C37C}" name="Column7577"/>
    <tableColumn id="7609" xr3:uid="{5F58FEF2-00DF-41C1-9B5B-D13D245DA621}" name="Column7578"/>
    <tableColumn id="7610" xr3:uid="{A194E6A3-649B-4C58-8844-42BC30D45620}" name="Column7579"/>
    <tableColumn id="7611" xr3:uid="{83361E5E-BF9F-4101-A96C-6EB0682E8EB1}" name="Column7580"/>
    <tableColumn id="7612" xr3:uid="{74B7BB4F-155E-415F-A19F-FE15DC0811FB}" name="Column7581"/>
    <tableColumn id="7613" xr3:uid="{293C9F5E-5969-48B4-B25E-3A14380439E0}" name="Column7582"/>
    <tableColumn id="7614" xr3:uid="{B1B2D3ED-9DDF-4DB9-B1E8-4EA2DA5F48BE}" name="Column7583"/>
    <tableColumn id="7615" xr3:uid="{1E9C6A2F-DB0C-44EB-8A49-A13E251BB560}" name="Column7584"/>
    <tableColumn id="7616" xr3:uid="{21F8B294-5D9D-4C99-A308-1A7430EFF123}" name="Column7585"/>
    <tableColumn id="7617" xr3:uid="{E8A3C763-B7B2-47CB-922D-D4852F065874}" name="Column7586"/>
    <tableColumn id="7618" xr3:uid="{09528FBA-E49C-4A42-98B9-FDA9077F7489}" name="Column7587"/>
    <tableColumn id="7619" xr3:uid="{93659E52-267A-4C6D-83A4-BC80FEA24FB9}" name="Column7588"/>
    <tableColumn id="7620" xr3:uid="{B5EBA705-E429-4F55-B33E-229AD2223A4D}" name="Column7589"/>
    <tableColumn id="7621" xr3:uid="{8A491403-AF7F-41F2-B20E-3BA84017608C}" name="Column7590"/>
    <tableColumn id="7622" xr3:uid="{871F43CC-056D-4D4D-A333-452A84C2D06C}" name="Column7591"/>
    <tableColumn id="7623" xr3:uid="{6B7F1B9C-CB77-4C00-B84D-D523E6128E15}" name="Column7592"/>
    <tableColumn id="7624" xr3:uid="{6388D788-D3B9-4C72-B03D-43DE35E53073}" name="Column7593"/>
    <tableColumn id="7625" xr3:uid="{7E338AAA-7430-4927-A8C2-4164F3C8D2C2}" name="Column7594"/>
    <tableColumn id="7626" xr3:uid="{F1291C4D-7FD8-4336-873D-98AAC367F31B}" name="Column7595"/>
    <tableColumn id="7627" xr3:uid="{AE3D874B-971F-4CBD-9D36-842CC265DE98}" name="Column7596"/>
    <tableColumn id="7628" xr3:uid="{2AFA7BF9-5F7D-474D-B389-F7172967F453}" name="Column7597"/>
    <tableColumn id="7629" xr3:uid="{14D62350-C0BF-446B-9D6C-18E482B4285A}" name="Column7598"/>
    <tableColumn id="7630" xr3:uid="{2202F689-1E68-461B-BEEE-07399FF2444B}" name="Column7599"/>
    <tableColumn id="7631" xr3:uid="{3AD72C64-5928-4BE8-9936-0A978EF57DCF}" name="Column7600"/>
    <tableColumn id="7632" xr3:uid="{276235F6-A770-42B1-93EC-30D06BD5BDA2}" name="Column7601"/>
    <tableColumn id="7633" xr3:uid="{E9ECB92A-7910-4BAA-BF19-08276B6FDABC}" name="Column7602"/>
    <tableColumn id="7634" xr3:uid="{DF46A1B4-666F-4745-9759-59C02151E803}" name="Column7603"/>
    <tableColumn id="7635" xr3:uid="{4A536CC0-4A0E-4DDA-B156-B4D1636CEDF5}" name="Column7604"/>
    <tableColumn id="7636" xr3:uid="{8836C5A7-25D8-4C52-8AA0-38E1E754E10F}" name="Column7605"/>
    <tableColumn id="7637" xr3:uid="{223C34CE-0629-40B5-BA3F-F124705EB338}" name="Column7606"/>
    <tableColumn id="7638" xr3:uid="{A3712400-B56D-4098-90D5-1BA6F7BDD6DB}" name="Column7607"/>
    <tableColumn id="7639" xr3:uid="{3732FC28-CEF5-464A-8524-EEF0C00DA1BA}" name="Column7608"/>
    <tableColumn id="7640" xr3:uid="{06D404A2-BB70-4E38-BC33-3E5B7B963DC3}" name="Column7609"/>
    <tableColumn id="7641" xr3:uid="{FA9F2A3A-1C08-4E9D-9E0D-0FCCDEFF690E}" name="Column7610"/>
    <tableColumn id="7642" xr3:uid="{ADABFB61-217A-43D9-A2CD-C9A39A8164D4}" name="Column7611"/>
    <tableColumn id="7643" xr3:uid="{E0E58C4A-3DB7-4CE9-8453-338C19D0EC67}" name="Column7612"/>
    <tableColumn id="7644" xr3:uid="{1E1C4630-5502-4EAA-AC95-D4F45213E3A9}" name="Column7613"/>
    <tableColumn id="7645" xr3:uid="{7BC314C3-239E-4830-8930-181B4B60D12D}" name="Column7614"/>
    <tableColumn id="7646" xr3:uid="{E661FC72-A901-4CC4-BF33-62430C353829}" name="Column7615"/>
    <tableColumn id="7647" xr3:uid="{072EBCF1-7B18-4EFB-A1D0-41950C4E73C4}" name="Column7616"/>
    <tableColumn id="7648" xr3:uid="{48B6D02B-F79C-4175-B8A8-1F42428CAD89}" name="Column7617"/>
    <tableColumn id="7649" xr3:uid="{6E2A8227-5259-4990-B837-ED41604E8B4C}" name="Column7618"/>
    <tableColumn id="7650" xr3:uid="{8BE46907-AD62-4429-A531-717CFEAE41AB}" name="Column7619"/>
    <tableColumn id="7651" xr3:uid="{E66A1707-2865-480F-8CA5-8820ECDD95A2}" name="Column7620"/>
    <tableColumn id="7652" xr3:uid="{0F948338-AAB2-419E-AD1E-CCC8177FC14E}" name="Column7621"/>
    <tableColumn id="7653" xr3:uid="{CB7F537B-13A9-4D94-AC3A-ADA52A8EA730}" name="Column7622"/>
    <tableColumn id="7654" xr3:uid="{A79C90A5-5434-4D97-A25A-67E8FAFBB6BF}" name="Column7623"/>
    <tableColumn id="7655" xr3:uid="{855C6D4D-ABF9-4057-8345-10571AC3A4F1}" name="Column7624"/>
    <tableColumn id="7656" xr3:uid="{D8D8F1D1-A3B3-4964-9AB9-97606BDC1D4A}" name="Column7625"/>
    <tableColumn id="7657" xr3:uid="{CC08123C-2E09-45D6-8419-CAAA6E3A6332}" name="Column7626"/>
    <tableColumn id="7658" xr3:uid="{A4AAEB1A-BAEF-4A9C-A902-4726B70467E1}" name="Column7627"/>
    <tableColumn id="7659" xr3:uid="{C3BBF662-7C03-4A53-9E5E-7C8FA8300857}" name="Column7628"/>
    <tableColumn id="7660" xr3:uid="{BDBEF20A-74D9-42EF-A930-6AD2EAB49520}" name="Column7629"/>
    <tableColumn id="7661" xr3:uid="{55CE273D-9B93-41C6-8F68-18FFC809B03A}" name="Column7630"/>
    <tableColumn id="7662" xr3:uid="{59BCDBB1-2F64-4449-ABF2-2E4F20FEDD1A}" name="Column7631"/>
    <tableColumn id="7663" xr3:uid="{F7A6CEFA-3FB7-43C6-820B-99781748D03A}" name="Column7632"/>
    <tableColumn id="7664" xr3:uid="{19C2A0CB-7217-4D4D-A199-1404F861D5A4}" name="Column7633"/>
    <tableColumn id="7665" xr3:uid="{AF1DE129-9266-4DB1-B83E-71C228815E3B}" name="Column7634"/>
    <tableColumn id="7666" xr3:uid="{94F32263-76AF-4C85-875A-D97A2619237E}" name="Column7635"/>
    <tableColumn id="7667" xr3:uid="{FBB1F412-B166-4606-9EBB-0BD99C4180C8}" name="Column7636"/>
    <tableColumn id="7668" xr3:uid="{97896BEB-6385-4490-B2AD-B1ABAC67A208}" name="Column7637"/>
    <tableColumn id="7669" xr3:uid="{70E5D197-E03B-4FCD-8D77-DA70D1EE3F29}" name="Column7638"/>
    <tableColumn id="7670" xr3:uid="{17A58C53-C8E0-42F2-9EA5-EA879A458FDA}" name="Column7639"/>
    <tableColumn id="7671" xr3:uid="{3F265C3D-623D-40EB-9D31-1A661F45C79F}" name="Column7640"/>
    <tableColumn id="7672" xr3:uid="{F257232A-5F98-475C-87E4-B38B2B349E99}" name="Column7641"/>
    <tableColumn id="7673" xr3:uid="{B0BDCC59-B50F-4251-9103-21B7EBAACCB8}" name="Column7642"/>
    <tableColumn id="7674" xr3:uid="{D8AF03BB-CD45-49D4-845C-D7A6C251524D}" name="Column7643"/>
    <tableColumn id="7675" xr3:uid="{CE3BFDF5-4A24-45ED-B31A-569B789952F0}" name="Column7644"/>
    <tableColumn id="7676" xr3:uid="{ED011DE7-1B1A-44A4-8A1C-04033C06A775}" name="Column7645"/>
    <tableColumn id="7677" xr3:uid="{DC0B3621-57C3-4301-9BDC-70AEE2768D96}" name="Column7646"/>
    <tableColumn id="7678" xr3:uid="{64719879-59FE-4BC7-A4C6-573FCC13A4BD}" name="Column7647"/>
    <tableColumn id="7679" xr3:uid="{E5A1913F-CB2D-4759-8FD8-90DDFB9729CD}" name="Column7648"/>
    <tableColumn id="7680" xr3:uid="{8FF4F803-C380-499C-BA1A-B0322C07BC62}" name="Column7649"/>
    <tableColumn id="7681" xr3:uid="{ACA06540-A1C1-4DC7-9C9E-8574DC1106C6}" name="Column7650"/>
    <tableColumn id="7682" xr3:uid="{51E4CA8B-7729-4411-8D64-BB13B4D060EE}" name="Column7651"/>
    <tableColumn id="7683" xr3:uid="{B0E8998C-E0C6-4E4E-88CF-617DE9EEC096}" name="Column7652"/>
    <tableColumn id="7684" xr3:uid="{12DF7E2C-1619-4381-B561-1B6F34456983}" name="Column7653"/>
    <tableColumn id="7685" xr3:uid="{4717564F-E631-410A-90CD-73FA17B9BAA0}" name="Column7654"/>
    <tableColumn id="7686" xr3:uid="{9B98537B-4917-4B13-9D4F-A23CF9916ADF}" name="Column7655"/>
    <tableColumn id="7687" xr3:uid="{9A34C948-EFAC-4107-ACF3-9CC7ED12D930}" name="Column7656"/>
    <tableColumn id="7688" xr3:uid="{A1CA7959-7A35-4786-9430-9150FF59C0A8}" name="Column7657"/>
    <tableColumn id="7689" xr3:uid="{D0019459-F374-4E0B-80C6-171E2CA09448}" name="Column7658"/>
    <tableColumn id="7690" xr3:uid="{365E121A-E905-42A4-B447-BEEE7D356EBA}" name="Column7659"/>
    <tableColumn id="7691" xr3:uid="{9D932E2F-1D40-4737-BE7F-3E5ED45BE5C6}" name="Column7660"/>
    <tableColumn id="7692" xr3:uid="{FB520A6B-1B04-4AF0-A5B5-2EB1A638E2E7}" name="Column7661"/>
    <tableColumn id="7693" xr3:uid="{10AB8D36-385B-4A79-9822-16FB395F9924}" name="Column7662"/>
    <tableColumn id="7694" xr3:uid="{A3DFE600-25DD-4371-93D2-A6D6ED6CA4E8}" name="Column7663"/>
    <tableColumn id="7695" xr3:uid="{96694663-3176-4098-8CE5-012C9DD030AF}" name="Column7664"/>
    <tableColumn id="7696" xr3:uid="{4945D5F5-079D-44F2-AFDE-31A89D53A082}" name="Column7665"/>
    <tableColumn id="7697" xr3:uid="{45ABD88F-8FA8-4EF5-BDB7-17C0DC8B3BD5}" name="Column7666"/>
    <tableColumn id="7698" xr3:uid="{BD207F59-3FDC-4E33-A824-45CA1EAA137C}" name="Column7667"/>
    <tableColumn id="7699" xr3:uid="{5504C6EE-CB15-47E0-B35F-98D70FB69974}" name="Column7668"/>
    <tableColumn id="7700" xr3:uid="{E94E67CB-725F-4092-A3F3-E572DDC209D2}" name="Column7669"/>
    <tableColumn id="7701" xr3:uid="{A236DD1B-ABA4-432C-AE03-049C37F87220}" name="Column7670"/>
    <tableColumn id="7702" xr3:uid="{8ECDAE11-51DE-4628-B26D-FC77F1DE665D}" name="Column7671"/>
    <tableColumn id="7703" xr3:uid="{9C5EEB24-1E46-44F0-9085-AE4E27ED337B}" name="Column7672"/>
    <tableColumn id="7704" xr3:uid="{744DB017-2908-42F4-BBC4-3F66134B4177}" name="Column7673"/>
    <tableColumn id="7705" xr3:uid="{8B595BF9-F45F-4FCE-AC71-ADDC19FEAC21}" name="Column7674"/>
    <tableColumn id="7706" xr3:uid="{88F584AB-AE3D-40D2-AC5E-6121E7F8C4C7}" name="Column7675"/>
    <tableColumn id="7707" xr3:uid="{5DD072A8-499B-4FAF-BA0C-14DF5914A66E}" name="Column7676"/>
    <tableColumn id="7708" xr3:uid="{2C103FDE-1EC8-46DA-8886-3F5444452EAE}" name="Column7677"/>
    <tableColumn id="7709" xr3:uid="{85C7F694-8EDB-4CC5-852A-88B47AB636FB}" name="Column7678"/>
    <tableColumn id="7710" xr3:uid="{FC9C3951-BC59-4104-81CF-AE942BCB66B6}" name="Column7679"/>
    <tableColumn id="7711" xr3:uid="{E2BF2ECA-D45F-46EB-833B-7052A6F76F48}" name="Column7680"/>
    <tableColumn id="7712" xr3:uid="{F9B16C2F-A3A5-481E-BF63-CE4CBBBEBA30}" name="Column7681"/>
    <tableColumn id="7713" xr3:uid="{D1C1EE1C-8BF8-418D-810A-D74B4C3542BF}" name="Column7682"/>
    <tableColumn id="7714" xr3:uid="{EF45A2A9-CAE8-4249-BC7D-8D584B66A88B}" name="Column7683"/>
    <tableColumn id="7715" xr3:uid="{F9496279-4E7B-42FE-81EF-9D2B9E7A68F0}" name="Column7684"/>
    <tableColumn id="7716" xr3:uid="{0EAA4E87-7E45-49A4-BBCD-4ED04A4C217F}" name="Column7685"/>
    <tableColumn id="7717" xr3:uid="{79DE8F33-6C99-4058-8F6F-B163C911B1C6}" name="Column7686"/>
    <tableColumn id="7718" xr3:uid="{EB606318-03B4-451B-BF00-4E5060563043}" name="Column7687"/>
    <tableColumn id="7719" xr3:uid="{5D712F49-1637-45AB-8C17-FA3FF465E4D1}" name="Column7688"/>
    <tableColumn id="7720" xr3:uid="{A52B9C26-7610-4B4C-9BD9-DFDA0B46B631}" name="Column7689"/>
    <tableColumn id="7721" xr3:uid="{A8AD80FB-21E1-4F71-9B59-9C549480618F}" name="Column7690"/>
    <tableColumn id="7722" xr3:uid="{3446590F-2152-4E87-AC7F-5956A311EBBD}" name="Column7691"/>
    <tableColumn id="7723" xr3:uid="{2F3F9A27-029C-48A3-B872-A8043B674FF7}" name="Column7692"/>
    <tableColumn id="7724" xr3:uid="{1FBB09D6-2FF7-41BE-8153-89C4FFDA2FC8}" name="Column7693"/>
    <tableColumn id="7725" xr3:uid="{A881D777-D7F1-4E68-B5DF-3F76D0D63BA4}" name="Column7694"/>
    <tableColumn id="7726" xr3:uid="{2E6EAE97-9442-442D-BA54-2BEF198A8E58}" name="Column7695"/>
    <tableColumn id="7727" xr3:uid="{D123E62F-0DE9-460D-A7AA-F4F2F9F2EF2F}" name="Column7696"/>
    <tableColumn id="7728" xr3:uid="{F882146E-F362-41A0-9244-084A33F162EB}" name="Column7697"/>
    <tableColumn id="7729" xr3:uid="{1C5509EA-98D9-448E-8C30-9EC8D95F0E12}" name="Column7698"/>
    <tableColumn id="7730" xr3:uid="{327F1A8A-5B0C-4447-A105-41FD462AB6C9}" name="Column7699"/>
    <tableColumn id="7731" xr3:uid="{0761EE50-6792-4059-926B-F0EA61CAE9C5}" name="Column7700"/>
    <tableColumn id="7732" xr3:uid="{5D8960DA-1F60-425C-B336-652397D96182}" name="Column7701"/>
    <tableColumn id="7733" xr3:uid="{448525D0-9152-444B-8FB3-24478170C4DB}" name="Column7702"/>
    <tableColumn id="7734" xr3:uid="{5759912A-8B10-42EB-ABAC-EDDA0D44D82A}" name="Column7703"/>
    <tableColumn id="7735" xr3:uid="{D7DCF741-33B7-481B-8520-F47E2530A7D4}" name="Column7704"/>
    <tableColumn id="7736" xr3:uid="{CF496B18-576D-4626-BFE1-AEC8109D246C}" name="Column7705"/>
    <tableColumn id="7737" xr3:uid="{13B2BFB4-7269-4E4C-BC51-79566C5AC047}" name="Column7706"/>
    <tableColumn id="7738" xr3:uid="{3F65380B-11E5-470E-B645-32DA088C0009}" name="Column7707"/>
    <tableColumn id="7739" xr3:uid="{7D8E779C-966A-433E-8879-41049BA9841B}" name="Column7708"/>
    <tableColumn id="7740" xr3:uid="{24619CE9-2722-4B9D-BAD1-575F4076DAD9}" name="Column7709"/>
    <tableColumn id="7741" xr3:uid="{51EF6A46-9C24-4FF7-898C-95643080E566}" name="Column7710"/>
    <tableColumn id="7742" xr3:uid="{360217FD-32A8-4EB0-B616-71479544CD06}" name="Column7711"/>
    <tableColumn id="7743" xr3:uid="{A91D3126-6D07-4255-86CE-59BE1412F0A8}" name="Column7712"/>
    <tableColumn id="7744" xr3:uid="{B8BDF737-6714-4A7E-AFD9-E4C24BE2C62E}" name="Column7713"/>
    <tableColumn id="7745" xr3:uid="{27A2516C-3D83-4088-932B-68C2E0F50835}" name="Column7714"/>
    <tableColumn id="7746" xr3:uid="{0B148DCD-5E3D-44A9-A43D-116D3826A2F1}" name="Column7715"/>
    <tableColumn id="7747" xr3:uid="{1B71F2DF-EEEC-4359-970F-46E3A2D519DC}" name="Column7716"/>
    <tableColumn id="7748" xr3:uid="{2A67F47E-3F99-40A1-9E3B-6990796415EB}" name="Column7717"/>
    <tableColumn id="7749" xr3:uid="{AE702DBB-FDE8-4D93-A29A-8F0A21926465}" name="Column7718"/>
    <tableColumn id="7750" xr3:uid="{AE656012-6BF7-4419-A2AB-5F36E1F32F36}" name="Column7719"/>
    <tableColumn id="7751" xr3:uid="{8AA916C5-CE4F-43A6-8C02-DF8E8563DF0F}" name="Column7720"/>
    <tableColumn id="7752" xr3:uid="{2DB8C351-DD9A-4702-B08F-F3D013D2EFDE}" name="Column7721"/>
    <tableColumn id="7753" xr3:uid="{31682381-2C5C-4036-AF47-FEC2D3EF2510}" name="Column7722"/>
    <tableColumn id="7754" xr3:uid="{B7A1D4C1-C7B6-4EBA-80F2-41304F74C3B9}" name="Column7723"/>
    <tableColumn id="7755" xr3:uid="{01F24A39-20E6-42D6-8A18-661347264CBD}" name="Column7724"/>
    <tableColumn id="7756" xr3:uid="{CB994C27-B2A7-49B8-9372-291AD1128DE2}" name="Column7725"/>
    <tableColumn id="7757" xr3:uid="{F32D274A-E87F-426F-A141-1DE9FA565444}" name="Column7726"/>
    <tableColumn id="7758" xr3:uid="{AF823DD1-251B-4CD7-AB42-480730119251}" name="Column7727"/>
    <tableColumn id="7759" xr3:uid="{8E1A10E0-5CDB-4E3B-A9E3-9EC978DCDF31}" name="Column7728"/>
    <tableColumn id="7760" xr3:uid="{CA3F9954-C91A-4FB9-AE49-362E8CDC9C0A}" name="Column7729"/>
    <tableColumn id="7761" xr3:uid="{4D8942EE-A00C-47A2-9E60-BEB26135FC5D}" name="Column7730"/>
    <tableColumn id="7762" xr3:uid="{2D81BF74-D685-4C39-9235-5C56FBEF8345}" name="Column7731"/>
    <tableColumn id="7763" xr3:uid="{F45F7EDA-79C5-4EF9-90C0-98A7DF276635}" name="Column7732"/>
    <tableColumn id="7764" xr3:uid="{1C2011C2-6423-4CB7-9D05-8896EFF7E112}" name="Column7733"/>
    <tableColumn id="7765" xr3:uid="{BF01CB73-30CB-4906-B8CF-E20A31AFD163}" name="Column7734"/>
    <tableColumn id="7766" xr3:uid="{06EA69E2-6F6A-4B6F-B8CE-1B5281D09DAE}" name="Column7735"/>
    <tableColumn id="7767" xr3:uid="{82013351-D98D-408B-A0F9-A28D7B58D08E}" name="Column7736"/>
    <tableColumn id="7768" xr3:uid="{1499073F-E802-443E-BDC2-685C38F21CAA}" name="Column7737"/>
    <tableColumn id="7769" xr3:uid="{F76A3379-7FC5-441B-ABD0-5636E48F7D6C}" name="Column7738"/>
    <tableColumn id="7770" xr3:uid="{FDF4C5BA-6504-48E4-BAAC-09F95624EDED}" name="Column7739"/>
    <tableColumn id="7771" xr3:uid="{DF72AE3A-AD02-4FAE-A9DA-E7D26C18F2F1}" name="Column7740"/>
    <tableColumn id="7772" xr3:uid="{36D66F8C-F699-4811-9BF0-674C67689E8F}" name="Column7741"/>
    <tableColumn id="7773" xr3:uid="{8098169A-F1D9-4C33-942A-D9F43B1CB3A0}" name="Column7742"/>
    <tableColumn id="7774" xr3:uid="{10051B98-33E7-4E71-8981-1E4A02E919CD}" name="Column7743"/>
    <tableColumn id="7775" xr3:uid="{A62C7C6B-C2C3-4B6B-9F05-9ADFBEE954CB}" name="Column7744"/>
    <tableColumn id="7776" xr3:uid="{79FBF0ED-99F1-4DF8-AD82-95EAAA22A1BA}" name="Column7745"/>
    <tableColumn id="7777" xr3:uid="{5D495DC3-9EDC-47FA-9079-241DEC4A5713}" name="Column7746"/>
    <tableColumn id="7778" xr3:uid="{820C3DA5-AACF-40F2-9B69-8FE56D331C04}" name="Column7747"/>
    <tableColumn id="7779" xr3:uid="{E91197C1-2B88-46ED-8A27-C233CCDEDBD1}" name="Column7748"/>
    <tableColumn id="7780" xr3:uid="{E2DCFFBE-6385-4637-80E2-2F1EBFC8D1AF}" name="Column7749"/>
    <tableColumn id="7781" xr3:uid="{8814FAF6-2EF9-4DBD-9711-9609B3658444}" name="Column7750"/>
    <tableColumn id="7782" xr3:uid="{5C47289A-DF73-490C-B995-F27D6D48B145}" name="Column7751"/>
    <tableColumn id="7783" xr3:uid="{95840A32-12A9-4A2E-806D-EB82B1064ED4}" name="Column7752"/>
    <tableColumn id="7784" xr3:uid="{3363C4EA-9333-4C7C-9E43-D1D1B3A2A73D}" name="Column7753"/>
    <tableColumn id="7785" xr3:uid="{3C73A624-2118-43E5-8D83-A1E2ACA60979}" name="Column7754"/>
    <tableColumn id="7786" xr3:uid="{4C0F830D-9083-4D2B-BF72-61F9EF513E56}" name="Column7755"/>
    <tableColumn id="7787" xr3:uid="{58298EDE-A194-44B1-AC9D-0627BA88E2CD}" name="Column7756"/>
    <tableColumn id="7788" xr3:uid="{017CD38F-F05C-4330-AC61-ED37769BE168}" name="Column7757"/>
    <tableColumn id="7789" xr3:uid="{9AE95881-F24F-4735-8B7A-2B22E4AE988A}" name="Column7758"/>
    <tableColumn id="7790" xr3:uid="{61882EC9-E1F1-4400-8ECF-B8B7E05E3EEE}" name="Column7759"/>
    <tableColumn id="7791" xr3:uid="{E80079EE-96C2-46F9-9F4B-71C8EC5C3ED6}" name="Column7760"/>
    <tableColumn id="7792" xr3:uid="{19BE9CDD-BAE7-4777-B758-9EBEEC4DB6DE}" name="Column7761"/>
    <tableColumn id="7793" xr3:uid="{4C37E0CE-3344-426D-990C-0045AC408914}" name="Column7762"/>
    <tableColumn id="7794" xr3:uid="{C66BE139-7974-4E59-9641-CF2F3C9086E8}" name="Column7763"/>
    <tableColumn id="7795" xr3:uid="{14661BB5-7033-43CB-8B8E-891B1A0A9E04}" name="Column7764"/>
    <tableColumn id="7796" xr3:uid="{735F785E-AC96-4478-BF47-A8BA7BD20391}" name="Column7765"/>
    <tableColumn id="7797" xr3:uid="{F1FC9226-4BCE-4954-A7DB-15C05C1A52BA}" name="Column7766"/>
    <tableColumn id="7798" xr3:uid="{71D98D7F-77DE-4DC0-93FD-A33B509A7393}" name="Column7767"/>
    <tableColumn id="7799" xr3:uid="{4CF2A153-A034-4DCB-AD99-A78ABD2D8CCD}" name="Column7768"/>
    <tableColumn id="7800" xr3:uid="{3D1C8BE2-CAB6-41E5-887E-82A3D9589C03}" name="Column7769"/>
    <tableColumn id="7801" xr3:uid="{D41BF876-9135-4167-8A07-AA9431135177}" name="Column7770"/>
    <tableColumn id="7802" xr3:uid="{AD4FB469-B294-4E19-8CC8-2756A43BE203}" name="Column7771"/>
    <tableColumn id="7803" xr3:uid="{507386D4-6E89-4D43-B1C1-E709C617E43F}" name="Column7772"/>
    <tableColumn id="7804" xr3:uid="{6D344539-EBD7-4264-97B9-C506DDDDA3A7}" name="Column7773"/>
    <tableColumn id="7805" xr3:uid="{525E497B-4798-4CF3-A26E-4D25052B8BB0}" name="Column7774"/>
    <tableColumn id="7806" xr3:uid="{5991CC20-8D4E-449D-826D-338B48E247DD}" name="Column7775"/>
    <tableColumn id="7807" xr3:uid="{04CA082C-58EF-4200-A14C-C4C388D3DE98}" name="Column7776"/>
    <tableColumn id="7808" xr3:uid="{925BC7CC-1F38-4C00-9C6D-DE6B4DB20B16}" name="Column7777"/>
    <tableColumn id="7809" xr3:uid="{4EB49C79-98B1-40FF-B41E-68EDB4C34F2C}" name="Column7778"/>
    <tableColumn id="7810" xr3:uid="{175F0B0F-9F55-47F9-A9FE-CC9A31E7383B}" name="Column7779"/>
    <tableColumn id="7811" xr3:uid="{9BF17126-A41E-46AE-80DD-5AF04DD78C6C}" name="Column7780"/>
    <tableColumn id="7812" xr3:uid="{B254A33A-6F3E-427F-A281-38A5B2603BD2}" name="Column7781"/>
    <tableColumn id="7813" xr3:uid="{4A469D3B-24AA-4409-9E14-66F466279FE2}" name="Column7782"/>
    <tableColumn id="7814" xr3:uid="{C37F9E3D-00F0-46B0-9F93-66F4875BAB38}" name="Column7783"/>
    <tableColumn id="7815" xr3:uid="{195A63FB-1637-456E-A7E7-D9753BF02EFA}" name="Column7784"/>
    <tableColumn id="7816" xr3:uid="{26CB7672-FE95-4A82-B54F-F2EF95B83DBA}" name="Column7785"/>
    <tableColumn id="7817" xr3:uid="{B01CCDEC-C577-4193-8C19-4E8697D7ABCA}" name="Column7786"/>
    <tableColumn id="7818" xr3:uid="{EBE3F3EF-DDC1-415E-B26C-004BDD8B7523}" name="Column7787"/>
    <tableColumn id="7819" xr3:uid="{B1CC3C8E-9AD4-4BE2-A49D-C3292B66B5B5}" name="Column7788"/>
    <tableColumn id="7820" xr3:uid="{345351CC-BE29-4898-B87A-CFBB452BFD23}" name="Column7789"/>
    <tableColumn id="7821" xr3:uid="{A19E9F81-88B2-40F3-926B-BEA9C8F53037}" name="Column7790"/>
    <tableColumn id="7822" xr3:uid="{5891680E-C5D7-49CA-882E-91E2FE8E047A}" name="Column7791"/>
    <tableColumn id="7823" xr3:uid="{F7FE944E-FDBE-46C3-853F-6393F19FD4ED}" name="Column7792"/>
    <tableColumn id="7824" xr3:uid="{35CC99BC-217F-4AA7-957F-A72B8CEB195B}" name="Column7793"/>
    <tableColumn id="7825" xr3:uid="{1DCCA9E8-7E5E-43BD-91E1-8C4EABED4C66}" name="Column7794"/>
    <tableColumn id="7826" xr3:uid="{D0A31748-9A6C-408E-A95B-2CC4A57E46E6}" name="Column7795"/>
    <tableColumn id="7827" xr3:uid="{3546B196-5F74-40F1-86B7-88493FD8DDE9}" name="Column7796"/>
    <tableColumn id="7828" xr3:uid="{CDF9637B-E12E-481C-91E6-A17D2109773E}" name="Column7797"/>
    <tableColumn id="7829" xr3:uid="{BA3D2B45-B6CD-413B-BA9A-19ADF4C704DC}" name="Column7798"/>
    <tableColumn id="7830" xr3:uid="{8920760E-9370-4A75-A614-6FCCF5F233C9}" name="Column7799"/>
    <tableColumn id="7831" xr3:uid="{76A71D91-DC57-406F-AFAE-4E924E1897BA}" name="Column7800"/>
    <tableColumn id="7832" xr3:uid="{BCB3E4D7-3F26-4FBB-8946-DFAEB66AEA2D}" name="Column7801"/>
    <tableColumn id="7833" xr3:uid="{BA83A592-2327-42E1-84AD-7BF2528FC232}" name="Column7802"/>
    <tableColumn id="7834" xr3:uid="{E1FC4A1E-9932-417D-B449-455A128AAFFB}" name="Column7803"/>
    <tableColumn id="7835" xr3:uid="{8FB18EFA-E971-4FF2-A9D6-E48F1AB71A08}" name="Column7804"/>
    <tableColumn id="7836" xr3:uid="{BE221D80-ED8C-4427-A2C1-C80D18408789}" name="Column7805"/>
    <tableColumn id="7837" xr3:uid="{090ABE6F-2F41-47C2-BABC-A3DF8B73CE52}" name="Column7806"/>
    <tableColumn id="7838" xr3:uid="{E2ECCE31-4AD7-4FF7-B5C3-10FC6C52D508}" name="Column7807"/>
    <tableColumn id="7839" xr3:uid="{B59EE8B5-046A-4395-8101-572960CEAB1C}" name="Column7808"/>
    <tableColumn id="7840" xr3:uid="{8911E12C-1C64-4109-A39A-11A6965850F7}" name="Column7809"/>
    <tableColumn id="7841" xr3:uid="{87D23F42-2CF3-4CDD-AEA5-9B82566517F8}" name="Column7810"/>
    <tableColumn id="7842" xr3:uid="{026FBD68-0186-439E-AD09-C31199CD9B4A}" name="Column7811"/>
    <tableColumn id="7843" xr3:uid="{93B645C8-096B-4B49-BEDE-1185ADA78FB3}" name="Column7812"/>
    <tableColumn id="7844" xr3:uid="{0CA1FE60-F335-48E1-8BF2-4029221D4289}" name="Column7813"/>
    <tableColumn id="7845" xr3:uid="{A4F41B27-8E7B-48F6-801F-DC48249D4C46}" name="Column7814"/>
    <tableColumn id="7846" xr3:uid="{8DC61AE7-A684-4B1A-B3A4-86F906F523B5}" name="Column7815"/>
    <tableColumn id="7847" xr3:uid="{5078A1FD-2E84-4CE3-8C54-848F7240A1A6}" name="Column7816"/>
    <tableColumn id="7848" xr3:uid="{D6233833-56C9-4968-83BD-20C9D6B02537}" name="Column7817"/>
    <tableColumn id="7849" xr3:uid="{1D694441-8050-4021-8065-5171D3B421D2}" name="Column7818"/>
    <tableColumn id="7850" xr3:uid="{9ED67D5C-940F-4761-BEEC-8A9670A2B112}" name="Column7819"/>
    <tableColumn id="7851" xr3:uid="{3DAECF60-7CAA-48C3-BC7C-C07D00B4DE9F}" name="Column7820"/>
    <tableColumn id="7852" xr3:uid="{3B454E8A-95B8-4146-B227-F8C6C8EAA146}" name="Column7821"/>
    <tableColumn id="7853" xr3:uid="{8BB1C0BD-97E7-4E19-AC63-4B0DDB2F8E04}" name="Column7822"/>
    <tableColumn id="7854" xr3:uid="{236AFB73-2D11-4194-85F7-DC48B1CAC00F}" name="Column7823"/>
    <tableColumn id="7855" xr3:uid="{88D06676-78C8-4FD6-ABC5-7099027FD51D}" name="Column7824"/>
    <tableColumn id="7856" xr3:uid="{DBFE3EC5-7CC8-4333-B1A9-DA73E4147A9B}" name="Column7825"/>
    <tableColumn id="7857" xr3:uid="{1F38F95E-4AB0-436A-A8E9-509ED658A06E}" name="Column7826"/>
    <tableColumn id="7858" xr3:uid="{9BACECA2-DA86-4E6A-9393-96728D95FA2B}" name="Column7827"/>
    <tableColumn id="7859" xr3:uid="{76FCF4D0-F9C3-45C2-B525-B892A977E674}" name="Column7828"/>
    <tableColumn id="7860" xr3:uid="{0D72D9BD-9DD9-42CC-9623-D2287C3BD35A}" name="Column7829"/>
    <tableColumn id="7861" xr3:uid="{0CCD7D64-9122-4F30-83DA-8EE0D49F3E05}" name="Column7830"/>
    <tableColumn id="7862" xr3:uid="{55887F0B-D14C-4BC8-BCF6-E99EC416A159}" name="Column7831"/>
    <tableColumn id="7863" xr3:uid="{3F102D81-24AA-4BB4-9905-9DCA9F731D50}" name="Column7832"/>
    <tableColumn id="7864" xr3:uid="{9AA7F3EF-4E1A-4B3B-A58F-C60F93F4E655}" name="Column7833"/>
    <tableColumn id="7865" xr3:uid="{3BBADD79-255D-480F-83FC-0E521C5F6B01}" name="Column7834"/>
    <tableColumn id="7866" xr3:uid="{D275022F-8F0E-4997-BA00-79C593E00E04}" name="Column7835"/>
    <tableColumn id="7867" xr3:uid="{274D4A2E-06EB-4606-A613-9C2BF7934D16}" name="Column7836"/>
    <tableColumn id="7868" xr3:uid="{0E473566-0D11-4B1D-9028-DE27131D99A5}" name="Column7837"/>
    <tableColumn id="7869" xr3:uid="{F38B0BCE-F9C6-4EAD-91D5-11D109050297}" name="Column7838"/>
    <tableColumn id="7870" xr3:uid="{278A796A-B599-488E-B027-649D4B7747BB}" name="Column7839"/>
    <tableColumn id="7871" xr3:uid="{596A7BA2-5C5D-4752-A986-58DF6DC9F501}" name="Column7840"/>
    <tableColumn id="7872" xr3:uid="{DB5C283A-685A-4EAF-8573-3FC9FD715526}" name="Column7841"/>
    <tableColumn id="7873" xr3:uid="{1F0A7A20-440C-4917-BF5F-DCA729393993}" name="Column7842"/>
    <tableColumn id="7874" xr3:uid="{F9854F00-95A7-434D-8438-8826C667B84C}" name="Column7843"/>
    <tableColumn id="7875" xr3:uid="{9AE5FB5C-FD0A-4764-A825-EE572B423176}" name="Column7844"/>
    <tableColumn id="7876" xr3:uid="{A3BAD064-56E5-4E10-80A7-3552D6342619}" name="Column7845"/>
    <tableColumn id="7877" xr3:uid="{B0AA5E40-AAFE-43CC-A572-C55BB021CE63}" name="Column7846"/>
    <tableColumn id="7878" xr3:uid="{825784D0-334D-4A13-BB66-9F1DC5A366B3}" name="Column7847"/>
    <tableColumn id="7879" xr3:uid="{C975A1C9-3551-413F-8C65-2F3DF81749E8}" name="Column7848"/>
    <tableColumn id="7880" xr3:uid="{43FB08D6-76E3-422C-AD93-0646EAE5AFAD}" name="Column7849"/>
    <tableColumn id="7881" xr3:uid="{5C00987E-9B25-4C5A-9CC0-B037A99ACF55}" name="Column7850"/>
    <tableColumn id="7882" xr3:uid="{5B24BDF1-C906-4FB3-B8C1-C7131723ECF4}" name="Column7851"/>
    <tableColumn id="7883" xr3:uid="{8BECD959-3E87-4576-928F-E0BBDD4426E2}" name="Column7852"/>
    <tableColumn id="7884" xr3:uid="{B2D04812-7258-46C9-9E0A-041D044833F1}" name="Column7853"/>
    <tableColumn id="7885" xr3:uid="{1D88C203-938A-4536-8731-13653592858E}" name="Column7854"/>
    <tableColumn id="7886" xr3:uid="{E7B9E4B4-1C51-4CEF-8F14-FBE72A09FA55}" name="Column7855"/>
    <tableColumn id="7887" xr3:uid="{76E078E9-B418-4AA7-9732-51F49652AB7B}" name="Column7856"/>
    <tableColumn id="7888" xr3:uid="{1008028B-797D-4C17-A03D-D2718C9F18FA}" name="Column7857"/>
    <tableColumn id="7889" xr3:uid="{D7E68E4C-FD3F-4C02-B12F-DECDC2BBAC7A}" name="Column7858"/>
    <tableColumn id="7890" xr3:uid="{9188227D-9878-4C3A-9B44-89464006E403}" name="Column7859"/>
    <tableColumn id="7891" xr3:uid="{A2BA67C7-5D86-44BA-8204-5EF6F45216BC}" name="Column7860"/>
    <tableColumn id="7892" xr3:uid="{706EB045-AC57-4682-B059-5A9314778415}" name="Column7861"/>
    <tableColumn id="7893" xr3:uid="{E59664E7-BB16-428D-A5B5-31FCE2516F50}" name="Column7862"/>
    <tableColumn id="7894" xr3:uid="{D4DC0BB6-AD20-40B0-9460-1343C6EFBB83}" name="Column7863"/>
    <tableColumn id="7895" xr3:uid="{0B1E9409-38E9-443C-9148-DBC45957CDD3}" name="Column7864"/>
    <tableColumn id="7896" xr3:uid="{5B29CDC9-5EAA-4B79-80D6-6A42518AA26E}" name="Column7865"/>
    <tableColumn id="7897" xr3:uid="{D10DE4B4-424B-4286-8A2C-FE9FC1C030B4}" name="Column7866"/>
    <tableColumn id="7898" xr3:uid="{9D22FD67-62E1-499E-8BD2-34DAC3A292C9}" name="Column7867"/>
    <tableColumn id="7899" xr3:uid="{BAACD049-7080-4E52-A8CE-98ED19C76185}" name="Column7868"/>
    <tableColumn id="7900" xr3:uid="{60FC8F34-D686-4F29-AA27-52BE86E2A823}" name="Column7869"/>
    <tableColumn id="7901" xr3:uid="{4CEDD8DE-9310-4E3B-85D1-672BC7827814}" name="Column7870"/>
    <tableColumn id="7902" xr3:uid="{6DF32A64-D297-4918-A506-D0D51D6BABB8}" name="Column7871"/>
    <tableColumn id="7903" xr3:uid="{57C5DDF3-5B90-469C-9979-9F0260DF0637}" name="Column7872"/>
    <tableColumn id="7904" xr3:uid="{AE4A8DB8-F71B-41F6-AC7D-463709F38427}" name="Column7873"/>
    <tableColumn id="7905" xr3:uid="{0C08B333-90F9-415B-9CC8-D19527293FB9}" name="Column7874"/>
    <tableColumn id="7906" xr3:uid="{BBB01F89-FEBE-47FD-9464-498E41994A35}" name="Column7875"/>
    <tableColumn id="7907" xr3:uid="{D6715A69-2AF3-4111-BC19-E6C738A2B7DD}" name="Column7876"/>
    <tableColumn id="7908" xr3:uid="{893ADF1C-B549-4EBE-8D25-D467E41D7E51}" name="Column7877"/>
    <tableColumn id="7909" xr3:uid="{8E53CDE8-F622-4D2C-A306-68BECC7A9098}" name="Column7878"/>
    <tableColumn id="7910" xr3:uid="{C0E85867-6E96-4498-AA6E-56960FF9A1EF}" name="Column7879"/>
    <tableColumn id="7911" xr3:uid="{6B03B127-C1CA-4335-BD68-524D43D8E92C}" name="Column7880"/>
    <tableColumn id="7912" xr3:uid="{2D593DC1-CD61-42C6-9722-980E40F1E65E}" name="Column7881"/>
    <tableColumn id="7913" xr3:uid="{87203CA2-2249-4912-897C-544AF1FC223B}" name="Column7882"/>
    <tableColumn id="7914" xr3:uid="{5FBA2E35-DA98-40CA-90CD-23FA0FEF6599}" name="Column7883"/>
    <tableColumn id="7915" xr3:uid="{90FBF4DA-F27C-4F53-9F6D-C5339FD86A59}" name="Column7884"/>
    <tableColumn id="7916" xr3:uid="{CC216446-B2C4-47D5-AA2A-140D9D0E5DE0}" name="Column7885"/>
    <tableColumn id="7917" xr3:uid="{920AAD65-4B0A-45DD-A010-74B7B5197985}" name="Column7886"/>
    <tableColumn id="7918" xr3:uid="{6E4FE1BF-D9C4-4414-990D-DC6746217746}" name="Column7887"/>
    <tableColumn id="7919" xr3:uid="{299C1666-EE00-484E-B415-0462A048BBA7}" name="Column7888"/>
    <tableColumn id="7920" xr3:uid="{E31EBC74-8AB3-42F4-8656-4981C1F7EB48}" name="Column7889"/>
    <tableColumn id="7921" xr3:uid="{478C3A90-B4A4-45D0-88B3-CA1A3844296B}" name="Column7890"/>
    <tableColumn id="7922" xr3:uid="{6B3383BA-308F-44F1-AE51-0F0E13A6F99F}" name="Column7891"/>
    <tableColumn id="7923" xr3:uid="{F8CB717F-49EB-46C2-A8A9-C7395F8B873B}" name="Column7892"/>
    <tableColumn id="7924" xr3:uid="{5D6BA1AC-74AE-4294-A041-1B470AAFCE2A}" name="Column7893"/>
    <tableColumn id="7925" xr3:uid="{42A60365-E069-4C33-BD00-D3102570CC22}" name="Column7894"/>
    <tableColumn id="7926" xr3:uid="{1793FA44-9638-4B56-AB42-4D44D5ECB00F}" name="Column7895"/>
    <tableColumn id="7927" xr3:uid="{AE3A659C-BBE2-4B91-A46C-D6F0701857E1}" name="Column7896"/>
    <tableColumn id="7928" xr3:uid="{AF4DAA11-7396-4BA2-ADEA-015382B1B0CE}" name="Column7897"/>
    <tableColumn id="7929" xr3:uid="{DDEB4119-722B-4CBB-B5B7-AD24C73135D1}" name="Column7898"/>
    <tableColumn id="7930" xr3:uid="{1DAEEAD2-7E05-4467-891E-36F3362F937B}" name="Column7899"/>
    <tableColumn id="7931" xr3:uid="{CE71DF76-2903-4842-8634-BFC1324DFDC5}" name="Column7900"/>
    <tableColumn id="7932" xr3:uid="{6F57424C-4A8F-47B5-ACD3-C4EDB200E21B}" name="Column7901"/>
    <tableColumn id="7933" xr3:uid="{A0AA0E69-8971-4D99-90A6-D3753754D6FA}" name="Column7902"/>
    <tableColumn id="7934" xr3:uid="{838AC53A-4D87-479F-9856-53080DD719FC}" name="Column7903"/>
    <tableColumn id="7935" xr3:uid="{98F9C1E4-0113-483F-95F3-2FEBAE0C1A57}" name="Column7904"/>
    <tableColumn id="7936" xr3:uid="{8B230FFA-0DC8-4996-8804-4E22810AE1A4}" name="Column7905"/>
    <tableColumn id="7937" xr3:uid="{C2750157-783E-4862-8BD0-6F4BD1F41022}" name="Column7906"/>
    <tableColumn id="7938" xr3:uid="{BBC94D49-B048-4565-810F-7E5ECE1AD2FA}" name="Column7907"/>
    <tableColumn id="7939" xr3:uid="{5182DFDA-5363-41D3-8CAA-FAA07FF2C4CD}" name="Column7908"/>
    <tableColumn id="7940" xr3:uid="{248E7ADC-3886-4537-AC88-B056C0DC4479}" name="Column7909"/>
    <tableColumn id="7941" xr3:uid="{961020FF-04C9-4AC7-AA74-F5B062D2032B}" name="Column7910"/>
    <tableColumn id="7942" xr3:uid="{FBB5D8F9-2CC3-4C11-BF74-B022782DE489}" name="Column7911"/>
    <tableColumn id="7943" xr3:uid="{FB84CC67-2BCE-4994-B945-48BD5E919049}" name="Column7912"/>
    <tableColumn id="7944" xr3:uid="{91339FF1-0941-469B-B909-8EB65E9C17A9}" name="Column7913"/>
    <tableColumn id="7945" xr3:uid="{8EF20971-B193-415C-A90B-3D0E313D2C36}" name="Column7914"/>
    <tableColumn id="7946" xr3:uid="{017AB15B-31C9-499A-B57B-CDCBA431F18F}" name="Column7915"/>
    <tableColumn id="7947" xr3:uid="{FD823A55-3163-4643-9FD0-F29741B1A390}" name="Column7916"/>
    <tableColumn id="7948" xr3:uid="{27EB5D9C-EDEA-4334-9A37-F52F460BCA64}" name="Column7917"/>
    <tableColumn id="7949" xr3:uid="{0611198F-C681-4AC7-9873-27D2100DE6AB}" name="Column7918"/>
    <tableColumn id="7950" xr3:uid="{53C20EAB-4DEF-41F0-A92F-0A0F4D933D1B}" name="Column7919"/>
    <tableColumn id="7951" xr3:uid="{EE2170AA-C042-4826-8216-A4CD0DD391A8}" name="Column7920"/>
    <tableColumn id="7952" xr3:uid="{A1868DC5-D9E3-44C9-B3BD-F09ADC80E56A}" name="Column7921"/>
    <tableColumn id="7953" xr3:uid="{9833BB2B-0A58-4A1C-906D-FE29DA1B389E}" name="Column7922"/>
    <tableColumn id="7954" xr3:uid="{4245BF45-5D6D-47BA-A01D-103C280D8833}" name="Column7923"/>
    <tableColumn id="7955" xr3:uid="{BC26209D-98D3-4781-99A8-38616D8B3ACE}" name="Column7924"/>
    <tableColumn id="7956" xr3:uid="{0F1C4BC7-3D2D-4A2E-9618-A2DCCA54502A}" name="Column7925"/>
    <tableColumn id="7957" xr3:uid="{FDF53F0C-BF6F-47DD-8EC8-D1FC90BA2194}" name="Column7926"/>
    <tableColumn id="7958" xr3:uid="{0730875A-90A7-49EB-8EE5-3A899F9200A4}" name="Column7927"/>
    <tableColumn id="7959" xr3:uid="{93EA7086-0F65-47A9-9D5A-3536287DA89C}" name="Column7928"/>
    <tableColumn id="7960" xr3:uid="{FF40D458-8FF9-4E32-ABC0-C274E0D311DB}" name="Column7929"/>
    <tableColumn id="7961" xr3:uid="{385E04C6-4EBD-4574-8115-899FEFE689FF}" name="Column7930"/>
    <tableColumn id="7962" xr3:uid="{E827E449-0970-4DC4-8E21-0B7EE7995FD6}" name="Column7931"/>
    <tableColumn id="7963" xr3:uid="{05684386-57E3-447B-9D91-399C6761479A}" name="Column7932"/>
    <tableColumn id="7964" xr3:uid="{854E7853-2D9F-4EB9-AD67-13337C6C4995}" name="Column7933"/>
    <tableColumn id="7965" xr3:uid="{6FAC4B92-3901-43D3-9ED3-CA1465DCB132}" name="Column7934"/>
    <tableColumn id="7966" xr3:uid="{23E08F37-8F59-4129-98DF-BB88E97EE8FE}" name="Column7935"/>
    <tableColumn id="7967" xr3:uid="{6FA73CC8-3361-43CE-A48A-D97395D5A508}" name="Column7936"/>
    <tableColumn id="7968" xr3:uid="{43E0AC13-E2D4-428C-83E3-E04C24C6ECB5}" name="Column7937"/>
    <tableColumn id="7969" xr3:uid="{C9622DB6-408F-4F6B-919D-7D0B17840423}" name="Column7938"/>
    <tableColumn id="7970" xr3:uid="{2BCFE365-1732-42D9-82BC-E7B9FF9C8187}" name="Column7939"/>
    <tableColumn id="7971" xr3:uid="{B81F6D0E-36C7-493F-84E9-292DE994B46B}" name="Column7940"/>
    <tableColumn id="7972" xr3:uid="{A5C6A676-90EB-43EF-9AB1-C736ACEA6F14}" name="Column7941"/>
    <tableColumn id="7973" xr3:uid="{4FB271E2-D17F-41EC-B59D-3D46C3E884E4}" name="Column7942"/>
    <tableColumn id="7974" xr3:uid="{9949BF0A-C7AF-469D-92AA-385B4D561A7A}" name="Column7943"/>
    <tableColumn id="7975" xr3:uid="{BC0664B0-0493-4A4B-87F3-0E96519F5650}" name="Column7944"/>
    <tableColumn id="7976" xr3:uid="{35DDE7BB-05BC-439A-95A7-6BFE899DE5F3}" name="Column7945"/>
    <tableColumn id="7977" xr3:uid="{FE401A84-DA41-4CC7-8B73-FF6E4042BFC2}" name="Column7946"/>
    <tableColumn id="7978" xr3:uid="{54383C76-0357-46A3-807D-D2ADF490E902}" name="Column7947"/>
    <tableColumn id="7979" xr3:uid="{013961C1-4D91-4F61-9AB2-5409EEE776D9}" name="Column7948"/>
    <tableColumn id="7980" xr3:uid="{1402DE65-5BB6-4E62-9F17-14798DC5DD58}" name="Column7949"/>
    <tableColumn id="7981" xr3:uid="{0344491F-B15D-4BEA-ACB6-EC25CA38C834}" name="Column7950"/>
    <tableColumn id="7982" xr3:uid="{6A5FA4F6-D8B8-4390-8F77-8E28CE03FB77}" name="Column7951"/>
    <tableColumn id="7983" xr3:uid="{F21F7C0E-52EC-462C-B66A-A6DA5CD6B5AD}" name="Column7952"/>
    <tableColumn id="7984" xr3:uid="{81967BF1-D8B3-485C-A05A-6407E062B05E}" name="Column7953"/>
    <tableColumn id="7985" xr3:uid="{BC3B1A46-7C0C-46F1-B02B-DA47978A75D0}" name="Column7954"/>
    <tableColumn id="7986" xr3:uid="{AAA5B08F-61D4-4DBC-8055-FB9DD960CB3F}" name="Column7955"/>
    <tableColumn id="7987" xr3:uid="{4CBAA0EE-EFA7-415F-A932-088A41CD9AF7}" name="Column7956"/>
    <tableColumn id="7988" xr3:uid="{E5C81F9A-12AF-4A4F-A509-205CB5D18944}" name="Column7957"/>
    <tableColumn id="7989" xr3:uid="{8943524D-504D-4F93-B09B-814E1EA8A954}" name="Column7958"/>
    <tableColumn id="7990" xr3:uid="{1165AB74-F719-4609-9EC8-E555E109E20D}" name="Column7959"/>
    <tableColumn id="7991" xr3:uid="{35114225-B30F-4654-93E7-A896F97ABF5E}" name="Column7960"/>
    <tableColumn id="7992" xr3:uid="{D1C56874-B122-431A-B547-314EB62E8DFF}" name="Column7961"/>
    <tableColumn id="7993" xr3:uid="{83DCA303-3F06-4E8F-BF3E-C0EF2F5EC11A}" name="Column7962"/>
    <tableColumn id="7994" xr3:uid="{C72FF541-480B-403A-94AE-26610241C259}" name="Column7963"/>
    <tableColumn id="7995" xr3:uid="{B3A1AA33-98F8-45D9-B913-30A9F95201B6}" name="Column7964"/>
    <tableColumn id="7996" xr3:uid="{B7165F30-9204-4FE6-B6C2-B80C73D8F6E3}" name="Column7965"/>
    <tableColumn id="7997" xr3:uid="{5CF4E562-BC38-41A4-86DB-FB93EA710FEA}" name="Column7966"/>
    <tableColumn id="7998" xr3:uid="{D87E9BC2-D6ED-4318-9D7C-C506F19DD9FB}" name="Column7967"/>
    <tableColumn id="7999" xr3:uid="{E7E3CED5-D1E3-4EEE-9239-088026938BCC}" name="Column7968"/>
    <tableColumn id="8000" xr3:uid="{1965494E-33B4-4A59-BB85-4A59DD862F0A}" name="Column7969"/>
    <tableColumn id="8001" xr3:uid="{9F41BA76-18E6-40BD-B59B-EDDB61AB1A26}" name="Column7970"/>
    <tableColumn id="8002" xr3:uid="{DF3429D4-B8F3-443C-8E6F-1286281D1541}" name="Column7971"/>
    <tableColumn id="8003" xr3:uid="{D7DC4E1D-BDC8-455B-84F5-B57B07757234}" name="Column7972"/>
    <tableColumn id="8004" xr3:uid="{EA7C9172-53D5-4AA6-B607-90FCF9D6E1F3}" name="Column7973"/>
    <tableColumn id="8005" xr3:uid="{4FCCB022-76DC-4618-B88B-18D310ED5650}" name="Column7974"/>
    <tableColumn id="8006" xr3:uid="{E159C4D5-2891-4987-8540-5B444D25747A}" name="Column7975"/>
    <tableColumn id="8007" xr3:uid="{379547A4-870D-48E5-8F25-18002C768F84}" name="Column7976"/>
    <tableColumn id="8008" xr3:uid="{C8EECDE5-FF09-4B13-A567-DE6F53323FBD}" name="Column7977"/>
    <tableColumn id="8009" xr3:uid="{08E2AD87-9ED7-4911-A824-E100B9B5D32F}" name="Column7978"/>
    <tableColumn id="8010" xr3:uid="{474A7266-C6DE-499B-8DF2-20DEA105B669}" name="Column7979"/>
    <tableColumn id="8011" xr3:uid="{135014DD-BC7F-4127-B2B5-90A388EC8BCA}" name="Column7980"/>
    <tableColumn id="8012" xr3:uid="{79CABE64-ABC0-4717-AAF2-D57AF5917303}" name="Column7981"/>
    <tableColumn id="8013" xr3:uid="{68F9A7AB-D9DF-443B-9BC1-FF77A115DF35}" name="Column7982"/>
    <tableColumn id="8014" xr3:uid="{41CF0AD6-4D22-4817-BE62-5F01A4542F02}" name="Column7983"/>
    <tableColumn id="8015" xr3:uid="{C0743743-D8A5-4B75-9915-D3F3DE290895}" name="Column7984"/>
    <tableColumn id="8016" xr3:uid="{57EDA538-D772-4EB5-BF41-01FF97DC86D3}" name="Column7985"/>
    <tableColumn id="8017" xr3:uid="{9A5E928B-B762-49D0-AFB1-E8EA8BD759D7}" name="Column7986"/>
    <tableColumn id="8018" xr3:uid="{1C414011-59E1-42AB-B04C-891561D297A0}" name="Column7987"/>
    <tableColumn id="8019" xr3:uid="{10635885-D2D9-48AE-8476-8255BC245D86}" name="Column7988"/>
    <tableColumn id="8020" xr3:uid="{374BCC0F-71AC-4983-8042-0EC67B5E9EAD}" name="Column7989"/>
    <tableColumn id="8021" xr3:uid="{22D39639-384C-4DD1-A2FA-2FBA7181FC69}" name="Column7990"/>
    <tableColumn id="8022" xr3:uid="{DCA1A9C3-E195-41BF-81DC-F2F550C55C40}" name="Column7991"/>
    <tableColumn id="8023" xr3:uid="{8232B6DE-1312-49CB-9130-36740A11A96C}" name="Column7992"/>
    <tableColumn id="8024" xr3:uid="{9C77FFD8-4BDC-4091-AB6F-02A68CB07F7B}" name="Column7993"/>
    <tableColumn id="8025" xr3:uid="{20C0E578-3E4A-451E-A20A-FCE7E9CCF887}" name="Column7994"/>
    <tableColumn id="8026" xr3:uid="{6DC3825E-C982-440F-A351-D1DDBAAD8BEE}" name="Column7995"/>
    <tableColumn id="8027" xr3:uid="{02D5F25C-2F0D-466E-941C-83345E628F33}" name="Column7996"/>
    <tableColumn id="8028" xr3:uid="{B33DEF87-91AB-4B67-8DDD-BE99A97764DE}" name="Column7997"/>
    <tableColumn id="8029" xr3:uid="{BF050532-59CC-44A5-96E6-B0F99322436E}" name="Column7998"/>
    <tableColumn id="8030" xr3:uid="{9F737F41-CFC6-4AAB-BC19-8EF0F65F814B}" name="Column7999"/>
    <tableColumn id="8031" xr3:uid="{17853A78-743C-4E99-A6D5-4BD65B3AF31B}" name="Column8000"/>
    <tableColumn id="8032" xr3:uid="{E5D7CCED-43D4-4E3E-8872-B732233AA128}" name="Column8001"/>
    <tableColumn id="8033" xr3:uid="{D7ACCED5-9FBC-481E-9901-F55B2469316C}" name="Column8002"/>
    <tableColumn id="8034" xr3:uid="{BE681FEE-4104-45BF-8C28-B3C0532281A5}" name="Column8003"/>
    <tableColumn id="8035" xr3:uid="{19B7D1E5-544B-4200-8DE5-9790CDEEBF41}" name="Column8004"/>
    <tableColumn id="8036" xr3:uid="{BE41C2B2-7A34-4F5C-B6F5-E7D2810197F5}" name="Column8005"/>
    <tableColumn id="8037" xr3:uid="{B8F324F9-5CBD-45DF-9D38-910000775416}" name="Column8006"/>
    <tableColumn id="8038" xr3:uid="{153A798A-5DBA-4E71-B276-67539511A432}" name="Column8007"/>
    <tableColumn id="8039" xr3:uid="{0CA4F43D-71C4-4A00-AA1B-9719369C84EC}" name="Column8008"/>
    <tableColumn id="8040" xr3:uid="{20117121-C9B8-4CE5-AD5B-91283547148B}" name="Column8009"/>
    <tableColumn id="8041" xr3:uid="{A431AA26-79E0-407D-8966-E019832B80C4}" name="Column8010"/>
    <tableColumn id="8042" xr3:uid="{D97C4219-A24C-43F4-9223-9F54CEFB0413}" name="Column8011"/>
    <tableColumn id="8043" xr3:uid="{5A916222-284D-4D96-B074-C3B3BB342F0B}" name="Column8012"/>
    <tableColumn id="8044" xr3:uid="{D2B5259B-D204-4A3C-B950-96B67C481DA2}" name="Column8013"/>
    <tableColumn id="8045" xr3:uid="{C14C30E5-8E8F-402F-BA76-E957BFDD2286}" name="Column8014"/>
    <tableColumn id="8046" xr3:uid="{2934C772-60AB-47CE-9504-F6711B2C616B}" name="Column8015"/>
    <tableColumn id="8047" xr3:uid="{914C896D-B4C4-44AE-8E01-66F99760E5FB}" name="Column8016"/>
    <tableColumn id="8048" xr3:uid="{D41335FB-0382-4ED0-94E3-80D96D53BF08}" name="Column8017"/>
    <tableColumn id="8049" xr3:uid="{69BB514F-3897-4D54-B2F9-104D6F7C9F4E}" name="Column8018"/>
    <tableColumn id="8050" xr3:uid="{31641CE2-1A5E-4D09-BCE9-C6FB643D7276}" name="Column8019"/>
    <tableColumn id="8051" xr3:uid="{41032019-AAF1-4047-A6B6-9AD98D968D4C}" name="Column8020"/>
    <tableColumn id="8052" xr3:uid="{713341D2-B1F7-4DDE-B455-6C538E70C02B}" name="Column8021"/>
    <tableColumn id="8053" xr3:uid="{BE32317D-3FAB-4C79-AE63-BBA8D75964CF}" name="Column8022"/>
    <tableColumn id="8054" xr3:uid="{0D94130B-B99A-4A46-B304-CE2DAD4AFB1C}" name="Column8023"/>
    <tableColumn id="8055" xr3:uid="{567BD7B8-54D2-4DE1-A2D9-C502D81EBAD7}" name="Column8024"/>
    <tableColumn id="8056" xr3:uid="{D3B9CA71-B83A-406A-8234-0AF5E21FB839}" name="Column8025"/>
    <tableColumn id="8057" xr3:uid="{511D6740-9508-4650-8BC2-43CAB3C24D69}" name="Column8026"/>
    <tableColumn id="8058" xr3:uid="{6B94F61E-80A0-4258-B2DE-550E31AC16E6}" name="Column8027"/>
    <tableColumn id="8059" xr3:uid="{37F59135-DF37-4808-823C-A4B1750932A4}" name="Column8028"/>
    <tableColumn id="8060" xr3:uid="{DB3CD6AA-9E1B-423A-8193-E50DAE18B793}" name="Column8029"/>
    <tableColumn id="8061" xr3:uid="{79B881C7-6E3C-4D41-AA3A-AE7D39BF36D5}" name="Column8030"/>
    <tableColumn id="8062" xr3:uid="{EC365859-B474-4BCD-8A39-159F117AAEAA}" name="Column8031"/>
    <tableColumn id="8063" xr3:uid="{6E200E44-0C31-4DD6-A7FC-3B05FBB8029C}" name="Column8032"/>
    <tableColumn id="8064" xr3:uid="{5A234EF4-F11E-486B-8149-B6BE329FB54E}" name="Column8033"/>
    <tableColumn id="8065" xr3:uid="{F141E069-9C9A-49F4-AE85-6B11EA4E20C3}" name="Column8034"/>
    <tableColumn id="8066" xr3:uid="{630BF7F1-CFC8-4858-B31B-071EAA57D127}" name="Column8035"/>
    <tableColumn id="8067" xr3:uid="{BA05DA61-56FD-41DD-8D55-9F4AD48949B4}" name="Column8036"/>
    <tableColumn id="8068" xr3:uid="{78496C58-0AA2-4CA3-A0A0-3D7E358DD7A9}" name="Column8037"/>
    <tableColumn id="8069" xr3:uid="{7E722FF7-79BD-4C31-BC62-C46363E22CF4}" name="Column8038"/>
    <tableColumn id="8070" xr3:uid="{E1397D72-2199-4E50-A1B6-7BF1A1B5BFA6}" name="Column8039"/>
    <tableColumn id="8071" xr3:uid="{0D001B3C-808C-4E53-B928-B1C6A7442FA9}" name="Column8040"/>
    <tableColumn id="8072" xr3:uid="{C6BF9788-F6A5-4B57-875C-33E05AC2528C}" name="Column8041"/>
    <tableColumn id="8073" xr3:uid="{B535D16D-C39E-4F8A-ADC1-7E2294AFD0DE}" name="Column8042"/>
    <tableColumn id="8074" xr3:uid="{04811F04-B951-4915-9F48-9A922CB69DD5}" name="Column8043"/>
    <tableColumn id="8075" xr3:uid="{9CF68FAF-50BA-4BC4-9D86-535E16D75C48}" name="Column8044"/>
    <tableColumn id="8076" xr3:uid="{49FC2E0A-E6A6-4A24-A329-37C97170E42A}" name="Column8045"/>
    <tableColumn id="8077" xr3:uid="{3550D57B-DFB2-44A5-9231-518DA3D3E188}" name="Column8046"/>
    <tableColumn id="8078" xr3:uid="{1F999CF9-733A-473B-B557-73CDEA095BE8}" name="Column8047"/>
    <tableColumn id="8079" xr3:uid="{FA0E6AB8-6334-4B13-BA8F-2B64AFA3BAEE}" name="Column8048"/>
    <tableColumn id="8080" xr3:uid="{7F5D9899-F738-4C75-A442-42FA2842F6B2}" name="Column8049"/>
    <tableColumn id="8081" xr3:uid="{408C5E0D-47C3-4CE2-B95E-798E02B595B0}" name="Column8050"/>
    <tableColumn id="8082" xr3:uid="{48A002FC-0A55-4C3C-B573-E2D1D01DBD6F}" name="Column8051"/>
    <tableColumn id="8083" xr3:uid="{7759824D-2C90-4D06-8F24-5099D90D74E1}" name="Column8052"/>
    <tableColumn id="8084" xr3:uid="{6B4D94C1-13EB-493A-BC8D-3A9C8B377117}" name="Column8053"/>
    <tableColumn id="8085" xr3:uid="{43271404-A8DE-4DCA-8724-A24931ABBA40}" name="Column8054"/>
    <tableColumn id="8086" xr3:uid="{5E0B65BC-F9F7-4B4D-80AF-D556EBECEC9F}" name="Column8055"/>
    <tableColumn id="8087" xr3:uid="{8D866BF4-6F6F-4759-97BE-38CCAC950A48}" name="Column8056"/>
    <tableColumn id="8088" xr3:uid="{04DE715D-91BF-45FE-B4FB-F14F6924F942}" name="Column8057"/>
    <tableColumn id="8089" xr3:uid="{DD4C8119-66F0-48C7-9CA5-B0C6AC67B32A}" name="Column8058"/>
    <tableColumn id="8090" xr3:uid="{3300972E-94F8-440C-A483-649DA91BA6F3}" name="Column8059"/>
    <tableColumn id="8091" xr3:uid="{C4A4049E-93CF-4743-B0A3-E5F93BF42C7C}" name="Column8060"/>
    <tableColumn id="8092" xr3:uid="{A0252FF5-C677-415E-8778-BD01784A100A}" name="Column8061"/>
    <tableColumn id="8093" xr3:uid="{1581A580-7826-4589-B1F9-722C3210E2D4}" name="Column8062"/>
    <tableColumn id="8094" xr3:uid="{C3E6D701-FC10-4797-99B7-5C101B3F0B1C}" name="Column8063"/>
    <tableColumn id="8095" xr3:uid="{5810C2FF-7995-4631-9E5C-23BA71432892}" name="Column8064"/>
    <tableColumn id="8096" xr3:uid="{CCBA53DE-7F31-48C1-B895-FCC1AA69B058}" name="Column8065"/>
    <tableColumn id="8097" xr3:uid="{364CB907-5038-4AAB-B14B-6EDA31DB160C}" name="Column8066"/>
    <tableColumn id="8098" xr3:uid="{AEC23D7F-048E-4E23-8F03-8E551B55DC87}" name="Column8067"/>
    <tableColumn id="8099" xr3:uid="{FEBD595F-9480-49C9-915A-80B0F221D647}" name="Column8068"/>
    <tableColumn id="8100" xr3:uid="{253F100F-608B-48C4-B871-FD8C3A352A72}" name="Column8069"/>
    <tableColumn id="8101" xr3:uid="{CD12A460-FB43-4A1E-BF30-62C5862FC5AE}" name="Column8070"/>
    <tableColumn id="8102" xr3:uid="{058D376E-0CFD-4117-9761-4FE798AF5525}" name="Column8071"/>
    <tableColumn id="8103" xr3:uid="{5458DF6E-6399-4FF6-854A-5BFE5CB6AEC2}" name="Column8072"/>
    <tableColumn id="8104" xr3:uid="{66627E6A-E0A0-4C0E-9489-84B0246F688D}" name="Column8073"/>
    <tableColumn id="8105" xr3:uid="{685F6348-8E55-4589-B615-2A8BC0CABC21}" name="Column8074"/>
    <tableColumn id="8106" xr3:uid="{8C7B8B8D-638D-44A1-98A0-647658A1E05F}" name="Column8075"/>
    <tableColumn id="8107" xr3:uid="{114A7E26-C477-416A-929F-391115026B24}" name="Column8076"/>
    <tableColumn id="8108" xr3:uid="{7C9D1F4A-EAC4-48DE-A9CC-69439DFA3C66}" name="Column8077"/>
    <tableColumn id="8109" xr3:uid="{64404E23-F63C-428A-B054-963B4808AA45}" name="Column8078"/>
    <tableColumn id="8110" xr3:uid="{37B86F59-0433-4719-96B7-75982CB566F9}" name="Column8079"/>
    <tableColumn id="8111" xr3:uid="{DFDE8CFC-A424-4B47-9099-B36CAD2EA9D1}" name="Column8080"/>
    <tableColumn id="8112" xr3:uid="{BFEFE797-4C41-42EC-8B5F-CC8C90616B6A}" name="Column8081"/>
    <tableColumn id="8113" xr3:uid="{F7C3F52A-7BC1-4670-9C00-723721B87B6B}" name="Column8082"/>
    <tableColumn id="8114" xr3:uid="{EF39D08B-DF97-4C11-9A7C-070A97E6F2CA}" name="Column8083"/>
    <tableColumn id="8115" xr3:uid="{DABCBE2E-EE60-4742-888E-DB0E59DE76AF}" name="Column8084"/>
    <tableColumn id="8116" xr3:uid="{7C93FE03-F61D-4329-B7C4-DC2342C24E31}" name="Column8085"/>
    <tableColumn id="8117" xr3:uid="{3B2D6943-CF93-4B25-B407-D7956D863510}" name="Column8086"/>
    <tableColumn id="8118" xr3:uid="{1F6E32CF-CCC3-4205-81EA-B9A20C18A74B}" name="Column8087"/>
    <tableColumn id="8119" xr3:uid="{E37A0E97-8E70-43E8-8643-A3F549FD2284}" name="Column8088"/>
    <tableColumn id="8120" xr3:uid="{75D4C21C-DBCD-422B-8992-D7967D9AC92D}" name="Column8089"/>
    <tableColumn id="8121" xr3:uid="{FD9E6DBF-1F42-4EEA-B0F8-79BDBAD4596A}" name="Column8090"/>
    <tableColumn id="8122" xr3:uid="{296EA176-E8A4-4ECD-8E3A-CBA53CC9C40C}" name="Column8091"/>
    <tableColumn id="8123" xr3:uid="{26E903BE-EF99-4D2B-95B5-5D60189BC5F7}" name="Column8092"/>
    <tableColumn id="8124" xr3:uid="{AB53D490-0350-44AD-8A75-3B9BDA999C96}" name="Column8093"/>
    <tableColumn id="8125" xr3:uid="{6DFDC6B8-0CDC-4F45-A3BE-1F31A8BA2D83}" name="Column8094"/>
    <tableColumn id="8126" xr3:uid="{CCCCED3D-B7C0-4729-BDB1-E3F1D64E76F1}" name="Column8095"/>
    <tableColumn id="8127" xr3:uid="{C07FD546-780A-447E-903C-8BF4081BF724}" name="Column8096"/>
    <tableColumn id="8128" xr3:uid="{C40DEB92-6623-4937-BB3D-62A1F762190F}" name="Column8097"/>
    <tableColumn id="8129" xr3:uid="{0317EBF6-F211-46BF-98E4-B84C42DB47F3}" name="Column8098"/>
    <tableColumn id="8130" xr3:uid="{1D6E5FD0-4F2B-40A8-A7F0-B86AE3CDCE3F}" name="Column8099"/>
    <tableColumn id="8131" xr3:uid="{0FD6AC8B-296B-4476-AE07-FACC508781EE}" name="Column8100"/>
    <tableColumn id="8132" xr3:uid="{683D3FF9-D80C-49CA-8410-2FA3FCDA8E07}" name="Column8101"/>
    <tableColumn id="8133" xr3:uid="{9A2B1893-49E1-4A3B-A67B-16C5E8B4C7AE}" name="Column8102"/>
    <tableColumn id="8134" xr3:uid="{76932965-3C4C-4321-8741-731F22C0E528}" name="Column8103"/>
    <tableColumn id="8135" xr3:uid="{C191D61A-0AC0-479A-8E02-E27607ECA6DA}" name="Column8104"/>
    <tableColumn id="8136" xr3:uid="{A4D673DC-3FC4-4036-AA0B-A2EA3119A1E5}" name="Column8105"/>
    <tableColumn id="8137" xr3:uid="{FD63376F-10E1-45BA-8A47-ED9C6F6D4116}" name="Column8106"/>
    <tableColumn id="8138" xr3:uid="{3A3C669E-E9CD-4642-A76A-C2CB44B834B6}" name="Column8107"/>
    <tableColumn id="8139" xr3:uid="{8657999C-47B1-4C98-8BAF-61958F518A6C}" name="Column8108"/>
    <tableColumn id="8140" xr3:uid="{2E7BE4C1-3FAD-4C1F-8E10-7EFF9C18174D}" name="Column8109"/>
    <tableColumn id="8141" xr3:uid="{A196FB33-BDA2-4C40-A134-9DE236025100}" name="Column8110"/>
    <tableColumn id="8142" xr3:uid="{834F3CD2-E6C4-41C5-8A18-9E30B0E6668E}" name="Column8111"/>
    <tableColumn id="8143" xr3:uid="{B47A1B2E-9832-47D1-A8D8-9F1C7C45AB16}" name="Column8112"/>
    <tableColumn id="8144" xr3:uid="{D7FCD741-A6D3-4D85-A99C-1BFB9FF47325}" name="Column8113"/>
    <tableColumn id="8145" xr3:uid="{8B82FED8-91DE-43BE-BDF3-3590F7A0308B}" name="Column8114"/>
    <tableColumn id="8146" xr3:uid="{F23E3C9C-BA38-4F7E-90A2-3EEFF62A49D2}" name="Column8115"/>
    <tableColumn id="8147" xr3:uid="{AB014ECB-2C40-4DE4-B958-99142361D8E6}" name="Column8116"/>
    <tableColumn id="8148" xr3:uid="{E0E4E2E2-B7CE-4214-8C4D-0C03B56A4F33}" name="Column8117"/>
    <tableColumn id="8149" xr3:uid="{7546FB5A-3D01-4141-A09D-0940DB6C1FA9}" name="Column8118"/>
    <tableColumn id="8150" xr3:uid="{45C07822-16CF-4356-9E11-A5FC8FC208AA}" name="Column8119"/>
    <tableColumn id="8151" xr3:uid="{C7EE6918-A405-4ED7-8834-40751086FE76}" name="Column8120"/>
    <tableColumn id="8152" xr3:uid="{41A51B38-6BD8-4B67-B90F-CF3B09B52F75}" name="Column8121"/>
    <tableColumn id="8153" xr3:uid="{53C373E3-DE85-4008-9E88-48ABF33A0605}" name="Column8122"/>
    <tableColumn id="8154" xr3:uid="{528D0A70-6D19-4AFE-B811-025810D3A75A}" name="Column8123"/>
    <tableColumn id="8155" xr3:uid="{5A2A831C-925B-4A15-9BC1-5A34D301FA45}" name="Column8124"/>
    <tableColumn id="8156" xr3:uid="{7C667F18-F451-45A3-9F41-A407303AA3A6}" name="Column8125"/>
    <tableColumn id="8157" xr3:uid="{9D430B12-AB40-4819-BC74-70F2A27D3014}" name="Column8126"/>
    <tableColumn id="8158" xr3:uid="{48240673-7378-436A-A0A8-FFA915A5BF33}" name="Column8127"/>
    <tableColumn id="8159" xr3:uid="{49AF5CBB-F854-43F0-B357-69144B502337}" name="Column8128"/>
    <tableColumn id="8160" xr3:uid="{A1029867-D12B-4F77-9039-55FD038B311C}" name="Column8129"/>
    <tableColumn id="8161" xr3:uid="{FB3FA83E-5AE7-470E-9594-80AEB9ECAEBD}" name="Column8130"/>
    <tableColumn id="8162" xr3:uid="{10AAEF88-E22F-4EB6-B8FC-2AA8A0F75249}" name="Column8131"/>
    <tableColumn id="8163" xr3:uid="{EFDFA6C5-6381-4D72-B66C-CA7F4ACD53D2}" name="Column8132"/>
    <tableColumn id="8164" xr3:uid="{1AB96785-7534-417A-B824-DF4D65291C69}" name="Column8133"/>
    <tableColumn id="8165" xr3:uid="{F1653A79-3E0F-4C50-912B-48A0DF7DC1C5}" name="Column8134"/>
    <tableColumn id="8166" xr3:uid="{B164971D-E57A-4089-BC8A-366428E02BB6}" name="Column8135"/>
    <tableColumn id="8167" xr3:uid="{BEF7F9F7-2796-4516-AC02-E566F1F076A1}" name="Column8136"/>
    <tableColumn id="8168" xr3:uid="{247788FD-2284-43A6-ACA6-B379F02752F5}" name="Column8137"/>
    <tableColumn id="8169" xr3:uid="{10E2614A-4130-4581-A3C9-2CF0C0F3C6B7}" name="Column8138"/>
    <tableColumn id="8170" xr3:uid="{9055DA2C-7945-4D4B-9D37-AD9879CAF1E2}" name="Column8139"/>
    <tableColumn id="8171" xr3:uid="{3775B771-71E3-49D8-8448-2914076BC308}" name="Column8140"/>
    <tableColumn id="8172" xr3:uid="{1D3508C0-5A57-42C6-A2D8-0D4FBF80C444}" name="Column8141"/>
    <tableColumn id="8173" xr3:uid="{5B6F8EFC-8345-4F31-B1EF-57870B25FA07}" name="Column8142"/>
    <tableColumn id="8174" xr3:uid="{587D5A91-0661-4704-88CF-A80481293DD1}" name="Column8143"/>
    <tableColumn id="8175" xr3:uid="{42BEBBBB-0402-470E-8809-6C4F6511DE48}" name="Column8144"/>
    <tableColumn id="8176" xr3:uid="{89B80333-AC72-4911-A454-2C1AB77E689A}" name="Column8145"/>
    <tableColumn id="8177" xr3:uid="{92DEF600-DAA2-41E0-8BD0-3ED419462543}" name="Column8146"/>
    <tableColumn id="8178" xr3:uid="{D8F462CF-E43B-4387-873A-A34FFA24CEFC}" name="Column8147"/>
    <tableColumn id="8179" xr3:uid="{3CE731AA-ABD2-425B-B06D-8A5AF218F8E7}" name="Column8148"/>
    <tableColumn id="8180" xr3:uid="{50716946-FD22-4741-A517-9A26800427F4}" name="Column8149"/>
    <tableColumn id="8181" xr3:uid="{6143A774-D285-45D3-87CF-94A67C477BB2}" name="Column8150"/>
    <tableColumn id="8182" xr3:uid="{7625D11F-C381-41D4-AC63-CA8FD148DABA}" name="Column8151"/>
    <tableColumn id="8183" xr3:uid="{4513BA4D-E868-46AF-9F67-4677EE79EA75}" name="Column8152"/>
    <tableColumn id="8184" xr3:uid="{F7EC0EE9-CD97-421D-8FFF-A540EBA60FC4}" name="Column8153"/>
    <tableColumn id="8185" xr3:uid="{D98014A3-0DB7-43F0-B6D9-ABC83A759545}" name="Column8154"/>
    <tableColumn id="8186" xr3:uid="{F21D4C5D-2385-4166-8A1C-61EDF82612A7}" name="Column8155"/>
    <tableColumn id="8187" xr3:uid="{CDF3B139-724C-46C6-A1BD-AFECB1DE2A89}" name="Column8156"/>
    <tableColumn id="8188" xr3:uid="{3B71C4C3-E2A1-48EE-9BDA-046A277E7346}" name="Column8157"/>
    <tableColumn id="8189" xr3:uid="{74A142B4-8622-4695-A44E-6BC6CD8EE41A}" name="Column8158"/>
    <tableColumn id="8190" xr3:uid="{65F69BEB-8220-4361-B4DD-4BF189D5C75D}" name="Column8159"/>
    <tableColumn id="8191" xr3:uid="{ABE69B6E-10C2-4D0D-8907-4378CB9E8071}" name="Column8160"/>
    <tableColumn id="8192" xr3:uid="{09BACAB4-D38E-44AD-9CE5-D6892DCDCA8A}" name="Column8161"/>
    <tableColumn id="8193" xr3:uid="{26236F70-CC4E-4665-91E8-EEDB1698F2FF}" name="Column8162"/>
    <tableColumn id="8194" xr3:uid="{83617FB3-2C51-4A9F-A22E-628AB19B95F3}" name="Column8163"/>
    <tableColumn id="8195" xr3:uid="{FD22D45E-F3C8-4B8D-84C7-DA490920ED6F}" name="Column8164"/>
    <tableColumn id="8196" xr3:uid="{39559B16-F453-4719-9BC5-A3496A34A002}" name="Column8165"/>
    <tableColumn id="8197" xr3:uid="{441AAC8E-8665-4782-AC65-4A742878F341}" name="Column8166"/>
    <tableColumn id="8198" xr3:uid="{E50E5291-9B20-4E6D-9D52-0C68AF082C15}" name="Column8167"/>
    <tableColumn id="8199" xr3:uid="{51923EEF-23DD-49DC-BFA1-1BF49402CB61}" name="Column8168"/>
    <tableColumn id="8200" xr3:uid="{EBD342BE-C035-4C59-98B4-BCA596916364}" name="Column8169"/>
    <tableColumn id="8201" xr3:uid="{FF194330-570D-4E42-AD65-8EB3984D5213}" name="Column8170"/>
    <tableColumn id="8202" xr3:uid="{3D44AA25-CF1D-4FFD-9D36-370188BCED87}" name="Column8171"/>
    <tableColumn id="8203" xr3:uid="{AF6C576D-F461-4236-9E8C-E3FD0E162DFF}" name="Column8172"/>
    <tableColumn id="8204" xr3:uid="{ABD4849A-5D00-47A0-8D23-647801A88699}" name="Column8173"/>
    <tableColumn id="8205" xr3:uid="{73CFEC3B-ECD3-4525-A873-ECF6ED6D0906}" name="Column8174"/>
    <tableColumn id="8206" xr3:uid="{BC8F28D6-E3E0-44B7-9077-5E9864E87E8A}" name="Column8175"/>
    <tableColumn id="8207" xr3:uid="{DBB0261A-9260-4455-9474-F7008C9E1C5D}" name="Column8176"/>
    <tableColumn id="8208" xr3:uid="{C7BD9BAB-2D82-48D8-856E-6F0F69A00CBF}" name="Column8177"/>
    <tableColumn id="8209" xr3:uid="{33E77411-A981-4C24-85FB-2EC2FCA6A7AE}" name="Column8178"/>
    <tableColumn id="8210" xr3:uid="{82B79872-56E7-4282-AA2B-FD167F6E129E}" name="Column8179"/>
    <tableColumn id="8211" xr3:uid="{403FC4F9-2460-41F4-B7C9-4F846E1407EB}" name="Column8180"/>
    <tableColumn id="8212" xr3:uid="{E0D4E155-F684-4F34-B724-09BF56F964C9}" name="Column8181"/>
    <tableColumn id="8213" xr3:uid="{3A20EF8E-52C3-4A10-A1B6-2B9CD97DCE8A}" name="Column8182"/>
    <tableColumn id="8214" xr3:uid="{F466A677-C702-4400-B785-E9753B914374}" name="Column8183"/>
    <tableColumn id="8215" xr3:uid="{819AE3E3-29B5-4CB2-9A58-9D831355E877}" name="Column8184"/>
    <tableColumn id="8216" xr3:uid="{0EB258F5-3CDC-49F0-A0DA-DDA9CEB2222F}" name="Column8185"/>
    <tableColumn id="8217" xr3:uid="{EE7B0513-C3CE-4077-948F-6B52ECE00B09}" name="Column8186"/>
    <tableColumn id="8218" xr3:uid="{8A794E78-9E24-4BFD-88F7-8B1A7BDA904A}" name="Column8187"/>
    <tableColumn id="8219" xr3:uid="{CE36A7CC-49C9-4CDE-A76F-88EB3F71AE08}" name="Column8188"/>
    <tableColumn id="8220" xr3:uid="{CC573DF4-161B-424D-BE8F-8AC04FEE70A0}" name="Column8189"/>
    <tableColumn id="8221" xr3:uid="{0FF94C3B-E976-4B9D-8C18-368335355FCB}" name="Column8190"/>
    <tableColumn id="8222" xr3:uid="{1801CA3F-6D76-41DC-9D48-9C6BE957A9B0}" name="Column8191"/>
    <tableColumn id="8223" xr3:uid="{0C9A234D-9A24-41A7-972C-AE8FC5894B93}" name="Column8192"/>
    <tableColumn id="8224" xr3:uid="{B15BF19A-E976-4A5C-86EC-C186D6BAB23F}" name="Column8193"/>
    <tableColumn id="8225" xr3:uid="{B3692B21-5934-4FEF-968A-BD46F9714BEE}" name="Column8194"/>
    <tableColumn id="8226" xr3:uid="{760A14AC-CF24-4B0F-B22C-94DBE7E0E7F9}" name="Column8195"/>
    <tableColumn id="8227" xr3:uid="{9659A4F4-B74E-47A4-95C2-3FA43BF3AC17}" name="Column8196"/>
    <tableColumn id="8228" xr3:uid="{3782592F-ABBB-45B2-8016-9B8F37E1E94D}" name="Column8197"/>
    <tableColumn id="8229" xr3:uid="{CE4E4965-2913-4267-B2AD-FB1F2EA98D57}" name="Column8198"/>
    <tableColumn id="8230" xr3:uid="{EAC6B2D3-166C-4102-8BA5-11EF3102BDF1}" name="Column8199"/>
    <tableColumn id="8231" xr3:uid="{BDB43031-07A3-4EA7-B7D4-D0376092574E}" name="Column8200"/>
    <tableColumn id="8232" xr3:uid="{7E412000-E3C1-4F9F-A0B8-976A6EF29602}" name="Column8201"/>
    <tableColumn id="8233" xr3:uid="{39F5687F-7A0F-431E-833D-4C023DEC79D9}" name="Column8202"/>
    <tableColumn id="8234" xr3:uid="{EC9CD99F-EE40-461A-BD77-FB8A785F9394}" name="Column8203"/>
    <tableColumn id="8235" xr3:uid="{AB69D905-FBB0-42D9-B84B-2691D0B62C0C}" name="Column8204"/>
    <tableColumn id="8236" xr3:uid="{F98F2581-3DBB-4322-89DF-84D238FFD473}" name="Column8205"/>
    <tableColumn id="8237" xr3:uid="{CD48F3BE-D20C-4E25-AAB3-0C69BADFAEB4}" name="Column8206"/>
    <tableColumn id="8238" xr3:uid="{0D90FEB1-5855-4911-9CD1-87183509BED5}" name="Column8207"/>
    <tableColumn id="8239" xr3:uid="{882CB7E3-EF78-4CF5-B3AD-E07033083686}" name="Column8208"/>
    <tableColumn id="8240" xr3:uid="{836CD830-11F4-4FC3-AB80-B052B9F653C0}" name="Column8209"/>
    <tableColumn id="8241" xr3:uid="{BC39D302-4795-4AC1-B23C-91783E70464F}" name="Column8210"/>
    <tableColumn id="8242" xr3:uid="{2F7FED67-B5D7-4CC2-9EE8-8B09695C80AB}" name="Column8211"/>
    <tableColumn id="8243" xr3:uid="{51ECB32B-9118-4CE7-AFB4-60E794DCFF78}" name="Column8212"/>
    <tableColumn id="8244" xr3:uid="{54FAD05A-FDF2-4931-90E7-17070120845D}" name="Column8213"/>
    <tableColumn id="8245" xr3:uid="{4F3B0565-CC62-4D78-89DD-D8D990F51E68}" name="Column8214"/>
    <tableColumn id="8246" xr3:uid="{9977EB2B-C216-41FD-9846-6DDB71CFCAA4}" name="Column8215"/>
    <tableColumn id="8247" xr3:uid="{CA15FBF5-E228-4CAB-82C7-1B3B58D83BC0}" name="Column8216"/>
    <tableColumn id="8248" xr3:uid="{88CCF0E4-F848-41AF-A8BD-6C74BEA4BF57}" name="Column8217"/>
    <tableColumn id="8249" xr3:uid="{4B3E76A2-F796-4000-80DF-3DE7250DFB05}" name="Column8218"/>
    <tableColumn id="8250" xr3:uid="{E6D76DEE-66A9-47A3-B7C3-7759B993BA22}" name="Column8219"/>
    <tableColumn id="8251" xr3:uid="{30A888AF-2ECB-4AB6-8372-5973FBB07D67}" name="Column8220"/>
    <tableColumn id="8252" xr3:uid="{D82E19B2-7008-4790-8D54-C558E5FA2684}" name="Column8221"/>
    <tableColumn id="8253" xr3:uid="{558F6385-DF24-4960-8D87-C7B5DB96E7FA}" name="Column8222"/>
    <tableColumn id="8254" xr3:uid="{8D4A18EA-9AEF-4424-8498-3D640FA46B83}" name="Column8223"/>
    <tableColumn id="8255" xr3:uid="{C1AD9E10-E51D-4640-A5FC-9A9BE2764A9C}" name="Column8224"/>
    <tableColumn id="8256" xr3:uid="{00DE8160-2FEB-413A-ABEA-1B5E511E148E}" name="Column8225"/>
    <tableColumn id="8257" xr3:uid="{37D92D6B-AE48-4242-85D2-3A15E34150CF}" name="Column8226"/>
    <tableColumn id="8258" xr3:uid="{5455F1DD-CF7B-46BD-A623-439050E291C3}" name="Column8227"/>
    <tableColumn id="8259" xr3:uid="{D664772F-469C-495A-B5E5-C72A6AB6FD90}" name="Column8228"/>
    <tableColumn id="8260" xr3:uid="{EA98D65E-EE67-4B64-9272-C8B755F80EC2}" name="Column8229"/>
    <tableColumn id="8261" xr3:uid="{79C28B6A-294B-4D04-A598-1DD652A372A1}" name="Column8230"/>
    <tableColumn id="8262" xr3:uid="{FB7F808B-222E-4CBA-8E42-3EC72EB288E1}" name="Column8231"/>
    <tableColumn id="8263" xr3:uid="{606FDBAB-CE25-411A-9197-750174A739CD}" name="Column8232"/>
    <tableColumn id="8264" xr3:uid="{5309DEEE-01EA-4552-B378-133BA1023445}" name="Column8233"/>
    <tableColumn id="8265" xr3:uid="{BE157623-0361-4AA2-91FE-B3890C99E81D}" name="Column8234"/>
    <tableColumn id="8266" xr3:uid="{CC101F20-2FF0-45B4-9A01-92000BD10B23}" name="Column8235"/>
    <tableColumn id="8267" xr3:uid="{DC636C63-C160-4C93-A76D-2EFC248B6F1A}" name="Column8236"/>
    <tableColumn id="8268" xr3:uid="{0EF524B7-CE1C-4237-BABD-04D4D5C146F0}" name="Column8237"/>
    <tableColumn id="8269" xr3:uid="{C8A82065-9E7B-472C-947F-D9AEB7433E84}" name="Column8238"/>
    <tableColumn id="8270" xr3:uid="{889A15EB-5DD1-469A-9EAB-B96652DED27F}" name="Column8239"/>
    <tableColumn id="8271" xr3:uid="{5CF111C9-1428-4975-8815-AE8C7ACFCE41}" name="Column8240"/>
    <tableColumn id="8272" xr3:uid="{AB62F128-93A4-41C2-9FA6-3F53707109E8}" name="Column8241"/>
    <tableColumn id="8273" xr3:uid="{7678EA06-2AC1-4B69-8DBB-400B1C10ECBC}" name="Column8242"/>
    <tableColumn id="8274" xr3:uid="{A32D729E-8691-4FB4-9949-C7A7FE158DDE}" name="Column8243"/>
    <tableColumn id="8275" xr3:uid="{DBA640B8-D159-476F-8068-5A4A072FC17A}" name="Column8244"/>
    <tableColumn id="8276" xr3:uid="{90104973-A195-4C94-83EE-165C1532B5D5}" name="Column8245"/>
    <tableColumn id="8277" xr3:uid="{1B416686-C609-4D2E-8BCB-B140083F26C2}" name="Column8246"/>
    <tableColumn id="8278" xr3:uid="{F637732C-698C-4D08-A746-E8BD3EA04CFD}" name="Column8247"/>
    <tableColumn id="8279" xr3:uid="{8CA7CA71-66A1-40F0-AE30-6C6437446C05}" name="Column8248"/>
    <tableColumn id="8280" xr3:uid="{F3DFB225-8118-4E25-B978-F573552D6C45}" name="Column8249"/>
    <tableColumn id="8281" xr3:uid="{7815667B-C6A3-4E57-A71F-23E6BD708DFA}" name="Column8250"/>
    <tableColumn id="8282" xr3:uid="{ECA1E288-D1E1-4A70-9B02-40355729B554}" name="Column8251"/>
    <tableColumn id="8283" xr3:uid="{B024265C-8594-4BE1-91C9-A1D1F1A482EF}" name="Column8252"/>
    <tableColumn id="8284" xr3:uid="{26A1E3AC-DB97-4269-8C4E-F4E44154C5D5}" name="Column8253"/>
    <tableColumn id="8285" xr3:uid="{063DBF19-964A-46A6-985A-C40CA75557C5}" name="Column8254"/>
    <tableColumn id="8286" xr3:uid="{0C3DD4BB-FF09-45D9-ACE8-F34AEE875DD1}" name="Column8255"/>
    <tableColumn id="8287" xr3:uid="{00189026-74A3-4CC7-B01A-2495D3308402}" name="Column8256"/>
    <tableColumn id="8288" xr3:uid="{29290227-7179-401D-A5B9-5B7D75016369}" name="Column8257"/>
    <tableColumn id="8289" xr3:uid="{012CF721-732D-49E0-926C-C71B07F2D284}" name="Column8258"/>
    <tableColumn id="8290" xr3:uid="{EAE4612B-84F3-44B1-A4B5-0D90D9C64E1A}" name="Column8259"/>
    <tableColumn id="8291" xr3:uid="{A016177D-C2EB-4018-8357-CC73684FD34A}" name="Column8260"/>
    <tableColumn id="8292" xr3:uid="{4969E215-40D7-4830-A6F3-4C3F0BBCAEBA}" name="Column8261"/>
    <tableColumn id="8293" xr3:uid="{5AB4E9E0-F068-49BD-9D55-56428351B008}" name="Column8262"/>
    <tableColumn id="8294" xr3:uid="{2CCED843-C5FA-4B3A-852F-67D2668C5AAC}" name="Column8263"/>
    <tableColumn id="8295" xr3:uid="{23D04C2D-6392-4326-AD0A-803FABC9C0D3}" name="Column8264"/>
    <tableColumn id="8296" xr3:uid="{B2D9C15F-2C04-4011-BD4E-375E1114588B}" name="Column8265"/>
    <tableColumn id="8297" xr3:uid="{729B74F5-21FE-4F0A-A3D5-9064CF3CCD08}" name="Column8266"/>
    <tableColumn id="8298" xr3:uid="{5B220DCE-9BB2-4008-9CDD-CF54ECF06961}" name="Column8267"/>
    <tableColumn id="8299" xr3:uid="{74EFBACB-2B5D-437A-94DA-D81DF220065B}" name="Column8268"/>
    <tableColumn id="8300" xr3:uid="{3D968B6A-3A79-415E-8792-21645A126631}" name="Column8269"/>
    <tableColumn id="8301" xr3:uid="{E2E074DA-78EC-44CF-9B45-43590F7878BF}" name="Column8270"/>
    <tableColumn id="8302" xr3:uid="{731F8C13-57F3-43C2-BD1F-D2F7A6A4397A}" name="Column8271"/>
    <tableColumn id="8303" xr3:uid="{33C876B7-70E3-4E63-B401-75A388ED2222}" name="Column8272"/>
    <tableColumn id="8304" xr3:uid="{A51A2806-3A2C-4443-9D83-CFBC5632F059}" name="Column8273"/>
    <tableColumn id="8305" xr3:uid="{91196D72-CEDC-4DD1-B5F6-F82B9FBF7DA0}" name="Column8274"/>
    <tableColumn id="8306" xr3:uid="{8F9EC147-BB80-4FCB-9FD6-B7018D5C012F}" name="Column8275"/>
    <tableColumn id="8307" xr3:uid="{0189990F-F893-4BF1-9FD0-0C06960A355D}" name="Column8276"/>
    <tableColumn id="8308" xr3:uid="{3D8CB6B3-35CA-424C-A70A-111896716BE6}" name="Column8277"/>
    <tableColumn id="8309" xr3:uid="{48FA8908-4494-427E-9B5D-292640D27233}" name="Column8278"/>
    <tableColumn id="8310" xr3:uid="{811AEC51-C436-4EAE-9685-65AAAE5B3737}" name="Column8279"/>
    <tableColumn id="8311" xr3:uid="{61003CDE-71C0-455D-AFD4-909936A9065D}" name="Column8280"/>
    <tableColumn id="8312" xr3:uid="{D1D879F6-6080-4419-A446-745FCA8FCF61}" name="Column8281"/>
    <tableColumn id="8313" xr3:uid="{229D9D0F-D12D-403F-A092-DE8F9B71D809}" name="Column8282"/>
    <tableColumn id="8314" xr3:uid="{214FB8F5-F9AA-4F51-BFC7-4DE1D97BC13A}" name="Column8283"/>
    <tableColumn id="8315" xr3:uid="{00658440-0672-4EED-82D2-554FEFB48712}" name="Column8284"/>
    <tableColumn id="8316" xr3:uid="{B9394499-33C4-4B5D-8529-DCCD996B9417}" name="Column8285"/>
    <tableColumn id="8317" xr3:uid="{D93D4A3F-8729-4689-8CA9-BCA39BF31B38}" name="Column8286"/>
    <tableColumn id="8318" xr3:uid="{1F871853-6A1D-4607-8206-C7B8513235D5}" name="Column8287"/>
    <tableColumn id="8319" xr3:uid="{753917A6-C2F5-4BAE-A1E6-590DD991F6AE}" name="Column8288"/>
    <tableColumn id="8320" xr3:uid="{960E64F8-5FA9-4D82-BD04-46297CB73FA7}" name="Column8289"/>
    <tableColumn id="8321" xr3:uid="{5BCBBD2C-F2DB-4E62-AA62-94F37D628FEF}" name="Column8290"/>
    <tableColumn id="8322" xr3:uid="{4F569771-1AC7-42AD-9B66-B66FC45005DE}" name="Column8291"/>
    <tableColumn id="8323" xr3:uid="{61FC2401-BC92-48D8-AC36-F73B216890B1}" name="Column8292"/>
    <tableColumn id="8324" xr3:uid="{E73E223E-7C8F-4BF3-B873-8F49EE885F17}" name="Column8293"/>
    <tableColumn id="8325" xr3:uid="{F2805E55-ECD6-47D7-8071-97120C4BDC4B}" name="Column8294"/>
    <tableColumn id="8326" xr3:uid="{33BF2FD6-84A6-4649-ABC3-5B5F022BA40F}" name="Column8295"/>
    <tableColumn id="8327" xr3:uid="{C147361B-11D1-44B6-9293-5EFB29B987C7}" name="Column8296"/>
    <tableColumn id="8328" xr3:uid="{6D5C144C-EE43-447F-B325-735838DC8596}" name="Column8297"/>
    <tableColumn id="8329" xr3:uid="{C4CFCA85-208B-4DCF-81B8-A91CDD46EF6F}" name="Column8298"/>
    <tableColumn id="8330" xr3:uid="{2A87B3BD-BB2F-49D3-B96B-DF34B89C4F53}" name="Column8299"/>
    <tableColumn id="8331" xr3:uid="{F4D83AFF-A9C8-4E08-810F-80286DB09F44}" name="Column8300"/>
    <tableColumn id="8332" xr3:uid="{AB24D14E-46AB-4654-879E-7EEDB6A8C82C}" name="Column8301"/>
    <tableColumn id="8333" xr3:uid="{D298C7BD-E6F8-496B-85C0-5A55C7A903D9}" name="Column8302"/>
    <tableColumn id="8334" xr3:uid="{C3BBFFD7-870A-43C9-A623-D9123D1708B9}" name="Column8303"/>
    <tableColumn id="8335" xr3:uid="{8AD64237-1669-4AC1-A11C-DE9A5F8A8186}" name="Column8304"/>
    <tableColumn id="8336" xr3:uid="{6709531E-7F63-4AB4-A253-EE5F1D7E7705}" name="Column8305"/>
    <tableColumn id="8337" xr3:uid="{F6DBCC06-5002-4B7A-9430-3317DE9714BA}" name="Column8306"/>
    <tableColumn id="8338" xr3:uid="{9976C281-4544-47C3-BAF0-C86EE95B053B}" name="Column8307"/>
    <tableColumn id="8339" xr3:uid="{2D994718-EB5C-4FF6-872F-0D447D6F2D41}" name="Column8308"/>
    <tableColumn id="8340" xr3:uid="{77A9B992-4AA7-4771-A7F4-970F32A84714}" name="Column8309"/>
    <tableColumn id="8341" xr3:uid="{EC249414-3763-40F5-8979-A674F620B23A}" name="Column8310"/>
    <tableColumn id="8342" xr3:uid="{B9AAFF41-22FD-4191-8C6F-1416F6990474}" name="Column8311"/>
    <tableColumn id="8343" xr3:uid="{C7A385B3-899B-4F66-A663-840B84B675E2}" name="Column8312"/>
    <tableColumn id="8344" xr3:uid="{D38FA8BF-2A42-4904-93C6-5D63C3DD0240}" name="Column8313"/>
    <tableColumn id="8345" xr3:uid="{1C9CB557-CE7D-4379-BDAC-BE7A56DF9B0B}" name="Column8314"/>
    <tableColumn id="8346" xr3:uid="{E026541D-BDCF-4987-96B3-896A34400FCB}" name="Column8315"/>
    <tableColumn id="8347" xr3:uid="{9B6119C3-578F-4D14-B5FC-6842532EC2D0}" name="Column8316"/>
    <tableColumn id="8348" xr3:uid="{5CF6C53B-D391-476E-A17E-31DACDF2BA28}" name="Column8317"/>
    <tableColumn id="8349" xr3:uid="{F14C645E-3A15-4563-94AE-CABFDAA69E12}" name="Column8318"/>
    <tableColumn id="8350" xr3:uid="{0B9C931C-305D-4F79-8D03-0E7B6BC0685D}" name="Column8319"/>
    <tableColumn id="8351" xr3:uid="{08075A5C-10A2-48BB-A938-1B893454138F}" name="Column8320"/>
    <tableColumn id="8352" xr3:uid="{DF4389DD-9B12-48EA-85B6-365D2FBCC63C}" name="Column8321"/>
    <tableColumn id="8353" xr3:uid="{FBDE3465-E2E5-42BC-AEBB-241F005D9A24}" name="Column8322"/>
    <tableColumn id="8354" xr3:uid="{EBB0C5B7-EC55-4575-89C8-EAD58CEA5AAC}" name="Column8323"/>
    <tableColumn id="8355" xr3:uid="{F7721EFE-6FB5-470E-BEC2-D7F12E7DEF85}" name="Column8324"/>
    <tableColumn id="8356" xr3:uid="{04C5A612-BE9C-4DB1-AC93-BDB69E8BD08B}" name="Column8325"/>
    <tableColumn id="8357" xr3:uid="{E90D59E7-9ACC-42DF-B76D-501B6C9843CD}" name="Column8326"/>
    <tableColumn id="8358" xr3:uid="{630C9EB8-FA62-4150-A927-2EB1A0F5AD93}" name="Column8327"/>
    <tableColumn id="8359" xr3:uid="{693AECC2-D9E5-4B1C-BC54-6CE8DFFBC832}" name="Column8328"/>
    <tableColumn id="8360" xr3:uid="{F4559F9A-70C5-4317-B8EA-09A532714CA1}" name="Column8329"/>
    <tableColumn id="8361" xr3:uid="{42A67CC5-6978-49AB-9880-ED0C38A4B735}" name="Column8330"/>
    <tableColumn id="8362" xr3:uid="{FAF8EB17-B4D8-4F50-A857-7AE800FABD65}" name="Column8331"/>
    <tableColumn id="8363" xr3:uid="{84F95443-CA59-4293-95A5-046855DF1B4D}" name="Column8332"/>
    <tableColumn id="8364" xr3:uid="{1BF5052C-DB4B-4B0A-8FEC-388B745FC739}" name="Column8333"/>
    <tableColumn id="8365" xr3:uid="{C69D3569-6B14-4F3B-83A0-9C6B2D7011BC}" name="Column8334"/>
    <tableColumn id="8366" xr3:uid="{5C93138D-C9F2-4603-94DF-7E2FDA5FD222}" name="Column8335"/>
    <tableColumn id="8367" xr3:uid="{898A9F53-DBE1-4FF8-BE67-783AB4CF7B3B}" name="Column8336"/>
    <tableColumn id="8368" xr3:uid="{CBF8E0A9-F1F4-4511-B4F7-6702544FB5B8}" name="Column8337"/>
    <tableColumn id="8369" xr3:uid="{93167D2D-0FC0-44EE-9E15-5BA5B8212272}" name="Column8338"/>
    <tableColumn id="8370" xr3:uid="{D7D6C710-8372-4E80-B439-105A0C9D5084}" name="Column8339"/>
    <tableColumn id="8371" xr3:uid="{CA031B48-4094-443D-A1D7-2C0E4836B49C}" name="Column8340"/>
    <tableColumn id="8372" xr3:uid="{3A649B6F-36E3-421D-AAA8-E0280C6F725C}" name="Column8341"/>
    <tableColumn id="8373" xr3:uid="{EA378B9A-B445-4D94-88C0-596EE7D61A7C}" name="Column8342"/>
    <tableColumn id="8374" xr3:uid="{A6755CBB-AA13-4A24-8626-BE0595FA9C82}" name="Column8343"/>
    <tableColumn id="8375" xr3:uid="{AF22785D-480D-458B-912C-27BDE2A511D1}" name="Column8344"/>
    <tableColumn id="8376" xr3:uid="{C25FC92A-CDEC-443E-86A5-FC1893E5AC0E}" name="Column8345"/>
    <tableColumn id="8377" xr3:uid="{6710BE93-D139-4CA0-9778-5349A19734FA}" name="Column8346"/>
    <tableColumn id="8378" xr3:uid="{457EDDCF-3FED-4591-8498-F452740F073D}" name="Column8347"/>
    <tableColumn id="8379" xr3:uid="{91BDF713-BC56-46DE-9735-3B2DC51A2C19}" name="Column8348"/>
    <tableColumn id="8380" xr3:uid="{66CFCA04-775B-4C72-8669-737ACF53436C}" name="Column8349"/>
    <tableColumn id="8381" xr3:uid="{EEBDBEF4-AFCC-4830-9472-5ABB2CB8144B}" name="Column8350"/>
    <tableColumn id="8382" xr3:uid="{06ADD411-4B08-4644-AD37-3AC308BA8879}" name="Column8351"/>
    <tableColumn id="8383" xr3:uid="{F0489AA0-3698-49DF-BB3E-932590727DAD}" name="Column8352"/>
    <tableColumn id="8384" xr3:uid="{5779FB90-0E0F-448E-B597-89D5EFE65641}" name="Column8353"/>
    <tableColumn id="8385" xr3:uid="{31240C5A-8E79-4925-99CB-4742A668016C}" name="Column8354"/>
    <tableColumn id="8386" xr3:uid="{15E96241-BA0D-4B44-A2C9-7CB9D3E06F13}" name="Column8355"/>
    <tableColumn id="8387" xr3:uid="{650F7A13-0BE5-4DDA-9FEF-D23B9C44FC72}" name="Column8356"/>
    <tableColumn id="8388" xr3:uid="{0BFF9DE7-E05B-4596-ACC1-1290C4198497}" name="Column8357"/>
    <tableColumn id="8389" xr3:uid="{3272FBDF-5D0D-45C4-B10C-0F552198619F}" name="Column8358"/>
    <tableColumn id="8390" xr3:uid="{FE70B560-E70B-4ED9-9FFC-B3BB8B6AFA33}" name="Column8359"/>
    <tableColumn id="8391" xr3:uid="{78277BAD-8D4C-4853-A72D-DD61B59D89E3}" name="Column8360"/>
    <tableColumn id="8392" xr3:uid="{3A6B389F-5E8D-418F-A35D-CE7DB147DE7F}" name="Column8361"/>
    <tableColumn id="8393" xr3:uid="{1DC15AFA-063F-4836-91C5-5F7C48C224C4}" name="Column8362"/>
    <tableColumn id="8394" xr3:uid="{582BB2BF-E197-43E8-A495-176D19EC05DA}" name="Column8363"/>
    <tableColumn id="8395" xr3:uid="{53E5BFF1-BBD1-4174-A020-AE431D29FB84}" name="Column8364"/>
    <tableColumn id="8396" xr3:uid="{165ADAF1-2169-4224-9B2A-565975DB0CBA}" name="Column8365"/>
    <tableColumn id="8397" xr3:uid="{F3F7828E-2B92-49BB-8616-C56B1F06E73F}" name="Column8366"/>
    <tableColumn id="8398" xr3:uid="{0F877CB3-C69F-4979-8331-48112B5042A1}" name="Column8367"/>
    <tableColumn id="8399" xr3:uid="{AF2657AC-EE1A-41F7-A987-8DC9D6DB279F}" name="Column8368"/>
    <tableColumn id="8400" xr3:uid="{0A5A0C93-F048-4747-AF4C-2AC9D758FF6A}" name="Column8369"/>
    <tableColumn id="8401" xr3:uid="{17A4B488-2DD4-41E7-839A-4F2E530FFB1B}" name="Column8370"/>
    <tableColumn id="8402" xr3:uid="{AA695032-3E1E-4F06-9A51-313AEB64E8C1}" name="Column8371"/>
    <tableColumn id="8403" xr3:uid="{38FBB2C1-412B-4107-95C0-5FB608A77144}" name="Column8372"/>
    <tableColumn id="8404" xr3:uid="{A50C335E-7C1C-42B5-AF73-A3F9B0481B43}" name="Column8373"/>
    <tableColumn id="8405" xr3:uid="{9CDA5345-22D6-4BF6-9A6E-2E9A1FFEBDD2}" name="Column8374"/>
    <tableColumn id="8406" xr3:uid="{C24624E0-F2D8-4C32-B6C6-928FBCB2983B}" name="Column8375"/>
    <tableColumn id="8407" xr3:uid="{C1F2D760-4B25-4F2D-86B5-DD7950959574}" name="Column8376"/>
    <tableColumn id="8408" xr3:uid="{636CC0AA-633B-45A6-A469-86ECB48878F6}" name="Column8377"/>
    <tableColumn id="8409" xr3:uid="{0AA3992C-A009-4AD5-BE59-EBA4185655DF}" name="Column8378"/>
    <tableColumn id="8410" xr3:uid="{0D244179-0B7D-4D24-961F-92E075B3F0BF}" name="Column8379"/>
    <tableColumn id="8411" xr3:uid="{D45936CA-1CF6-426D-878E-2ACED8449547}" name="Column8380"/>
    <tableColumn id="8412" xr3:uid="{3B410583-4654-4E0E-96E0-6135B19CAE1C}" name="Column8381"/>
    <tableColumn id="8413" xr3:uid="{FC3923DE-4133-4E5C-8DC7-038228E14478}" name="Column8382"/>
    <tableColumn id="8414" xr3:uid="{02FF57E8-4696-42FB-B1DA-26C69153C86D}" name="Column8383"/>
    <tableColumn id="8415" xr3:uid="{1BB085E3-AC0D-4A0A-9D8C-67D6343F25D5}" name="Column8384"/>
    <tableColumn id="8416" xr3:uid="{43807930-ADFD-49D1-BAA0-78DB74C899A4}" name="Column8385"/>
    <tableColumn id="8417" xr3:uid="{F27FDF34-14F1-47A0-B64E-473CC21B7238}" name="Column8386"/>
    <tableColumn id="8418" xr3:uid="{5F3BB01A-3ACF-492D-B730-531457F5B044}" name="Column8387"/>
    <tableColumn id="8419" xr3:uid="{41CCCC1B-B795-46CB-9D2E-F83FFD4E895B}" name="Column8388"/>
    <tableColumn id="8420" xr3:uid="{4EAE8DB6-3A26-4F36-9AF2-D5BAF809A38F}" name="Column8389"/>
    <tableColumn id="8421" xr3:uid="{375BCB0A-2531-48E7-935D-A3EA5C86D411}" name="Column8390"/>
    <tableColumn id="8422" xr3:uid="{4BE20CF0-B08B-44B3-A29E-AB08940E14B3}" name="Column8391"/>
    <tableColumn id="8423" xr3:uid="{1D095B2A-7513-4B6B-86FB-889CD0D498E3}" name="Column8392"/>
    <tableColumn id="8424" xr3:uid="{07FB938D-52DC-48B2-A280-1C9BE7A452FE}" name="Column8393"/>
    <tableColumn id="8425" xr3:uid="{6CECE0D8-A38F-452A-88C0-A34E317314FB}" name="Column8394"/>
    <tableColumn id="8426" xr3:uid="{89B86F77-F1F6-41D8-A7CF-B4A8E1E798C5}" name="Column8395"/>
    <tableColumn id="8427" xr3:uid="{BBE9CAD9-F78C-4B9A-985B-0B50C17594E2}" name="Column8396"/>
    <tableColumn id="8428" xr3:uid="{41E5DF75-84AA-4F31-8ED5-711DA36193BA}" name="Column8397"/>
    <tableColumn id="8429" xr3:uid="{C919A3C6-1D94-4CBA-8F64-C02A4724270C}" name="Column8398"/>
    <tableColumn id="8430" xr3:uid="{C75E666D-CBF1-469A-A9DE-509DF731484C}" name="Column8399"/>
    <tableColumn id="8431" xr3:uid="{DB4D2DFA-3C8C-48FA-9585-B85F4A73424E}" name="Column8400"/>
    <tableColumn id="8432" xr3:uid="{00592B67-6CC6-44AE-8E20-F544FDB888B0}" name="Column8401"/>
    <tableColumn id="8433" xr3:uid="{9BF02A7A-E734-4006-94B8-E2C53FCFF67C}" name="Column8402"/>
    <tableColumn id="8434" xr3:uid="{19C3F906-20B2-4878-AC68-A0E8FE1A901F}" name="Column8403"/>
    <tableColumn id="8435" xr3:uid="{BDF279C0-1C1F-4709-8EF0-8B6F8441E57C}" name="Column8404"/>
    <tableColumn id="8436" xr3:uid="{4DE5D25D-A284-459C-9D21-4944CDD50980}" name="Column8405"/>
    <tableColumn id="8437" xr3:uid="{56865EEB-37CD-4130-BEC1-AD34D7346FAB}" name="Column8406"/>
    <tableColumn id="8438" xr3:uid="{B13B366E-3DE0-4C20-B91C-51911268A589}" name="Column8407"/>
    <tableColumn id="8439" xr3:uid="{B98E1959-F669-465F-87D0-111D4D8CC55F}" name="Column8408"/>
    <tableColumn id="8440" xr3:uid="{DF06967B-B181-4C44-8426-0DA24B3213A7}" name="Column8409"/>
    <tableColumn id="8441" xr3:uid="{414528FD-2700-4FAC-A118-B6A004E6ABD6}" name="Column8410"/>
    <tableColumn id="8442" xr3:uid="{6D01DB15-1B64-4D9B-BB66-B89E6E36C25E}" name="Column8411"/>
    <tableColumn id="8443" xr3:uid="{D08F7BED-006B-4C20-86C2-D886C8CD8236}" name="Column8412"/>
    <tableColumn id="8444" xr3:uid="{B6814AE7-53D8-4780-8148-DC67FA49185D}" name="Column8413"/>
    <tableColumn id="8445" xr3:uid="{CC974B5B-47DA-45F8-8F27-7F7E28B876F5}" name="Column8414"/>
    <tableColumn id="8446" xr3:uid="{FD17A716-436F-4302-AC94-0BC80F50F39B}" name="Column8415"/>
    <tableColumn id="8447" xr3:uid="{268E2576-F152-47EC-9300-22D17E0DD8C3}" name="Column8416"/>
    <tableColumn id="8448" xr3:uid="{9C80BA1C-48D3-4C76-8F8A-E65010319736}" name="Column8417"/>
    <tableColumn id="8449" xr3:uid="{F3C7B794-4FB2-4F2D-9FF9-313ABAFCFBA9}" name="Column8418"/>
    <tableColumn id="8450" xr3:uid="{92219CC5-CCF1-414E-BDFF-C8B6F19FE881}" name="Column8419"/>
    <tableColumn id="8451" xr3:uid="{326FCF20-BE1B-4265-B1E8-CCF2E4CFE051}" name="Column8420"/>
    <tableColumn id="8452" xr3:uid="{2D41BB70-85F5-457E-A91D-9E9508210C22}" name="Column8421"/>
    <tableColumn id="8453" xr3:uid="{CE67825B-C62F-4850-B309-79931A5253E4}" name="Column8422"/>
    <tableColumn id="8454" xr3:uid="{F449BE85-24AF-4A00-8BC5-788C46C082AB}" name="Column8423"/>
    <tableColumn id="8455" xr3:uid="{C55884E3-F138-404E-A0A3-71CB0CFFECB6}" name="Column8424"/>
    <tableColumn id="8456" xr3:uid="{95198511-5A55-4030-976F-9F65560A1C38}" name="Column8425"/>
    <tableColumn id="8457" xr3:uid="{AB4A54C9-18E6-44D8-93F1-A0A05671C232}" name="Column8426"/>
    <tableColumn id="8458" xr3:uid="{BB4984E9-2E47-494E-8451-E0E96EC1CC6A}" name="Column8427"/>
    <tableColumn id="8459" xr3:uid="{6DC2B9A6-DC65-4415-9EC2-80958068B642}" name="Column8428"/>
    <tableColumn id="8460" xr3:uid="{F8B7A6EB-1CC5-4827-9AD4-70BB90148964}" name="Column8429"/>
    <tableColumn id="8461" xr3:uid="{9BA6EC95-B289-45B8-AE6E-0D754E2CD530}" name="Column8430"/>
    <tableColumn id="8462" xr3:uid="{0CB736AB-AE18-4D92-92D5-AE4B8270E025}" name="Column8431"/>
    <tableColumn id="8463" xr3:uid="{0F62FF6F-389A-4A85-A23E-82AE6D1AEFCC}" name="Column8432"/>
    <tableColumn id="8464" xr3:uid="{8471B24C-76A3-4FC9-9A8E-D0BD5D7996A9}" name="Column8433"/>
    <tableColumn id="8465" xr3:uid="{5E57F095-6651-48BB-94AB-DA383B3E0C88}" name="Column8434"/>
    <tableColumn id="8466" xr3:uid="{8C800E4B-3A7F-4F7E-8FF7-1A56AABF8EB5}" name="Column8435"/>
    <tableColumn id="8467" xr3:uid="{1A3C5FB7-C0E0-4A94-B1B4-B68CBC0205D0}" name="Column8436"/>
    <tableColumn id="8468" xr3:uid="{4D92BEBA-4978-43B1-9FE2-77764A2600BC}" name="Column8437"/>
    <tableColumn id="8469" xr3:uid="{215DAF58-B625-4B35-ABB8-F85EA7221AB2}" name="Column8438"/>
    <tableColumn id="8470" xr3:uid="{16E18A7F-2DE4-41F7-BB17-74EC4F80758F}" name="Column8439"/>
    <tableColumn id="8471" xr3:uid="{A5D20980-E6A1-4C4E-839B-DAEE1A8D0C27}" name="Column8440"/>
    <tableColumn id="8472" xr3:uid="{A8D76F44-FC76-4611-9DD4-A194F00A01B6}" name="Column8441"/>
    <tableColumn id="8473" xr3:uid="{AB9DB01D-7163-4E1E-9A60-3FBD11B29D28}" name="Column8442"/>
    <tableColumn id="8474" xr3:uid="{E897EF3D-DE8E-46C2-8C91-56C93274C77C}" name="Column8443"/>
    <tableColumn id="8475" xr3:uid="{63CEBBDB-0734-47E6-929C-2A580ABEFD76}" name="Column8444"/>
    <tableColumn id="8476" xr3:uid="{FB69C81B-91E2-4754-A44E-400839F091CD}" name="Column8445"/>
    <tableColumn id="8477" xr3:uid="{0CC66E89-C5FB-4B74-B709-D8A27CD882E6}" name="Column8446"/>
    <tableColumn id="8478" xr3:uid="{9B6B7F27-76C1-4636-9665-EE5FA72F5766}" name="Column8447"/>
    <tableColumn id="8479" xr3:uid="{D4CD294F-CDAE-4877-BEA6-1F57B9E16566}" name="Column8448"/>
    <tableColumn id="8480" xr3:uid="{CFA183C0-EAFC-4EB2-9675-A03BB692FF49}" name="Column8449"/>
    <tableColumn id="8481" xr3:uid="{7470722C-D1C6-4714-9B78-99DAA64738B9}" name="Column8450"/>
    <tableColumn id="8482" xr3:uid="{6C042A74-86E5-4627-9CFE-ADA56CD700D1}" name="Column8451"/>
    <tableColumn id="8483" xr3:uid="{E01F0C68-2061-4320-A778-BA6E903EF904}" name="Column8452"/>
    <tableColumn id="8484" xr3:uid="{C9D07F70-39B8-47E6-B194-B52373DFA07B}" name="Column8453"/>
    <tableColumn id="8485" xr3:uid="{10DFF716-A5D2-4D26-891A-55618A9E1AAA}" name="Column8454"/>
    <tableColumn id="8486" xr3:uid="{1FB84AE7-2496-463E-8C9F-0ED5B5B03EAA}" name="Column8455"/>
    <tableColumn id="8487" xr3:uid="{83771279-D11F-4753-A87C-42208B2EB951}" name="Column8456"/>
    <tableColumn id="8488" xr3:uid="{07B0C7EA-6F7E-487E-B7B0-039C2A58EB06}" name="Column8457"/>
    <tableColumn id="8489" xr3:uid="{85903D91-69C9-4521-ADA6-D930E8B1F21E}" name="Column8458"/>
    <tableColumn id="8490" xr3:uid="{CC2884F4-3A50-4D22-9075-1F060F85741F}" name="Column8459"/>
    <tableColumn id="8491" xr3:uid="{B285F4FB-0F40-47B8-B81F-C3C874945773}" name="Column8460"/>
    <tableColumn id="8492" xr3:uid="{FAA9FA3E-9D92-4116-A5D4-017CFD589815}" name="Column8461"/>
    <tableColumn id="8493" xr3:uid="{872D9BDC-16EA-49C5-935D-67CA46ADB7B8}" name="Column8462"/>
    <tableColumn id="8494" xr3:uid="{15BE4F5A-989B-405C-8950-343F2D7BB7B3}" name="Column8463"/>
    <tableColumn id="8495" xr3:uid="{DFF414BC-2C88-4A7B-9253-BE86EA44BBD8}" name="Column8464"/>
    <tableColumn id="8496" xr3:uid="{DAB247EB-4D65-44AF-BF1B-4DB39828DD9E}" name="Column8465"/>
    <tableColumn id="8497" xr3:uid="{17D414CC-A550-47C6-B8F9-400053982A2A}" name="Column8466"/>
    <tableColumn id="8498" xr3:uid="{2AB81B96-65DA-46D0-86AB-8F61769AF25A}" name="Column8467"/>
    <tableColumn id="8499" xr3:uid="{1AB78ED9-4905-46B6-92CD-63D9F66EB4B0}" name="Column8468"/>
    <tableColumn id="8500" xr3:uid="{77F630DE-C497-4BCD-8046-BF1D7B442F50}" name="Column8469"/>
    <tableColumn id="8501" xr3:uid="{411C82BA-70AD-43A1-AF9B-9B76341C9F4B}" name="Column8470"/>
    <tableColumn id="8502" xr3:uid="{63EFECDB-B33D-4402-B3A1-CE19DD170FAC}" name="Column8471"/>
    <tableColumn id="8503" xr3:uid="{EAB9F945-BA0C-483A-B282-554A6EFD8707}" name="Column8472"/>
    <tableColumn id="8504" xr3:uid="{BCC37180-1661-4B5E-AAED-B4D5AA0A6FD2}" name="Column8473"/>
    <tableColumn id="8505" xr3:uid="{783F8BB9-C1F8-4F31-87D7-BA9C11CC7E78}" name="Column8474"/>
    <tableColumn id="8506" xr3:uid="{2FE778F5-EFA3-42C5-A9A6-86D2E558BD3E}" name="Column8475"/>
    <tableColumn id="8507" xr3:uid="{E8CF56D0-78BB-453B-A9C3-3C01C102731A}" name="Column8476"/>
    <tableColumn id="8508" xr3:uid="{DE364A3D-78B3-439A-B9B0-370D3F8DAF4A}" name="Column8477"/>
    <tableColumn id="8509" xr3:uid="{90F912B2-2239-4A2F-9446-67704B1AB0FF}" name="Column8478"/>
    <tableColumn id="8510" xr3:uid="{A8511456-C745-4085-8396-7222CD499A67}" name="Column8479"/>
    <tableColumn id="8511" xr3:uid="{D8054CE6-2B10-44A9-8438-3E1028891ECD}" name="Column8480"/>
    <tableColumn id="8512" xr3:uid="{202204EF-4F93-4244-B084-1F82E15BBB97}" name="Column8481"/>
    <tableColumn id="8513" xr3:uid="{A818044E-30C2-4146-9E8A-3E321E634560}" name="Column8482"/>
    <tableColumn id="8514" xr3:uid="{87561629-704E-4382-87E3-7D6CD658CBDF}" name="Column8483"/>
    <tableColumn id="8515" xr3:uid="{0DDAD8C6-0889-4665-B93E-2A486A0B25DC}" name="Column8484"/>
    <tableColumn id="8516" xr3:uid="{92E3B8E8-DA02-46C9-8467-494A54C678DE}" name="Column8485"/>
    <tableColumn id="8517" xr3:uid="{D91ECBA5-7F4B-4633-AE47-1291222CA929}" name="Column8486"/>
    <tableColumn id="8518" xr3:uid="{99C66DEC-B952-4145-BA3F-BFFFBFA0F5D2}" name="Column8487"/>
    <tableColumn id="8519" xr3:uid="{0D54BE6F-3BC1-41FB-A77A-FD6AA2575C77}" name="Column8488"/>
    <tableColumn id="8520" xr3:uid="{AB3B0404-8A56-4E39-ACE1-266B92EA7F3A}" name="Column8489"/>
    <tableColumn id="8521" xr3:uid="{3B35B746-08D7-4540-93DA-686E9055E368}" name="Column8490"/>
    <tableColumn id="8522" xr3:uid="{8A763E4E-5FB7-4F5A-801C-E4BD127BE36F}" name="Column8491"/>
    <tableColumn id="8523" xr3:uid="{2927EF52-2736-49F2-AD08-E5036B241EB7}" name="Column8492"/>
    <tableColumn id="8524" xr3:uid="{3BE1F52A-0366-4CD7-881B-B452BDFE6B92}" name="Column8493"/>
    <tableColumn id="8525" xr3:uid="{12E822C8-FC0D-4265-91D5-6CF31B04470F}" name="Column8494"/>
    <tableColumn id="8526" xr3:uid="{C1C3AA47-19CF-4DE4-8605-6021AA00E68A}" name="Column8495"/>
    <tableColumn id="8527" xr3:uid="{91EE1AA9-A198-4A8E-AA83-9D0AD9E76D59}" name="Column8496"/>
    <tableColumn id="8528" xr3:uid="{F8F01BEB-8F5B-42CA-986C-77F3EB7B74F7}" name="Column8497"/>
    <tableColumn id="8529" xr3:uid="{C079BB19-E756-4062-8EE1-8AB2C9B281A4}" name="Column8498"/>
    <tableColumn id="8530" xr3:uid="{65E2367E-0748-407F-988C-E280A4DADFF0}" name="Column8499"/>
    <tableColumn id="8531" xr3:uid="{02E8882E-8244-4094-9FC5-2FF59321EEEC}" name="Column8500"/>
    <tableColumn id="8532" xr3:uid="{4B8D1A1E-D9F8-42B1-8444-49E3EA4AA6A6}" name="Column8501"/>
    <tableColumn id="8533" xr3:uid="{DF13B40E-4F01-4C73-B55D-D6B83405538A}" name="Column8502"/>
    <tableColumn id="8534" xr3:uid="{DD206B53-B048-4DA5-8A21-CF4F55B64F1F}" name="Column8503"/>
    <tableColumn id="8535" xr3:uid="{0AF76F0D-F444-407D-B346-877D1A573AD0}" name="Column8504"/>
    <tableColumn id="8536" xr3:uid="{80A2A3D7-8334-4505-A3AA-CD3B819C94AF}" name="Column8505"/>
    <tableColumn id="8537" xr3:uid="{6478FC74-5317-426E-89AF-47E743622A25}" name="Column8506"/>
    <tableColumn id="8538" xr3:uid="{B628F164-1296-4E6C-B9AE-BF7C6F05CFCD}" name="Column8507"/>
    <tableColumn id="8539" xr3:uid="{85F044AD-D3F3-4A45-95E8-D574C66F3848}" name="Column8508"/>
    <tableColumn id="8540" xr3:uid="{EBD16B0A-BF04-4222-9958-1A11A492D324}" name="Column8509"/>
    <tableColumn id="8541" xr3:uid="{7DAE8681-376A-4C2F-885C-6CC17D231FB6}" name="Column8510"/>
    <tableColumn id="8542" xr3:uid="{EA402822-7C6C-4AD3-8731-0FE406D08064}" name="Column8511"/>
    <tableColumn id="8543" xr3:uid="{6597ED6B-1C57-472B-8385-753AF72482A9}" name="Column8512"/>
    <tableColumn id="8544" xr3:uid="{6BF76BAA-65DC-4951-8EC8-B85FA2350286}" name="Column8513"/>
    <tableColumn id="8545" xr3:uid="{B567FE71-14E0-4F1F-8AA5-1C47FB95775A}" name="Column8514"/>
    <tableColumn id="8546" xr3:uid="{80776530-9C9A-4D54-9ADC-D6786F0E86A5}" name="Column8515"/>
    <tableColumn id="8547" xr3:uid="{C63FF0B7-8408-4B6F-8ACA-18121C3A3A6C}" name="Column8516"/>
    <tableColumn id="8548" xr3:uid="{6ED70BF8-5DF8-4974-9B76-2F869950B19F}" name="Column8517"/>
    <tableColumn id="8549" xr3:uid="{9FB1C034-E09C-466B-B714-C53CEE28B182}" name="Column8518"/>
    <tableColumn id="8550" xr3:uid="{F4B27880-0E08-42C0-A70E-33D1EF856FAC}" name="Column8519"/>
    <tableColumn id="8551" xr3:uid="{332F5C91-9036-49A6-8F79-615DA2C5717F}" name="Column8520"/>
    <tableColumn id="8552" xr3:uid="{530F747B-045C-45EE-B682-1204910CC887}" name="Column8521"/>
    <tableColumn id="8553" xr3:uid="{E45FE466-D102-4352-91C8-02B5F102DA87}" name="Column8522"/>
    <tableColumn id="8554" xr3:uid="{75FBCD8C-9708-4116-A944-82447FB24D5E}" name="Column8523"/>
    <tableColumn id="8555" xr3:uid="{91EA5ED6-BDA0-4E3E-BA5F-6BD84758F649}" name="Column8524"/>
    <tableColumn id="8556" xr3:uid="{CC974CF0-B1E6-4CB9-8EF3-01C82C75938B}" name="Column8525"/>
    <tableColumn id="8557" xr3:uid="{D952018A-6257-473B-8E0F-EE97BE79F399}" name="Column8526"/>
    <tableColumn id="8558" xr3:uid="{6CB0865E-B5BB-418B-AC17-235B3F62F9D3}" name="Column8527"/>
    <tableColumn id="8559" xr3:uid="{329260D2-CA44-4D80-949E-35903E3AE27B}" name="Column8528"/>
    <tableColumn id="8560" xr3:uid="{C6C764D7-948A-4DCB-BDCF-06B57BD29AE0}" name="Column8529"/>
    <tableColumn id="8561" xr3:uid="{B1DE3ACE-626D-4041-AFE4-8C54DE077CDD}" name="Column8530"/>
    <tableColumn id="8562" xr3:uid="{5AF3F560-1365-46BA-B091-50586B5A254C}" name="Column8531"/>
    <tableColumn id="8563" xr3:uid="{B5380998-9FCD-4CCA-8C62-21168F9BD8AC}" name="Column8532"/>
    <tableColumn id="8564" xr3:uid="{26F4A7CB-50B4-47C6-9DAF-E63111D868FD}" name="Column8533"/>
    <tableColumn id="8565" xr3:uid="{0C9671BF-E9BC-4056-A684-95B7D48D57BE}" name="Column8534"/>
    <tableColumn id="8566" xr3:uid="{28C683A9-E3A3-4906-9575-45746B308CCB}" name="Column8535"/>
    <tableColumn id="8567" xr3:uid="{3A4D59F1-9AAA-47B6-B987-5D8399CA0789}" name="Column8536"/>
    <tableColumn id="8568" xr3:uid="{EB614818-CEB3-406B-BE83-2B29EA5A7FF5}" name="Column8537"/>
    <tableColumn id="8569" xr3:uid="{A36714F0-BD37-4B74-99D0-77E2458BC59E}" name="Column8538"/>
    <tableColumn id="8570" xr3:uid="{5F50407C-955A-42C3-BC25-84141C459863}" name="Column8539"/>
    <tableColumn id="8571" xr3:uid="{003ECF42-009C-462E-9662-9E22B3FC1411}" name="Column8540"/>
    <tableColumn id="8572" xr3:uid="{F5CC34E8-25A4-40C6-912D-BD003B633F8B}" name="Column8541"/>
    <tableColumn id="8573" xr3:uid="{E4B0CBE5-1FBB-4FF2-B0D5-726E1B9297F7}" name="Column8542"/>
    <tableColumn id="8574" xr3:uid="{951D274F-0098-40B4-B55A-87E72788D7DB}" name="Column8543"/>
    <tableColumn id="8575" xr3:uid="{307625F2-C620-4F5F-B200-124D42CBD916}" name="Column8544"/>
    <tableColumn id="8576" xr3:uid="{33902843-53EF-432A-AAA7-8893AD8DB205}" name="Column8545"/>
    <tableColumn id="8577" xr3:uid="{761E4127-6395-4226-A907-DE387F3B9709}" name="Column8546"/>
    <tableColumn id="8578" xr3:uid="{32106D4B-5B41-4875-9B8D-BCD5C28C052B}" name="Column8547"/>
    <tableColumn id="8579" xr3:uid="{F4550479-AD22-4523-AEE7-8DBC8CFC52A4}" name="Column8548"/>
    <tableColumn id="8580" xr3:uid="{60366EC7-CB0D-453F-9DB5-F33A532305CF}" name="Column8549"/>
    <tableColumn id="8581" xr3:uid="{805964F8-59E9-4F91-95A0-7994CD812CA9}" name="Column8550"/>
    <tableColumn id="8582" xr3:uid="{E73EE379-3CB0-46A7-A418-D5512331EA33}" name="Column8551"/>
    <tableColumn id="8583" xr3:uid="{33554946-CC4E-4992-BC7C-B8D67E0AC2E7}" name="Column8552"/>
    <tableColumn id="8584" xr3:uid="{4B269A30-5E95-49AF-BE1E-54C3B338C0C0}" name="Column8553"/>
    <tableColumn id="8585" xr3:uid="{82DFD37D-955D-448E-B0AA-08E184D34872}" name="Column8554"/>
    <tableColumn id="8586" xr3:uid="{A4F7BA58-B60B-463C-A01D-455D10213FDE}" name="Column8555"/>
    <tableColumn id="8587" xr3:uid="{18CDE50F-0AC6-4FFE-9102-720A29012E56}" name="Column8556"/>
    <tableColumn id="8588" xr3:uid="{CD32D3E0-F28F-4266-BF1B-4C3F87AC3259}" name="Column8557"/>
    <tableColumn id="8589" xr3:uid="{2A1D6F3B-A2DE-42A2-B1C8-9C1809B76590}" name="Column8558"/>
    <tableColumn id="8590" xr3:uid="{D6E3F4C7-C590-4C0B-AA82-D69C1B4B5D61}" name="Column8559"/>
    <tableColumn id="8591" xr3:uid="{53ED6FB0-2C3D-40C7-9A53-1C09EDFC6E87}" name="Column8560"/>
    <tableColumn id="8592" xr3:uid="{DDDEEC71-CBF3-4A21-ABA9-D50440A3D4E5}" name="Column8561"/>
    <tableColumn id="8593" xr3:uid="{283985B1-7B63-4F8F-B5CF-D9AA1DA808E0}" name="Column8562"/>
    <tableColumn id="8594" xr3:uid="{7F56CB94-FBA1-4254-BE4E-366B27C70B08}" name="Column8563"/>
    <tableColumn id="8595" xr3:uid="{930F83BF-028C-4AC8-95E3-8D8F2E1F1919}" name="Column8564"/>
    <tableColumn id="8596" xr3:uid="{45613C7C-C8DD-4338-AAF1-1F166F28B024}" name="Column8565"/>
    <tableColumn id="8597" xr3:uid="{A79BCF09-5D5F-40B7-8230-5A9D0A3C6A9E}" name="Column8566"/>
    <tableColumn id="8598" xr3:uid="{33A81F2A-E05C-49EC-89F7-E59506760790}" name="Column8567"/>
    <tableColumn id="8599" xr3:uid="{DE59AA9C-11DC-4C8B-BF9A-83C3DEA59EE6}" name="Column8568"/>
    <tableColumn id="8600" xr3:uid="{88577626-E288-4B54-8880-68CA545B8C42}" name="Column8569"/>
    <tableColumn id="8601" xr3:uid="{491CF208-F87C-4CD8-AD7D-E7861B467EA2}" name="Column8570"/>
    <tableColumn id="8602" xr3:uid="{C8A5D6F2-BD0A-4617-978B-20AF71333649}" name="Column8571"/>
    <tableColumn id="8603" xr3:uid="{C3824875-4E8E-491C-85E8-73A0D73DD2FC}" name="Column8572"/>
    <tableColumn id="8604" xr3:uid="{9E944B0C-57C1-46D1-B0E4-1CBD0208B5F4}" name="Column8573"/>
    <tableColumn id="8605" xr3:uid="{079AF799-B980-46B5-ACAB-D84AC43C2C96}" name="Column8574"/>
    <tableColumn id="8606" xr3:uid="{BF410C9C-4A14-4C93-A09A-62FB1CE2EB3C}" name="Column8575"/>
    <tableColumn id="8607" xr3:uid="{C7526069-7DC1-4B4D-9566-45FC67368C47}" name="Column8576"/>
    <tableColumn id="8608" xr3:uid="{57BDDE3A-1C6E-4939-AC7A-D123B35DC611}" name="Column8577"/>
    <tableColumn id="8609" xr3:uid="{46EEFD29-BA08-4674-A511-BE9EA81D42E7}" name="Column8578"/>
    <tableColumn id="8610" xr3:uid="{22ECDB6C-D776-44E1-8905-20A955BAA511}" name="Column8579"/>
    <tableColumn id="8611" xr3:uid="{75E19FAD-4C09-46AB-BFB7-C8FB4FAAA383}" name="Column8580"/>
    <tableColumn id="8612" xr3:uid="{9F678A2F-BDB1-477D-9502-CDCF9BEFAE19}" name="Column8581"/>
    <tableColumn id="8613" xr3:uid="{51793906-438E-4113-A009-1B319C358A17}" name="Column8582"/>
    <tableColumn id="8614" xr3:uid="{A6D4BD31-9672-4B95-8CCC-C5F1804FF889}" name="Column8583"/>
    <tableColumn id="8615" xr3:uid="{F870EB96-B6D5-45EC-95B2-94B320CFE8DF}" name="Column8584"/>
    <tableColumn id="8616" xr3:uid="{7DEAD8E1-26C6-4893-AA02-9345CFB04018}" name="Column8585"/>
    <tableColumn id="8617" xr3:uid="{AAB5E39A-DA2D-460D-A98C-FCDCBC2FD5D4}" name="Column8586"/>
    <tableColumn id="8618" xr3:uid="{6085E0F6-3D91-422E-A9C9-50E409ED8503}" name="Column8587"/>
    <tableColumn id="8619" xr3:uid="{8E4C104F-8F7C-43F5-9E85-9E9CDE78B4C5}" name="Column8588"/>
    <tableColumn id="8620" xr3:uid="{27F03A9D-BB88-4D6F-911B-418FE3C0423B}" name="Column8589"/>
    <tableColumn id="8621" xr3:uid="{C2C61F01-477E-4FCE-ADC7-FA34D856DDA3}" name="Column8590"/>
    <tableColumn id="8622" xr3:uid="{CEA205E9-B218-4B14-A866-69523DAB2701}" name="Column8591"/>
    <tableColumn id="8623" xr3:uid="{6C0D3406-498D-4818-80E0-9C14D0D44755}" name="Column8592"/>
    <tableColumn id="8624" xr3:uid="{0E90FEA5-E9F6-4C55-89A0-3F9FB0B47A66}" name="Column8593"/>
    <tableColumn id="8625" xr3:uid="{B1219B00-C22F-461B-8D05-983C5DDA48A4}" name="Column8594"/>
    <tableColumn id="8626" xr3:uid="{89B43BAD-497F-47A6-9D9A-AD793AE03008}" name="Column8595"/>
    <tableColumn id="8627" xr3:uid="{0C57B9D4-82B3-47F9-A741-9E255E305729}" name="Column8596"/>
    <tableColumn id="8628" xr3:uid="{E701F0C3-9308-4942-A87E-2A3E3F264A9F}" name="Column8597"/>
    <tableColumn id="8629" xr3:uid="{3B5C8651-D27A-445A-A4E9-5E8DA4876459}" name="Column8598"/>
    <tableColumn id="8630" xr3:uid="{B0B4FF38-AF2F-467A-928E-523469754835}" name="Column8599"/>
    <tableColumn id="8631" xr3:uid="{10BB67BA-77BF-4C5E-BD78-681F6D349A4D}" name="Column8600"/>
    <tableColumn id="8632" xr3:uid="{9318D03C-6DB5-484E-91DD-9DD87F55A83B}" name="Column8601"/>
    <tableColumn id="8633" xr3:uid="{D754CF37-54C2-465E-86D4-95B4BAD4458A}" name="Column8602"/>
    <tableColumn id="8634" xr3:uid="{7B228E32-215F-48E3-94FD-3B24DF608349}" name="Column8603"/>
    <tableColumn id="8635" xr3:uid="{AA490BB7-E05C-4184-9219-B16EDB140113}" name="Column8604"/>
    <tableColumn id="8636" xr3:uid="{9F456654-0FF5-4D5F-AFA7-0604BE5DC14F}" name="Column8605"/>
    <tableColumn id="8637" xr3:uid="{ADEAAECA-70A6-4AC6-A0B0-DA5248ACEE77}" name="Column8606"/>
    <tableColumn id="8638" xr3:uid="{196E58D6-158C-4BAF-AD67-CAE3969742C8}" name="Column8607"/>
    <tableColumn id="8639" xr3:uid="{6981900F-F6E7-46D3-A454-6C991243AA99}" name="Column8608"/>
    <tableColumn id="8640" xr3:uid="{0CB68F17-2EB1-4A85-8665-7F0403394916}" name="Column8609"/>
    <tableColumn id="8641" xr3:uid="{56E5FB42-6276-4FC7-8DC9-4D03646ADA3E}" name="Column8610"/>
    <tableColumn id="8642" xr3:uid="{B496366A-21B0-4965-89B2-960E3E0109D9}" name="Column8611"/>
    <tableColumn id="8643" xr3:uid="{59AB2C1B-80D0-4323-B8A6-5BAD845DE542}" name="Column8612"/>
    <tableColumn id="8644" xr3:uid="{B0DBAC42-04CB-42DB-BEFF-E4FA623911E6}" name="Column8613"/>
    <tableColumn id="8645" xr3:uid="{B4433BD2-B10A-4BB9-9C5E-BEFCC0E473DE}" name="Column8614"/>
    <tableColumn id="8646" xr3:uid="{810A3127-1983-4B1D-9507-F0C40817F2FD}" name="Column8615"/>
    <tableColumn id="8647" xr3:uid="{B0BF1155-0B84-4AC8-A255-126D0CAF0F10}" name="Column8616"/>
    <tableColumn id="8648" xr3:uid="{A99F95B4-4FCC-40CF-BC6B-661A4B4EA829}" name="Column8617"/>
    <tableColumn id="8649" xr3:uid="{F11CA3DA-E9D9-4E8A-8F30-5DBCE3A836AB}" name="Column8618"/>
    <tableColumn id="8650" xr3:uid="{883D3F69-7908-4B56-A27E-22E39B0CE1AA}" name="Column8619"/>
    <tableColumn id="8651" xr3:uid="{639D42E8-C0C9-4993-8383-CE1B8CACFBC9}" name="Column8620"/>
    <tableColumn id="8652" xr3:uid="{8E8D9C2D-E353-44B4-A117-CACEF8D370FB}" name="Column8621"/>
    <tableColumn id="8653" xr3:uid="{895CF2E1-ED60-4805-BCF0-5B5B92DC5EE9}" name="Column8622"/>
    <tableColumn id="8654" xr3:uid="{2259A87F-F94A-4F12-B359-F054551E87BF}" name="Column8623"/>
    <tableColumn id="8655" xr3:uid="{25397E13-50A4-419F-82F6-1A7A2395934F}" name="Column8624"/>
    <tableColumn id="8656" xr3:uid="{4AE200E8-DADC-4B23-B4C0-463CC804CD80}" name="Column8625"/>
    <tableColumn id="8657" xr3:uid="{9B38340F-FF88-4DE9-8728-2E1CB45A76CF}" name="Column8626"/>
    <tableColumn id="8658" xr3:uid="{822659F1-13A0-4BB7-9B46-B338769B9219}" name="Column8627"/>
    <tableColumn id="8659" xr3:uid="{2BA36CC8-618B-46C4-B9F9-1D8517096302}" name="Column8628"/>
    <tableColumn id="8660" xr3:uid="{59985EF1-53F7-4939-92B9-4A26422DAF3F}" name="Column8629"/>
    <tableColumn id="8661" xr3:uid="{4AC61555-A8F7-4CA7-9790-B963618C0E25}" name="Column8630"/>
    <tableColumn id="8662" xr3:uid="{CCD770D3-DA46-4A66-A1A2-178CE0684F89}" name="Column8631"/>
    <tableColumn id="8663" xr3:uid="{8350BC45-2A08-45BD-889B-76A45733D109}" name="Column8632"/>
    <tableColumn id="8664" xr3:uid="{85CDA65F-683A-42BE-B468-D6060DA2BE5F}" name="Column8633"/>
    <tableColumn id="8665" xr3:uid="{E24454B7-5C03-4706-B758-73AFE51B6E57}" name="Column8634"/>
    <tableColumn id="8666" xr3:uid="{705EFD16-E26F-44F2-87C1-117BCA923DEC}" name="Column8635"/>
    <tableColumn id="8667" xr3:uid="{219A7D3E-816E-4BF7-9448-3AA34E5273BB}" name="Column8636"/>
    <tableColumn id="8668" xr3:uid="{2B0B871E-EB44-40FF-AE99-79AB3CE35CF1}" name="Column8637"/>
    <tableColumn id="8669" xr3:uid="{5C3CCDA4-7832-45A6-9C1E-AEC2CD29A9EA}" name="Column8638"/>
    <tableColumn id="8670" xr3:uid="{D0CA97EB-5B66-407B-9720-4F955F7420F9}" name="Column8639"/>
    <tableColumn id="8671" xr3:uid="{C5ACD8B8-41DE-4428-A528-C9B731A518FC}" name="Column8640"/>
    <tableColumn id="8672" xr3:uid="{3010321F-E87C-4925-9F84-1F80A9C23259}" name="Column8641"/>
    <tableColumn id="8673" xr3:uid="{B964D00A-9FB2-4003-B4F8-58FB1F042E7B}" name="Column8642"/>
    <tableColumn id="8674" xr3:uid="{D9FFC3A0-0BF7-456F-883E-BE552D7B1AB2}" name="Column8643"/>
    <tableColumn id="8675" xr3:uid="{2DED286B-E63D-4435-B9BA-16A07158BA5A}" name="Column8644"/>
    <tableColumn id="8676" xr3:uid="{11DDB3E3-E4D6-4A13-AF57-BECA18D27984}" name="Column8645"/>
    <tableColumn id="8677" xr3:uid="{7B5F14BA-CACB-4391-95BB-09AE76EBD444}" name="Column8646"/>
    <tableColumn id="8678" xr3:uid="{91D42E28-5A0C-4C1D-8365-9E60E1FBC916}" name="Column8647"/>
    <tableColumn id="8679" xr3:uid="{D622DF40-CF00-4AE6-97AA-821CC28D3621}" name="Column8648"/>
    <tableColumn id="8680" xr3:uid="{27D09A30-CDE0-4345-BD09-873FA6C906AB}" name="Column8649"/>
    <tableColumn id="8681" xr3:uid="{266BF28F-0089-4655-863F-00474B8BADD9}" name="Column8650"/>
    <tableColumn id="8682" xr3:uid="{EDE078AA-7EC3-4CC0-B2A4-11F2F584B4C6}" name="Column8651"/>
    <tableColumn id="8683" xr3:uid="{674CBFE1-D61E-4339-8634-6C42C306FA7F}" name="Column8652"/>
    <tableColumn id="8684" xr3:uid="{3EB7A58A-701C-4DFA-A43B-D3FF87C9E842}" name="Column8653"/>
    <tableColumn id="8685" xr3:uid="{ED7F3F48-D377-4361-ADC1-60B6A4820C0F}" name="Column8654"/>
    <tableColumn id="8686" xr3:uid="{9DCECC73-0743-401F-9640-3DEDE52B5F73}" name="Column8655"/>
    <tableColumn id="8687" xr3:uid="{B93529BC-8588-4E98-B12F-71CC59FA29CC}" name="Column8656"/>
    <tableColumn id="8688" xr3:uid="{85B83CA7-B4D8-4181-A64D-E939103377A0}" name="Column8657"/>
    <tableColumn id="8689" xr3:uid="{CF0F677F-674B-4AFE-AE1D-649A8525F273}" name="Column8658"/>
    <tableColumn id="8690" xr3:uid="{210336E8-33A7-4049-815F-872A5DC3FB3B}" name="Column8659"/>
    <tableColumn id="8691" xr3:uid="{4DEACC3E-742B-4FBE-B274-DB1DBA09DDD6}" name="Column8660"/>
    <tableColumn id="8692" xr3:uid="{E7758532-36D2-40E9-9C2F-195DAEC7A91A}" name="Column8661"/>
    <tableColumn id="8693" xr3:uid="{42FA8CB5-B8D3-41B9-A7F1-6BF3A1EF62DF}" name="Column8662"/>
    <tableColumn id="8694" xr3:uid="{9F20808F-BADC-4FD8-86E2-4125239A8C3D}" name="Column8663"/>
    <tableColumn id="8695" xr3:uid="{16D2895A-CAE4-41C6-989F-A1DD9BBA877F}" name="Column8664"/>
    <tableColumn id="8696" xr3:uid="{39F7CA1B-4FBB-4FE5-9296-3C542673A396}" name="Column8665"/>
    <tableColumn id="8697" xr3:uid="{B3A7423D-7023-4A1E-A23D-28CD8093CE9C}" name="Column8666"/>
    <tableColumn id="8698" xr3:uid="{1D94990A-CE4B-41F2-9788-419B15C29D63}" name="Column8667"/>
    <tableColumn id="8699" xr3:uid="{9C2B2023-D997-47CB-A959-60C23C1ADFFF}" name="Column8668"/>
    <tableColumn id="8700" xr3:uid="{2411DDAF-DE83-45F5-B665-A94735891D52}" name="Column8669"/>
    <tableColumn id="8701" xr3:uid="{60C72FD1-9E3A-4C51-9C61-BF537CA6E1CE}" name="Column8670"/>
    <tableColumn id="8702" xr3:uid="{C4EEE3F6-2499-434D-8537-B38CAEC7B745}" name="Column8671"/>
    <tableColumn id="8703" xr3:uid="{2010C261-8E59-4B6E-972E-F6AAB25918D1}" name="Column8672"/>
    <tableColumn id="8704" xr3:uid="{C2FBAF01-7082-41C7-B410-8C767D9B524F}" name="Column8673"/>
    <tableColumn id="8705" xr3:uid="{65DF1079-5983-4F8E-9B5A-DA20D0250791}" name="Column8674"/>
    <tableColumn id="8706" xr3:uid="{54D2FB4E-718A-480C-91BB-B823CD7EF8C2}" name="Column8675"/>
    <tableColumn id="8707" xr3:uid="{89968C37-3A91-43D2-8FC9-F60779A7F221}" name="Column8676"/>
    <tableColumn id="8708" xr3:uid="{78FFFAC9-E033-4F6B-A8AC-DCBDE3994407}" name="Column8677"/>
    <tableColumn id="8709" xr3:uid="{CDA0A0C2-3D25-42FB-B83F-A197BAA1AD15}" name="Column8678"/>
    <tableColumn id="8710" xr3:uid="{9838D9F2-93CA-47EB-9065-C64DC5F4CBBD}" name="Column8679"/>
    <tableColumn id="8711" xr3:uid="{8AA7662B-E869-42D5-AC9D-14EE7FBDF1B8}" name="Column8680"/>
    <tableColumn id="8712" xr3:uid="{BFA04BBE-E749-46F1-AE25-4B343CF26484}" name="Column8681"/>
    <tableColumn id="8713" xr3:uid="{0630EF17-9A35-4171-A2F0-BDB66BA867C6}" name="Column8682"/>
    <tableColumn id="8714" xr3:uid="{3AB36F7B-AC11-430B-8B1E-7A6D4026C0D6}" name="Column8683"/>
    <tableColumn id="8715" xr3:uid="{8A24B481-ACA2-4DE9-B501-60B5D2F2A19D}" name="Column8684"/>
    <tableColumn id="8716" xr3:uid="{CB940C2D-54B6-4F0F-8B11-58AEA94A5B03}" name="Column8685"/>
    <tableColumn id="8717" xr3:uid="{82C93A0C-312B-4AC9-BA35-C16AF0BB808F}" name="Column8686"/>
    <tableColumn id="8718" xr3:uid="{A908542F-9FE5-4428-AFD0-4D902D1E7B9E}" name="Column8687"/>
    <tableColumn id="8719" xr3:uid="{3D47CDBB-ED1A-444C-8C63-452FEBDC9435}" name="Column8688"/>
    <tableColumn id="8720" xr3:uid="{FA8421BD-5067-4716-BFC2-7DE6E8CC442D}" name="Column8689"/>
    <tableColumn id="8721" xr3:uid="{EB879921-7F87-42A6-96AB-30D463EAA0E1}" name="Column8690"/>
    <tableColumn id="8722" xr3:uid="{FB8BD397-F58E-49CE-AA11-47F0573DDF05}" name="Column8691"/>
    <tableColumn id="8723" xr3:uid="{12410059-611B-431C-8E18-A8F8D9099023}" name="Column8692"/>
    <tableColumn id="8724" xr3:uid="{60BA201A-8247-403F-ACC0-EFDFD8E5AB72}" name="Column8693"/>
    <tableColumn id="8725" xr3:uid="{56DEF28E-76AA-49D8-9348-311C700B56F2}" name="Column8694"/>
    <tableColumn id="8726" xr3:uid="{7A0697CE-9D2E-40EC-8833-02F060AAAEA0}" name="Column8695"/>
    <tableColumn id="8727" xr3:uid="{70016BD3-AEE3-4D93-ACE9-0F3FB7CC1A56}" name="Column8696"/>
    <tableColumn id="8728" xr3:uid="{4E15832A-88BD-4A69-BA6C-8EFC8E363546}" name="Column8697"/>
    <tableColumn id="8729" xr3:uid="{EC987573-5485-45BF-AB86-CF7573B6BB63}" name="Column8698"/>
    <tableColumn id="8730" xr3:uid="{A08C6C54-F7D6-4C8F-A7DC-7C561F6F22A5}" name="Column8699"/>
    <tableColumn id="8731" xr3:uid="{7E7918F4-9222-4C63-B3B1-D31D0C666266}" name="Column8700"/>
    <tableColumn id="8732" xr3:uid="{1A680EDA-4A42-479E-A783-6F6ED9FEA2A6}" name="Column8701"/>
    <tableColumn id="8733" xr3:uid="{B38C1974-916F-418E-B346-DE491461B06F}" name="Column8702"/>
    <tableColumn id="8734" xr3:uid="{1CA295CD-61E3-4C6E-A6FA-354A3BE87AED}" name="Column8703"/>
    <tableColumn id="8735" xr3:uid="{082B6531-F25F-4027-BA6A-8E6B38E465F6}" name="Column8704"/>
    <tableColumn id="8736" xr3:uid="{1BA9632B-FA1D-4046-833B-8AC663A660BE}" name="Column8705"/>
    <tableColumn id="8737" xr3:uid="{480E52A1-C345-4023-9E1C-A172BAFC85B7}" name="Column8706"/>
    <tableColumn id="8738" xr3:uid="{6D998B2E-5DA6-4666-B60F-F181A5E2CB5C}" name="Column8707"/>
    <tableColumn id="8739" xr3:uid="{36633EB5-5A2F-497E-BD88-8DE7F9336EF3}" name="Column8708"/>
    <tableColumn id="8740" xr3:uid="{A5F23767-3C35-40BE-8D0E-F40C9BE10D6D}" name="Column8709"/>
    <tableColumn id="8741" xr3:uid="{82AD2A7A-A8FE-4555-84F6-C58B7EBB3D14}" name="Column8710"/>
    <tableColumn id="8742" xr3:uid="{DB5E288E-5BB2-4E47-BA2C-810421EA260E}" name="Column8711"/>
    <tableColumn id="8743" xr3:uid="{B89E8126-4879-44A9-8BC9-BDD4E2F4070F}" name="Column8712"/>
    <tableColumn id="8744" xr3:uid="{A25685D7-740E-40C1-A5AD-C4684A259394}" name="Column8713"/>
    <tableColumn id="8745" xr3:uid="{C0B11194-31D3-47E4-8E33-D1A16A099E2F}" name="Column8714"/>
    <tableColumn id="8746" xr3:uid="{CA9E498B-D11E-4050-B6F3-7E22873EE819}" name="Column8715"/>
    <tableColumn id="8747" xr3:uid="{39249556-9C4B-44D7-BA3D-71A249A273CF}" name="Column8716"/>
    <tableColumn id="8748" xr3:uid="{432CC57D-5F30-4833-9425-7407577B411C}" name="Column8717"/>
    <tableColumn id="8749" xr3:uid="{6DF784AD-3404-4A29-A1B1-0700F378FAB6}" name="Column8718"/>
    <tableColumn id="8750" xr3:uid="{5FFDE10E-DC19-47AF-824D-90E24A04BE4E}" name="Column8719"/>
    <tableColumn id="8751" xr3:uid="{A3A84432-0440-4636-BA14-E7EEE65CF95B}" name="Column8720"/>
    <tableColumn id="8752" xr3:uid="{9F2897F1-2FF2-4BBE-AEAF-24519A321484}" name="Column8721"/>
    <tableColumn id="8753" xr3:uid="{F54620D0-7C76-4230-9DB8-AA2D839A05DD}" name="Column8722"/>
    <tableColumn id="8754" xr3:uid="{689F33AB-9424-412E-9DAA-6B0872281BF8}" name="Column8723"/>
    <tableColumn id="8755" xr3:uid="{801DFF99-479D-4D6D-A3C9-5CEDE514CCD9}" name="Column8724"/>
    <tableColumn id="8756" xr3:uid="{CE8D05F6-96B2-415B-9F50-54E086A03A90}" name="Column8725"/>
    <tableColumn id="8757" xr3:uid="{E194D1D7-E423-4D13-9B30-0BB0FA4C1AD8}" name="Column8726"/>
    <tableColumn id="8758" xr3:uid="{4E6F3D17-D17F-4CE3-BA8F-8BD26C87B01A}" name="Column8727"/>
    <tableColumn id="8759" xr3:uid="{7A23DEA5-13A7-4B17-8631-093193E8C2ED}" name="Column8728"/>
    <tableColumn id="8760" xr3:uid="{40D7D775-03B4-4944-899A-D83763F3C509}" name="Column8729"/>
    <tableColumn id="8761" xr3:uid="{A678EF31-7C1E-4270-BB2E-68E94D4E8E74}" name="Column8730"/>
    <tableColumn id="8762" xr3:uid="{31BC5943-36AA-40F2-8016-7C6A3603A068}" name="Column8731"/>
    <tableColumn id="8763" xr3:uid="{4738B367-29D9-4166-B88A-F06611E1F2E9}" name="Column8732"/>
    <tableColumn id="8764" xr3:uid="{B53EA1B6-5376-427E-B855-B711FD4323BE}" name="Column8733"/>
    <tableColumn id="8765" xr3:uid="{303674A9-2006-4082-A3FF-1D2BA9215811}" name="Column8734"/>
    <tableColumn id="8766" xr3:uid="{464DE7E4-223D-4F56-ADC1-FD747402BDC8}" name="Column8735"/>
    <tableColumn id="8767" xr3:uid="{A56F7C87-1FC8-4CB5-B613-AAD7AAA65330}" name="Column8736"/>
    <tableColumn id="8768" xr3:uid="{FB272857-5833-48B2-8318-671F0FBFABF0}" name="Column8737"/>
    <tableColumn id="8769" xr3:uid="{821283BE-3D96-430A-83CF-4A8757296A8F}" name="Column8738"/>
    <tableColumn id="8770" xr3:uid="{DFD3F0EC-DDFE-4BBF-8E0D-5C2D638B9E16}" name="Column8739"/>
    <tableColumn id="8771" xr3:uid="{F0FD2EB9-7AAD-4F33-BB32-A3A37EBCC68B}" name="Column8740"/>
    <tableColumn id="8772" xr3:uid="{BA03DB1A-00A2-42DC-BEEB-E22BD0632DE5}" name="Column8741"/>
    <tableColumn id="8773" xr3:uid="{67A9EE9F-8170-4408-AC5D-F06581A8D2E9}" name="Column8742"/>
    <tableColumn id="8774" xr3:uid="{05F534A1-4523-4B05-BE1D-D51B8F40648C}" name="Column8743"/>
    <tableColumn id="8775" xr3:uid="{062F837D-EAE5-4050-A281-FDF956C5B16D}" name="Column8744"/>
    <tableColumn id="8776" xr3:uid="{AAA29E31-30C6-44DF-8CAC-9972C19F94FA}" name="Column8745"/>
    <tableColumn id="8777" xr3:uid="{C1E42F9A-CC6D-44C3-83F2-F4A4D30F2047}" name="Column8746"/>
    <tableColumn id="8778" xr3:uid="{1BE7D07E-46FB-4E60-983E-03CFBB8487C2}" name="Column8747"/>
    <tableColumn id="8779" xr3:uid="{C927BA31-167A-4D0A-BE39-CC7B32DB6481}" name="Column8748"/>
    <tableColumn id="8780" xr3:uid="{D8887D92-C67B-4CF0-A4E2-AF916EFC6D5D}" name="Column8749"/>
    <tableColumn id="8781" xr3:uid="{174A10EC-E580-4A44-91CB-5ABD52C6EF7C}" name="Column8750"/>
    <tableColumn id="8782" xr3:uid="{83860B18-AF34-4EC9-B010-1936DEF12A70}" name="Column8751"/>
    <tableColumn id="8783" xr3:uid="{1D48DEC1-D72B-4895-BFE6-25FD10E956FB}" name="Column8752"/>
    <tableColumn id="8784" xr3:uid="{5A0E1E7B-93EE-408E-890E-385A83DB5B6F}" name="Column8753"/>
    <tableColumn id="8785" xr3:uid="{5E82949C-71D8-4A74-99A2-54A5DBF9ACBB}" name="Column8754"/>
    <tableColumn id="8786" xr3:uid="{2BC51E1F-0A74-4D4D-BEEA-9BD5F7F9D5A7}" name="Column8755"/>
    <tableColumn id="8787" xr3:uid="{B0FABAF0-013E-42CD-A697-CE4EDEC62171}" name="Column8756"/>
    <tableColumn id="8788" xr3:uid="{3B99842C-966C-4C25-92EA-3AFFA1FB38C8}" name="Column8757"/>
    <tableColumn id="8789" xr3:uid="{71A8D250-EF70-4BBA-A87A-D9A1219D3DC6}" name="Column8758"/>
    <tableColumn id="8790" xr3:uid="{EC9256E6-8BB7-44B7-BDB7-F9DE5F4DEE63}" name="Column8759"/>
    <tableColumn id="8791" xr3:uid="{5B2C59C6-7BB6-4D67-B73F-16BCACC44BC9}" name="Column8760"/>
    <tableColumn id="8792" xr3:uid="{69B79BB8-CA6D-4A33-BC40-616151B99591}" name="Column8761"/>
    <tableColumn id="8793" xr3:uid="{933A7111-04FF-443E-BEA1-FA6765EA644A}" name="Column8762"/>
    <tableColumn id="8794" xr3:uid="{AF2519E4-71A1-48BC-BCA4-187D65F306B4}" name="Column8763"/>
    <tableColumn id="8795" xr3:uid="{A050554A-A07A-4723-BED3-7ED010C1809B}" name="Column8764"/>
    <tableColumn id="8796" xr3:uid="{369BAF38-7EA6-4827-AB87-BA2296058123}" name="Column8765"/>
    <tableColumn id="8797" xr3:uid="{E30063FD-6065-41F4-8F9F-6839691AFFFE}" name="Column8766"/>
    <tableColumn id="8798" xr3:uid="{538113CE-60A3-47BD-AFD5-A3AFC54C560D}" name="Column8767"/>
    <tableColumn id="8799" xr3:uid="{446C5E3C-248D-4AD1-B995-2B50223EFA0E}" name="Column8768"/>
    <tableColumn id="8800" xr3:uid="{BD843ADC-BECA-47CA-8326-D89F03B402D9}" name="Column8769"/>
    <tableColumn id="8801" xr3:uid="{E2AD98FE-1369-4450-AC55-8B45AEB87EB8}" name="Column8770"/>
    <tableColumn id="8802" xr3:uid="{971BF6DD-EBB7-4501-8149-57CED2F4CDF8}" name="Column8771"/>
    <tableColumn id="8803" xr3:uid="{031FCBF7-CDA4-46D6-93A0-E47B923FCA69}" name="Column8772"/>
    <tableColumn id="8804" xr3:uid="{85805A3A-44F1-4238-82DE-CF64C8F4FAD5}" name="Column8773"/>
    <tableColumn id="8805" xr3:uid="{3FE640EE-4416-47B9-B4BF-4730BAB7A190}" name="Column8774"/>
    <tableColumn id="8806" xr3:uid="{9E23D83C-03DC-491F-ABB7-4950598AA9E4}" name="Column8775"/>
    <tableColumn id="8807" xr3:uid="{C4E970D2-10A0-4BB7-B26B-A147A62C9D76}" name="Column8776"/>
    <tableColumn id="8808" xr3:uid="{BD8BC7E5-F7A1-4AF3-AF0C-439E07782A0D}" name="Column8777"/>
    <tableColumn id="8809" xr3:uid="{F01A3E60-1FA4-45B1-BD60-89607206E8BC}" name="Column8778"/>
    <tableColumn id="8810" xr3:uid="{3FE53FE1-769D-4AD6-A684-46CC3CBAB623}" name="Column8779"/>
    <tableColumn id="8811" xr3:uid="{BFBE904A-216F-4D8C-89DB-54C3A39788F4}" name="Column8780"/>
    <tableColumn id="8812" xr3:uid="{19E7927D-5F2C-44BD-B460-E2A904B98C22}" name="Column8781"/>
    <tableColumn id="8813" xr3:uid="{B340D4D6-6CF3-41EA-BE66-B3508573E751}" name="Column8782"/>
    <tableColumn id="8814" xr3:uid="{DD675F10-FDF1-4F24-A7AD-8FA90005774F}" name="Column8783"/>
    <tableColumn id="8815" xr3:uid="{46DD733C-7743-4269-BFDD-0FF332FB698B}" name="Column8784"/>
    <tableColumn id="8816" xr3:uid="{D7A6AAA9-EAD8-4331-A5DD-423832517E34}" name="Column8785"/>
    <tableColumn id="8817" xr3:uid="{A7C788F5-A0DB-4500-A04D-593C93A911F3}" name="Column8786"/>
    <tableColumn id="8818" xr3:uid="{36035AED-6B51-41AC-B980-43E1E2DD8153}" name="Column8787"/>
    <tableColumn id="8819" xr3:uid="{F7E9C167-6630-4348-B20B-0FB348D88CA9}" name="Column8788"/>
    <tableColumn id="8820" xr3:uid="{A4C07F88-E17D-44B6-95EB-6EBEB07D1CE6}" name="Column8789"/>
    <tableColumn id="8821" xr3:uid="{9B029B6D-12D8-4FFD-86E7-0B1AB8C1645A}" name="Column8790"/>
    <tableColumn id="8822" xr3:uid="{598DF6FF-AAA2-4BA7-9530-C29E07333BED}" name="Column8791"/>
    <tableColumn id="8823" xr3:uid="{E06C731B-24C9-4010-BCCF-9E2C405C9110}" name="Column8792"/>
    <tableColumn id="8824" xr3:uid="{E4E53AEC-64BA-4138-B06B-5AA941B4545C}" name="Column8793"/>
    <tableColumn id="8825" xr3:uid="{B976955B-555B-4408-91A3-FB5E57F85802}" name="Column8794"/>
    <tableColumn id="8826" xr3:uid="{9392ECF1-1D60-4F27-8F80-F184D3F6C00F}" name="Column8795"/>
    <tableColumn id="8827" xr3:uid="{7248F3B2-F774-45FD-BEE9-CC41ED47C913}" name="Column8796"/>
    <tableColumn id="8828" xr3:uid="{6EF2522D-62A1-455A-8C27-D18D06A9529C}" name="Column8797"/>
    <tableColumn id="8829" xr3:uid="{4CCF6755-B933-4B42-916F-B88D46335090}" name="Column8798"/>
    <tableColumn id="8830" xr3:uid="{302DCBCA-768F-40C7-967A-21D7D5407BC1}" name="Column8799"/>
    <tableColumn id="8831" xr3:uid="{7524A8B5-BCFA-4CC1-8BE1-4D372C20A889}" name="Column8800"/>
    <tableColumn id="8832" xr3:uid="{E68E552D-DAFD-4A56-97F9-1A2FF2396D1D}" name="Column8801"/>
    <tableColumn id="8833" xr3:uid="{2F3C0233-356B-4A5B-9518-0F985410D641}" name="Column8802"/>
    <tableColumn id="8834" xr3:uid="{CEE1936C-EF05-47C3-A993-E53B9665F6B7}" name="Column8803"/>
    <tableColumn id="8835" xr3:uid="{9E55CFB4-81C2-4A4C-98C1-CC33A841EEC3}" name="Column8804"/>
    <tableColumn id="8836" xr3:uid="{1BED2D79-9B69-4550-BBE5-3AC8C566D0F6}" name="Column8805"/>
    <tableColumn id="8837" xr3:uid="{5FA0FE0C-E4CD-4B92-9436-63A3BEBCEACC}" name="Column8806"/>
    <tableColumn id="8838" xr3:uid="{9BC29544-E6ED-4CED-BDCB-F9CCC036C0C6}" name="Column8807"/>
    <tableColumn id="8839" xr3:uid="{839C9FD9-39E3-4FAC-A522-97F3A2CDFD6F}" name="Column8808"/>
    <tableColumn id="8840" xr3:uid="{C7E31E4E-51AE-420F-A30A-D19AF9394CED}" name="Column8809"/>
    <tableColumn id="8841" xr3:uid="{75AB0241-7D51-431C-80DF-62AB020C88FC}" name="Column8810"/>
    <tableColumn id="8842" xr3:uid="{88CC30E5-9911-47E9-BC8D-02F77093852D}" name="Column8811"/>
    <tableColumn id="8843" xr3:uid="{409EC3FA-7115-4063-AA0D-9FD4DA4D7F49}" name="Column8812"/>
    <tableColumn id="8844" xr3:uid="{414893D5-187C-451C-BB0F-BF330FA7C485}" name="Column8813"/>
    <tableColumn id="8845" xr3:uid="{3CFC29CA-CC67-4D7E-A38B-16BF9C060E6E}" name="Column8814"/>
    <tableColumn id="8846" xr3:uid="{F2D05B28-8B34-4104-8C61-564E271FC735}" name="Column8815"/>
    <tableColumn id="8847" xr3:uid="{B6C64C69-5655-4C86-BE36-A0AF04AA6F00}" name="Column8816"/>
    <tableColumn id="8848" xr3:uid="{DA784F92-433C-4211-AD0C-04A3975CF2D0}" name="Column8817"/>
    <tableColumn id="8849" xr3:uid="{942E9022-825A-4A21-A49C-A3721754745C}" name="Column8818"/>
    <tableColumn id="8850" xr3:uid="{3C7B7767-5EE4-4F42-A329-0AEB8364D8A4}" name="Column8819"/>
    <tableColumn id="8851" xr3:uid="{947D455A-CC30-44C6-8AD2-1DFE5539395B}" name="Column8820"/>
    <tableColumn id="8852" xr3:uid="{6D51EBB6-4AB2-4137-9633-0575093FA838}" name="Column8821"/>
    <tableColumn id="8853" xr3:uid="{02B31CA8-076A-48A1-84CA-1A689C3CAAD0}" name="Column8822"/>
    <tableColumn id="8854" xr3:uid="{67659AE4-77BD-478B-A36E-62169A8C2265}" name="Column8823"/>
    <tableColumn id="8855" xr3:uid="{3C7F9A46-A070-4EFA-81B3-9867CF6C1CA4}" name="Column8824"/>
    <tableColumn id="8856" xr3:uid="{73A2FACD-89AD-4B6A-9E6D-D9D9C73BD52A}" name="Column8825"/>
    <tableColumn id="8857" xr3:uid="{981969B2-14BE-4EFB-AC43-7F6A75880073}" name="Column8826"/>
    <tableColumn id="8858" xr3:uid="{9C3E9039-92CE-471C-84B9-68922FC81A60}" name="Column8827"/>
    <tableColumn id="8859" xr3:uid="{2C7E865E-FF86-4463-B572-B43E20530290}" name="Column8828"/>
    <tableColumn id="8860" xr3:uid="{885F5102-D010-422A-ADBA-A053DD3BD564}" name="Column8829"/>
    <tableColumn id="8861" xr3:uid="{FC048A84-4C06-469B-8517-6DBF83A268DA}" name="Column8830"/>
    <tableColumn id="8862" xr3:uid="{28D4C336-B132-4D77-8DC1-08F9647BED76}" name="Column8831"/>
    <tableColumn id="8863" xr3:uid="{BC85FCF6-41E0-4C26-A252-A2A757E7BE81}" name="Column8832"/>
    <tableColumn id="8864" xr3:uid="{FD010AD8-5FB7-45CF-87DB-91B597D6B9CE}" name="Column8833"/>
    <tableColumn id="8865" xr3:uid="{07C897EE-54A2-4E1D-8AA5-406BBAA893C3}" name="Column8834"/>
    <tableColumn id="8866" xr3:uid="{BF9E911C-28C1-4227-85EE-0242A1C8D3F3}" name="Column8835"/>
    <tableColumn id="8867" xr3:uid="{8B440816-A5CE-4F1E-9984-0354288FE157}" name="Column8836"/>
    <tableColumn id="8868" xr3:uid="{50CA55EE-AD7C-4CEB-8E1C-74312E22C3EB}" name="Column8837"/>
    <tableColumn id="8869" xr3:uid="{6D36694F-D6AB-43C5-BC96-C758AFE97674}" name="Column8838"/>
    <tableColumn id="8870" xr3:uid="{E9C53854-F4D6-4745-A1C1-2BF07627394A}" name="Column8839"/>
    <tableColumn id="8871" xr3:uid="{C63851B8-5D61-4C74-BF02-AFB7171BAE00}" name="Column8840"/>
    <tableColumn id="8872" xr3:uid="{A9E1514B-E355-4C3F-9BE8-E474937EDF44}" name="Column8841"/>
    <tableColumn id="8873" xr3:uid="{3567498B-96C4-4CD7-82EE-4666DBE08563}" name="Column8842"/>
    <tableColumn id="8874" xr3:uid="{F9FD4A4D-1BB0-4D38-B207-3F2F09E653EF}" name="Column8843"/>
    <tableColumn id="8875" xr3:uid="{2DA5291C-9564-48D0-B652-08D8ED28A105}" name="Column8844"/>
    <tableColumn id="8876" xr3:uid="{2C45B527-0DB0-42A9-B0AA-12439447A028}" name="Column8845"/>
    <tableColumn id="8877" xr3:uid="{D17C37CF-341E-4FA6-9BE4-5BD4D6BD3E3E}" name="Column8846"/>
    <tableColumn id="8878" xr3:uid="{8BFE0F25-99D1-4B61-918E-BE4F3D6598EE}" name="Column8847"/>
    <tableColumn id="8879" xr3:uid="{535DEA53-16E7-4492-B8F4-0FCEE2ED7B2C}" name="Column8848"/>
    <tableColumn id="8880" xr3:uid="{94FE5C1C-B8CD-40A8-91A5-098DD9D594FA}" name="Column8849"/>
    <tableColumn id="8881" xr3:uid="{0E582D60-CBA2-4664-8577-C624650BC2D3}" name="Column8850"/>
    <tableColumn id="8882" xr3:uid="{544C968E-E690-41AC-88D7-CDAA852E664F}" name="Column8851"/>
    <tableColumn id="8883" xr3:uid="{81D84B71-A561-4418-9253-2D120F601B56}" name="Column8852"/>
    <tableColumn id="8884" xr3:uid="{B9380789-08E8-4788-BF14-33B0344C06CA}" name="Column8853"/>
    <tableColumn id="8885" xr3:uid="{B2B21014-1DC8-4BF0-AE48-A425DBA2AE64}" name="Column8854"/>
    <tableColumn id="8886" xr3:uid="{4FB785F3-42F5-4964-A36E-DC3352F3C420}" name="Column8855"/>
    <tableColumn id="8887" xr3:uid="{903C3014-5CAB-4676-A1E8-F75C2189FC94}" name="Column8856"/>
    <tableColumn id="8888" xr3:uid="{3AC59CF9-2702-4590-BD3B-723819B50C10}" name="Column8857"/>
    <tableColumn id="8889" xr3:uid="{9AE25381-2E1C-45AF-9EE0-28A5FC4EB9A3}" name="Column8858"/>
    <tableColumn id="8890" xr3:uid="{E7149262-2C5E-48C6-A444-24ECCDE18475}" name="Column8859"/>
    <tableColumn id="8891" xr3:uid="{D3852C60-6155-4334-8303-BCE498743506}" name="Column8860"/>
    <tableColumn id="8892" xr3:uid="{55D2D2A9-B6D5-442A-BA95-5E9BB5AEB96B}" name="Column8861"/>
    <tableColumn id="8893" xr3:uid="{D51B8A99-F7D9-4E96-9EFB-267F9B39A882}" name="Column8862"/>
    <tableColumn id="8894" xr3:uid="{7FE8B9C9-7F7D-42C5-8EF5-C72751B376C2}" name="Column8863"/>
    <tableColumn id="8895" xr3:uid="{9EDC6878-A220-4EAD-8D43-2A3D94CEABF4}" name="Column8864"/>
    <tableColumn id="8896" xr3:uid="{E50A71F2-CD4E-444D-BE82-58AE6A6F6E5A}" name="Column8865"/>
    <tableColumn id="8897" xr3:uid="{E8CD8D92-BE81-4550-8302-7051C52BDB02}" name="Column8866"/>
    <tableColumn id="8898" xr3:uid="{C0E8CD48-117E-4441-A28E-A93D54A8EBB7}" name="Column8867"/>
    <tableColumn id="8899" xr3:uid="{42E47A3C-D9B4-4CE3-A3A5-792C4388D8AE}" name="Column8868"/>
    <tableColumn id="8900" xr3:uid="{380AA18D-9CAB-4DBD-AAF9-05A43862D420}" name="Column8869"/>
    <tableColumn id="8901" xr3:uid="{4BC01EE8-C2D7-4ECE-A942-DACA24DEFB0D}" name="Column8870"/>
    <tableColumn id="8902" xr3:uid="{3142F4EE-859E-4039-8164-BD8BB92B0BE1}" name="Column8871"/>
    <tableColumn id="8903" xr3:uid="{0ABE7780-69D8-48B7-B0ED-65FEE496A7AC}" name="Column8872"/>
    <tableColumn id="8904" xr3:uid="{1F477288-22DA-45D3-A893-108CD80E889F}" name="Column8873"/>
    <tableColumn id="8905" xr3:uid="{AC13840D-7176-4F23-AB3C-50F912390C66}" name="Column8874"/>
    <tableColumn id="8906" xr3:uid="{EE5F3A51-78C0-49C9-B146-5EA706866982}" name="Column8875"/>
    <tableColumn id="8907" xr3:uid="{7275D9D6-3B81-42C7-B959-A1F3108C77D2}" name="Column8876"/>
    <tableColumn id="8908" xr3:uid="{61F1EDE9-3815-45EC-912F-CC6886BE8E6C}" name="Column8877"/>
    <tableColumn id="8909" xr3:uid="{578248B4-B21D-4F06-B6A7-28B18129C70C}" name="Column8878"/>
    <tableColumn id="8910" xr3:uid="{45941DE9-2B22-41E8-97B6-C181F200F00C}" name="Column8879"/>
    <tableColumn id="8911" xr3:uid="{E7896FF4-6CED-4D23-830F-715A3847906E}" name="Column8880"/>
    <tableColumn id="8912" xr3:uid="{A643AECF-3523-423B-8E3A-278DE7A17542}" name="Column8881"/>
    <tableColumn id="8913" xr3:uid="{C925F71C-34C7-4F3B-B7F2-152466D5F47D}" name="Column8882"/>
    <tableColumn id="8914" xr3:uid="{A8919872-0CBD-4B42-9725-AB99592BD3F0}" name="Column8883"/>
    <tableColumn id="8915" xr3:uid="{D122C091-21E8-47D9-AA16-7FCF373F5CAD}" name="Column8884"/>
    <tableColumn id="8916" xr3:uid="{FC1299E6-43F0-4F13-9B41-690F488844DB}" name="Column8885"/>
    <tableColumn id="8917" xr3:uid="{6FEE8CB8-A520-42DE-9DD8-166D62687D36}" name="Column8886"/>
    <tableColumn id="8918" xr3:uid="{544BA86D-0A64-4D4C-8CF3-194BD4670F11}" name="Column8887"/>
    <tableColumn id="8919" xr3:uid="{73EE277E-5E92-4245-BD95-AD2864CB5DB6}" name="Column8888"/>
    <tableColumn id="8920" xr3:uid="{A7295FED-5724-4325-8686-E123CBB49186}" name="Column8889"/>
    <tableColumn id="8921" xr3:uid="{4C553CA6-03D8-4322-8E41-A7FE3266269C}" name="Column8890"/>
    <tableColumn id="8922" xr3:uid="{8196C701-CC1A-4059-93E2-6F4576D5A2CD}" name="Column8891"/>
    <tableColumn id="8923" xr3:uid="{00AC116F-F9D2-45E3-BF0C-90E935B269BD}" name="Column8892"/>
    <tableColumn id="8924" xr3:uid="{84E8BC5D-ADC1-4ABD-8D0B-D9CE34EF6AC9}" name="Column8893"/>
    <tableColumn id="8925" xr3:uid="{3DA3FCB0-5E34-4982-AD91-94F94E7F3AA0}" name="Column8894"/>
    <tableColumn id="8926" xr3:uid="{D642666F-BC53-4985-B8EF-AA8260C89F5D}" name="Column8895"/>
    <tableColumn id="8927" xr3:uid="{2D97BCFB-C929-40DF-96CF-6C6AD3FB687B}" name="Column8896"/>
    <tableColumn id="8928" xr3:uid="{EB259DFC-F626-4273-9981-FA290445C876}" name="Column8897"/>
    <tableColumn id="8929" xr3:uid="{4D383530-EC00-4D9D-BB2E-6500EFC536E7}" name="Column8898"/>
    <tableColumn id="8930" xr3:uid="{63F3C6E5-4990-4516-B0CA-37AF59D33353}" name="Column8899"/>
    <tableColumn id="8931" xr3:uid="{A0CC4720-1817-490E-A5B8-969CB96F0CDF}" name="Column8900"/>
    <tableColumn id="8932" xr3:uid="{B19892AD-41E9-4213-B833-B30D2785892C}" name="Column8901"/>
    <tableColumn id="8933" xr3:uid="{29FC810C-BB77-497B-9B0A-64578556B22B}" name="Column8902"/>
    <tableColumn id="8934" xr3:uid="{0EF6792F-D390-4F61-A92A-188843CFFC64}" name="Column8903"/>
    <tableColumn id="8935" xr3:uid="{CB8A9031-997C-43A8-9ECB-EBC187678405}" name="Column8904"/>
    <tableColumn id="8936" xr3:uid="{0E50CE38-2071-4EB4-B47C-ADB976EC24E1}" name="Column8905"/>
    <tableColumn id="8937" xr3:uid="{43234746-457D-4951-B88E-E6F22A61C1DA}" name="Column8906"/>
    <tableColumn id="8938" xr3:uid="{D303776E-7EB6-40F6-A818-1534812847F5}" name="Column8907"/>
    <tableColumn id="8939" xr3:uid="{ED0EF59C-76F8-4E18-8954-0A8B2949BD88}" name="Column8908"/>
    <tableColumn id="8940" xr3:uid="{41998B5E-98A9-46DD-AD07-46F7DB92EEDE}" name="Column8909"/>
    <tableColumn id="8941" xr3:uid="{EC0AF655-A1E9-4842-A82E-55EAC6152D6C}" name="Column8910"/>
    <tableColumn id="8942" xr3:uid="{F6402DEA-1320-48BF-8F9F-E6A7563C56D6}" name="Column8911"/>
    <tableColumn id="8943" xr3:uid="{61F3EAC6-C05F-48CB-A1AB-AE64FA230008}" name="Column8912"/>
    <tableColumn id="8944" xr3:uid="{0573AFB6-CEDB-47EE-9150-BE9E4804105B}" name="Column8913"/>
    <tableColumn id="8945" xr3:uid="{4EBFC5FE-9A86-4E62-AFC9-9BC87D14D7A2}" name="Column8914"/>
    <tableColumn id="8946" xr3:uid="{D7017141-25C0-401D-9287-0ECC3481301C}" name="Column8915"/>
    <tableColumn id="8947" xr3:uid="{E8B4159C-9BA7-47DE-A238-2495AFAF2A44}" name="Column8916"/>
    <tableColumn id="8948" xr3:uid="{649A6533-A783-4BEA-98F0-5DE121507BF1}" name="Column8917"/>
    <tableColumn id="8949" xr3:uid="{48BB15D2-C172-4DE1-90CA-573738D8A0C3}" name="Column8918"/>
    <tableColumn id="8950" xr3:uid="{DE436249-8613-4DF7-A76E-87C78D1D41E7}" name="Column8919"/>
    <tableColumn id="8951" xr3:uid="{842BEAEE-80BF-4F86-A0E0-E38093B37CA7}" name="Column8920"/>
    <tableColumn id="8952" xr3:uid="{3403A708-4ABB-45BF-8F5F-D061090BADFE}" name="Column8921"/>
    <tableColumn id="8953" xr3:uid="{2579A11C-3DF7-472E-9050-615FA572157A}" name="Column8922"/>
    <tableColumn id="8954" xr3:uid="{D840AA13-116B-4536-90F4-43698AF50D37}" name="Column8923"/>
    <tableColumn id="8955" xr3:uid="{599D30E3-A252-44BD-A12B-A606A88B91AE}" name="Column8924"/>
    <tableColumn id="8956" xr3:uid="{A7477A4E-9E30-4CD4-B934-6FDD312F7585}" name="Column8925"/>
    <tableColumn id="8957" xr3:uid="{05B193BC-6F96-4573-BACC-62DE74DC245C}" name="Column8926"/>
    <tableColumn id="8958" xr3:uid="{6DC6F190-EA38-4FFE-BD98-B0B8E19DD886}" name="Column8927"/>
    <tableColumn id="8959" xr3:uid="{A8106604-B2FD-4879-8E80-398D12C43FC8}" name="Column8928"/>
    <tableColumn id="8960" xr3:uid="{8ED7C111-C763-4776-A983-C20D130D1958}" name="Column8929"/>
    <tableColumn id="8961" xr3:uid="{90E250DE-2A6C-4DBA-96DC-378C3550F304}" name="Column8930"/>
    <tableColumn id="8962" xr3:uid="{55AB2856-251E-4A88-91A0-F4E720EC7FC1}" name="Column8931"/>
    <tableColumn id="8963" xr3:uid="{D7F4EA2F-4BB1-4885-87D8-2B3CF701D5C8}" name="Column8932"/>
    <tableColumn id="8964" xr3:uid="{A599B6BF-209B-4758-8C9F-FACE5F217EF7}" name="Column8933"/>
    <tableColumn id="8965" xr3:uid="{A9B3ED0E-2C72-4336-B939-65F467E5F0C4}" name="Column8934"/>
    <tableColumn id="8966" xr3:uid="{C617A654-A50A-4154-A902-C52AB7923476}" name="Column8935"/>
    <tableColumn id="8967" xr3:uid="{2FBB83D8-5D1B-42B9-8C85-2BA8E60F505C}" name="Column8936"/>
    <tableColumn id="8968" xr3:uid="{78BA14D8-88B9-48D3-BBB6-FCB5380AD1AF}" name="Column8937"/>
    <tableColumn id="8969" xr3:uid="{C5F12792-E582-4E80-B914-90B1B671E3AB}" name="Column8938"/>
    <tableColumn id="8970" xr3:uid="{90982988-C319-4134-8676-D761AE98B80F}" name="Column8939"/>
    <tableColumn id="8971" xr3:uid="{C144C92C-B6CA-4171-824D-FAF71A3E52F9}" name="Column8940"/>
    <tableColumn id="8972" xr3:uid="{AEB8FA2F-2FE7-4C67-B3A2-DA1200B41130}" name="Column8941"/>
    <tableColumn id="8973" xr3:uid="{1B66816C-DFD7-4530-86E2-22F8092361EB}" name="Column8942"/>
    <tableColumn id="8974" xr3:uid="{CCA265F3-4F5B-4A55-9E7B-EC30DC327E49}" name="Column8943"/>
    <tableColumn id="8975" xr3:uid="{896A4E47-6DB8-4223-84A0-935AB84738AF}" name="Column8944"/>
    <tableColumn id="8976" xr3:uid="{90741336-5FCA-4F99-857C-74B41E26B61E}" name="Column8945"/>
    <tableColumn id="8977" xr3:uid="{CD833AAA-2F7C-41A4-82D9-8CBB6B8C1C64}" name="Column8946"/>
    <tableColumn id="8978" xr3:uid="{D7236FAE-389F-47C6-A9CA-09F74DCE4C8B}" name="Column8947"/>
    <tableColumn id="8979" xr3:uid="{279607CF-FE8A-4DA0-84C9-E2DA4D2E8278}" name="Column8948"/>
    <tableColumn id="8980" xr3:uid="{C044EE83-4A88-46ED-B05C-E33D2F7F75E5}" name="Column8949"/>
    <tableColumn id="8981" xr3:uid="{64070323-C74A-475B-B223-F12B79696CA4}" name="Column8950"/>
    <tableColumn id="8982" xr3:uid="{0AEF5FD3-C97F-45BF-99BE-D2ED286267DD}" name="Column8951"/>
    <tableColumn id="8983" xr3:uid="{DD4413A5-1BE0-4F27-917C-EC5070C18C83}" name="Column8952"/>
    <tableColumn id="8984" xr3:uid="{A45C54BC-E9B8-46D7-8633-F2FD8275DA78}" name="Column8953"/>
    <tableColumn id="8985" xr3:uid="{4608331B-FC3B-4C2C-A11E-EFA7F28C4B58}" name="Column8954"/>
    <tableColumn id="8986" xr3:uid="{2EE345B4-965C-4FB8-A9CB-3219688386B7}" name="Column8955"/>
    <tableColumn id="8987" xr3:uid="{2F0905EC-67D3-4C00-B5DE-12812445B3C0}" name="Column8956"/>
    <tableColumn id="8988" xr3:uid="{E227679C-6EDD-45B4-9190-883A7E0B6675}" name="Column8957"/>
    <tableColumn id="8989" xr3:uid="{7DF609BC-E399-467C-ABAB-266AA47EB739}" name="Column8958"/>
    <tableColumn id="8990" xr3:uid="{54DF9968-90EC-492B-B564-AE43C8450A14}" name="Column8959"/>
    <tableColumn id="8991" xr3:uid="{1480063E-663C-4FD3-BEDA-BB6B598EE814}" name="Column8960"/>
    <tableColumn id="8992" xr3:uid="{995337E9-7C7B-4542-BF19-4907CC504652}" name="Column8961"/>
    <tableColumn id="8993" xr3:uid="{F8FC73E2-3848-4CA6-948B-F2CD0283E705}" name="Column8962"/>
    <tableColumn id="8994" xr3:uid="{D40FC0A8-E08D-4FB2-A148-F5B80AD9A8D6}" name="Column8963"/>
    <tableColumn id="8995" xr3:uid="{5DC04A0B-2D04-43E0-986E-339AEF8E641F}" name="Column8964"/>
    <tableColumn id="8996" xr3:uid="{E765AAB3-6387-4DD5-972D-6DDEFCC60DF1}" name="Column8965"/>
    <tableColumn id="8997" xr3:uid="{DF778E4A-D4EA-4E00-9262-3A1FB767F0E6}" name="Column8966"/>
    <tableColumn id="8998" xr3:uid="{02177897-EB0F-4FAA-BC3F-8EFF8A0E3D9C}" name="Column8967"/>
    <tableColumn id="8999" xr3:uid="{314246A6-3876-4D16-82CC-03B4AA45CF9F}" name="Column8968"/>
    <tableColumn id="9000" xr3:uid="{ABD2B63E-1FDD-4A18-837C-B23BEB4BA18D}" name="Column8969"/>
    <tableColumn id="9001" xr3:uid="{D745CD7C-65ED-45B9-A565-996E4B9579AB}" name="Column8970"/>
    <tableColumn id="9002" xr3:uid="{F68E8B0D-7AE1-46C9-A2DE-A8CCB285FCE7}" name="Column8971"/>
    <tableColumn id="9003" xr3:uid="{C58E9D9A-114D-40D1-B72C-9721095CB9D7}" name="Column8972"/>
    <tableColumn id="9004" xr3:uid="{CF31FB63-CDBD-41E8-BE89-FA86EB1F33EE}" name="Column8973"/>
    <tableColumn id="9005" xr3:uid="{013847E5-EA37-4E19-A565-4D67A3A44E2D}" name="Column8974"/>
    <tableColumn id="9006" xr3:uid="{98A69DDD-8B36-47FF-A08E-3E1B26041F34}" name="Column8975"/>
    <tableColumn id="9007" xr3:uid="{7BFADA37-2394-4D03-A789-124E1408C058}" name="Column8976"/>
    <tableColumn id="9008" xr3:uid="{45C41D7E-CCA2-4065-B6B3-CC8C135E32D7}" name="Column8977"/>
    <tableColumn id="9009" xr3:uid="{FB9E922F-A137-498F-8198-A225AD6E8105}" name="Column8978"/>
    <tableColumn id="9010" xr3:uid="{38988135-7B32-4FE2-9F65-DCDBCF7E15FD}" name="Column8979"/>
    <tableColumn id="9011" xr3:uid="{1A92D4BA-6053-48E8-9529-5D0EFCA86516}" name="Column8980"/>
    <tableColumn id="9012" xr3:uid="{DC4A421C-C9AE-4BE4-A322-870932DBED72}" name="Column8981"/>
    <tableColumn id="9013" xr3:uid="{58150F07-FE80-4331-8F92-B202128197B5}" name="Column8982"/>
    <tableColumn id="9014" xr3:uid="{2ED1187C-2205-455B-B34C-578477B362C8}" name="Column8983"/>
    <tableColumn id="9015" xr3:uid="{F657A302-F4F0-4913-ADAA-292845281FA7}" name="Column8984"/>
    <tableColumn id="9016" xr3:uid="{0E3E646B-6FF9-44D3-A1A5-B9DD30402422}" name="Column8985"/>
    <tableColumn id="9017" xr3:uid="{D32341D2-8E73-413F-951D-165BE8BAD3CC}" name="Column8986"/>
    <tableColumn id="9018" xr3:uid="{5E83ACC4-3416-4B7E-ACEC-2634755AE8A1}" name="Column8987"/>
    <tableColumn id="9019" xr3:uid="{59AE596D-D2D9-4D9E-B537-39F8117CC2E5}" name="Column8988"/>
    <tableColumn id="9020" xr3:uid="{EECCD9C5-CEB9-4476-8FEA-5609F669C086}" name="Column8989"/>
    <tableColumn id="9021" xr3:uid="{173A98A7-9B5F-4918-B8CB-B6BC37DB3F08}" name="Column8990"/>
    <tableColumn id="9022" xr3:uid="{B7C07A11-CBBC-4A11-9772-C77A555E82F4}" name="Column8991"/>
    <tableColumn id="9023" xr3:uid="{6E4BFF11-C45D-46AB-A47E-C59584092DA1}" name="Column8992"/>
    <tableColumn id="9024" xr3:uid="{27FC0E11-A4D0-434B-B4FF-FD0480525DBB}" name="Column8993"/>
    <tableColumn id="9025" xr3:uid="{DB55890E-1879-418E-8E9B-378BD5D85109}" name="Column8994"/>
    <tableColumn id="9026" xr3:uid="{A762CDDB-DD3D-4C39-AEE9-D144DDC81477}" name="Column8995"/>
    <tableColumn id="9027" xr3:uid="{BBF614C0-DA9C-4209-B883-925B2A61239A}" name="Column8996"/>
    <tableColumn id="9028" xr3:uid="{33783BD2-0F71-4144-8C5D-79C40B9B0AB8}" name="Column8997"/>
    <tableColumn id="9029" xr3:uid="{4DFC7F3C-BCB2-4907-AA1E-4E6630A38E1D}" name="Column8998"/>
    <tableColumn id="9030" xr3:uid="{C5F6E27F-99CF-4E08-8AAD-229CA1F435AF}" name="Column8999"/>
    <tableColumn id="9031" xr3:uid="{0405866A-6FBA-4C4E-947F-1344A0DC389E}" name="Column9000"/>
    <tableColumn id="9032" xr3:uid="{5A0F4A8C-FACC-454B-AEBE-BDB4372F78EA}" name="Column9001"/>
    <tableColumn id="9033" xr3:uid="{C98F2A28-A56F-41E5-9F0D-E7E6900DC0C4}" name="Column9002"/>
    <tableColumn id="9034" xr3:uid="{C54631DC-BE76-40C3-B3CD-D1718753FA2B}" name="Column9003"/>
    <tableColumn id="9035" xr3:uid="{A60EB048-074A-4A8E-9B25-DE2713F695C2}" name="Column9004"/>
    <tableColumn id="9036" xr3:uid="{00144B2D-25A6-4A5A-B374-ECC9C61E6B79}" name="Column9005"/>
    <tableColumn id="9037" xr3:uid="{87AEE435-D681-4CFC-BFAC-445D7F9E9BF1}" name="Column9006"/>
    <tableColumn id="9038" xr3:uid="{DA0C7207-6E39-49A5-8174-19D730518314}" name="Column9007"/>
    <tableColumn id="9039" xr3:uid="{AA148240-A234-44D2-ADF5-6E32609AC1C6}" name="Column9008"/>
    <tableColumn id="9040" xr3:uid="{D66C84F3-6AC1-4B17-B6D6-1D68AC080AFD}" name="Column9009"/>
    <tableColumn id="9041" xr3:uid="{F8C05032-C8E9-4365-8AD8-687508B8FAEA}" name="Column9010"/>
    <tableColumn id="9042" xr3:uid="{20F310B9-E996-4C9A-85AD-5D262C5790C6}" name="Column9011"/>
    <tableColumn id="9043" xr3:uid="{E48DFED3-4C81-4AE5-942F-CCF1C2589BDC}" name="Column9012"/>
    <tableColumn id="9044" xr3:uid="{AD331041-1141-4865-BA9B-C62E328EB55D}" name="Column9013"/>
    <tableColumn id="9045" xr3:uid="{4D046594-7904-4019-83FF-95D94B52C8F9}" name="Column9014"/>
    <tableColumn id="9046" xr3:uid="{EA0816FC-11B8-45B7-A352-5BADB4422F13}" name="Column9015"/>
    <tableColumn id="9047" xr3:uid="{CB071134-A34C-42DC-9E20-5F35E301902A}" name="Column9016"/>
    <tableColumn id="9048" xr3:uid="{BBA2AA97-FE16-4D16-8699-1BBA28465B26}" name="Column9017"/>
    <tableColumn id="9049" xr3:uid="{283028A2-DD0C-42F9-9200-733A4ABFAF35}" name="Column9018"/>
    <tableColumn id="9050" xr3:uid="{A9F681DC-687B-42A8-9F4A-48C259A6CB1E}" name="Column9019"/>
    <tableColumn id="9051" xr3:uid="{8DB98570-EA1F-488A-9526-8670F6106218}" name="Column9020"/>
    <tableColumn id="9052" xr3:uid="{C445AE56-245F-467B-97CC-39052EEC7E7F}" name="Column9021"/>
    <tableColumn id="9053" xr3:uid="{015D97F4-A2CD-47B1-97B5-613A87D5B68D}" name="Column9022"/>
    <tableColumn id="9054" xr3:uid="{77C3FBF9-69F3-4027-B7DD-1CF6870431DC}" name="Column9023"/>
    <tableColumn id="9055" xr3:uid="{8C2611FC-3AE1-4076-800E-950E97DA566C}" name="Column9024"/>
    <tableColumn id="9056" xr3:uid="{169CD540-0955-4F76-9496-2904DC407717}" name="Column9025"/>
    <tableColumn id="9057" xr3:uid="{8013CA79-E7CC-44A3-9800-F01E93DB6AF8}" name="Column9026"/>
    <tableColumn id="9058" xr3:uid="{55159E49-B650-4F5B-A1B1-17A91C77BCE2}" name="Column9027"/>
    <tableColumn id="9059" xr3:uid="{445EEAC6-3178-4A6E-8DEB-62E235BBFDC5}" name="Column9028"/>
    <tableColumn id="9060" xr3:uid="{627D5FB0-4729-49AF-9C7C-1C2EE08D869A}" name="Column9029"/>
    <tableColumn id="9061" xr3:uid="{47FF6025-EE8A-49D9-B50C-07A39DD158D2}" name="Column9030"/>
    <tableColumn id="9062" xr3:uid="{312CD7AE-B60C-4412-A8B2-65047CFDF953}" name="Column9031"/>
    <tableColumn id="9063" xr3:uid="{44AE5754-5A93-4DB3-A0C2-27E1D9CA79E7}" name="Column9032"/>
    <tableColumn id="9064" xr3:uid="{631864F1-E8F1-45BF-ACA1-23F449C5BFF0}" name="Column9033"/>
    <tableColumn id="9065" xr3:uid="{99969F2B-C2B6-4861-A4BD-19BDA3193231}" name="Column9034"/>
    <tableColumn id="9066" xr3:uid="{BDD3A414-EEC2-4360-B178-98D6A773F957}" name="Column9035"/>
    <tableColumn id="9067" xr3:uid="{D63A74AC-A0FF-4BC4-BE83-4E3C9212E8FC}" name="Column9036"/>
    <tableColumn id="9068" xr3:uid="{96F4D43C-DCE8-4328-8D83-F6F6FF2709D9}" name="Column9037"/>
    <tableColumn id="9069" xr3:uid="{A06215AE-6D38-4BCD-A096-4645A738EA38}" name="Column9038"/>
    <tableColumn id="9070" xr3:uid="{0C7BC321-77AB-4018-BA32-2B972FCF54C9}" name="Column9039"/>
    <tableColumn id="9071" xr3:uid="{758AD753-28F6-4FD5-901A-E1A60929C649}" name="Column9040"/>
    <tableColumn id="9072" xr3:uid="{59D4D1BB-6265-4C70-9D51-A4CEC6F4B265}" name="Column9041"/>
    <tableColumn id="9073" xr3:uid="{072729D9-69AB-435A-9C33-01D48EE3CD5A}" name="Column9042"/>
    <tableColumn id="9074" xr3:uid="{FF0CF0DE-79D0-4872-8114-DC58CEA4BF97}" name="Column9043"/>
    <tableColumn id="9075" xr3:uid="{8C561C2C-861C-474E-B395-58D278287CD9}" name="Column9044"/>
    <tableColumn id="9076" xr3:uid="{23E4F78F-3340-43F9-A7FF-FFCECCBB9FA9}" name="Column9045"/>
    <tableColumn id="9077" xr3:uid="{D6E3DF52-CCF6-418B-9C51-617A1FA354EC}" name="Column9046"/>
    <tableColumn id="9078" xr3:uid="{7D761026-8E88-49C8-A2E7-C33976DA4E3F}" name="Column9047"/>
    <tableColumn id="9079" xr3:uid="{17A42C08-CB1E-4A24-8967-4851615EC4E5}" name="Column9048"/>
    <tableColumn id="9080" xr3:uid="{FFEB4D62-C5B9-4C4B-A61D-782DA5D9313C}" name="Column9049"/>
    <tableColumn id="9081" xr3:uid="{1BD79258-25BC-4889-BA3C-EA47EB9B39FE}" name="Column9050"/>
    <tableColumn id="9082" xr3:uid="{A295AB8F-9BAF-4F10-9AB5-0B01440C1E94}" name="Column9051"/>
    <tableColumn id="9083" xr3:uid="{E3B47295-2F6E-4272-951A-B1BDF9E45C92}" name="Column9052"/>
    <tableColumn id="9084" xr3:uid="{B93CD18A-A9A3-4451-A78D-964D9A2A66B3}" name="Column9053"/>
    <tableColumn id="9085" xr3:uid="{6918ACB6-D76C-4A10-82D9-71F4683C80EC}" name="Column9054"/>
    <tableColumn id="9086" xr3:uid="{2B04D84D-2449-400E-9B96-7875845ED531}" name="Column9055"/>
    <tableColumn id="9087" xr3:uid="{BEDD90E8-ED63-465A-8A2C-FA3C07547CA5}" name="Column9056"/>
    <tableColumn id="9088" xr3:uid="{5635B740-9A20-47E2-8FA0-51C05A34548C}" name="Column9057"/>
    <tableColumn id="9089" xr3:uid="{B37C97EA-B0B5-45B0-B48E-4BA2DABF7DD7}" name="Column9058"/>
    <tableColumn id="9090" xr3:uid="{6F7ABE22-8BC6-4568-A79C-08E1C0AA6A13}" name="Column9059"/>
    <tableColumn id="9091" xr3:uid="{787D9953-3D75-438C-A05B-50A3CC23FE1E}" name="Column9060"/>
    <tableColumn id="9092" xr3:uid="{36E37AA4-3D1B-44CF-843A-1A7D1BDE98E3}" name="Column9061"/>
    <tableColumn id="9093" xr3:uid="{DC404659-F85C-49D6-8A17-2A989C896832}" name="Column9062"/>
    <tableColumn id="9094" xr3:uid="{B673D6FC-3D6B-46CB-999B-A3625F97866B}" name="Column9063"/>
    <tableColumn id="9095" xr3:uid="{745B2A27-0F78-4D2B-8234-2B230252F4C5}" name="Column9064"/>
    <tableColumn id="9096" xr3:uid="{2782CD91-F412-4031-8E2F-545058F9B333}" name="Column9065"/>
    <tableColumn id="9097" xr3:uid="{7764CFEE-72DC-4E3B-A8D9-E8762DD60712}" name="Column9066"/>
    <tableColumn id="9098" xr3:uid="{0138821E-B78D-46B0-9DC8-3274C7F6D0BC}" name="Column9067"/>
    <tableColumn id="9099" xr3:uid="{303E39BF-6ED4-4D4F-B06D-46912D65FBC5}" name="Column9068"/>
    <tableColumn id="9100" xr3:uid="{BC7CEF9A-7833-471B-A89D-FD7AC24244D1}" name="Column9069"/>
    <tableColumn id="9101" xr3:uid="{E14F7E04-ADCC-45BD-9FD7-D9126B763F91}" name="Column9070"/>
    <tableColumn id="9102" xr3:uid="{21D20E84-1C3D-4D7C-B72B-135AF5CB6796}" name="Column9071"/>
    <tableColumn id="9103" xr3:uid="{75E1981C-105E-4785-B9CB-100F1B294FB2}" name="Column9072"/>
    <tableColumn id="9104" xr3:uid="{6F2C4BCA-6F16-4272-930C-5FB319F1A9A5}" name="Column9073"/>
    <tableColumn id="9105" xr3:uid="{EDAC3E7D-70C7-4F47-B694-D48A6A0FDE33}" name="Column9074"/>
    <tableColumn id="9106" xr3:uid="{19674147-F683-47D9-9900-182534BED104}" name="Column9075"/>
    <tableColumn id="9107" xr3:uid="{D7EB7DE2-655A-4936-898E-513D546C1511}" name="Column9076"/>
    <tableColumn id="9108" xr3:uid="{14A963F6-68D3-47F0-AF90-AFAF289B2BE0}" name="Column9077"/>
    <tableColumn id="9109" xr3:uid="{41502DA8-9329-4D2C-906D-A7A1E9374143}" name="Column9078"/>
    <tableColumn id="9110" xr3:uid="{7AAEEA7D-C9A6-4172-9A1F-F620EC0A7E4A}" name="Column9079"/>
    <tableColumn id="9111" xr3:uid="{0C8FCF53-71CC-40DA-AD28-B59D9CCDD483}" name="Column9080"/>
    <tableColumn id="9112" xr3:uid="{B0FC4C83-B394-4C7A-994B-0571AA6EF8E5}" name="Column9081"/>
    <tableColumn id="9113" xr3:uid="{498D3EF0-7337-46DC-93E6-0C3E56203670}" name="Column9082"/>
    <tableColumn id="9114" xr3:uid="{9D89ACBF-358C-45C8-960E-C95E54EC1277}" name="Column9083"/>
    <tableColumn id="9115" xr3:uid="{586A64CD-FB8F-402A-A14A-2A66728BEFFF}" name="Column9084"/>
    <tableColumn id="9116" xr3:uid="{32612C2B-9808-4482-BAB4-1BB340630030}" name="Column9085"/>
    <tableColumn id="9117" xr3:uid="{7EA6B6C1-B48F-4048-88D3-BCAFD726CDE7}" name="Column9086"/>
    <tableColumn id="9118" xr3:uid="{CD39A282-C697-4175-82F1-9601B6ED7ED8}" name="Column9087"/>
    <tableColumn id="9119" xr3:uid="{F7E1011A-69DC-4A22-A9CC-F3ABCEEB1268}" name="Column9088"/>
    <tableColumn id="9120" xr3:uid="{1CA73C4D-6800-4EF7-8A39-1BAC61A1CD96}" name="Column9089"/>
    <tableColumn id="9121" xr3:uid="{6B012D51-ACAF-4C9A-9DC0-513E30258156}" name="Column9090"/>
    <tableColumn id="9122" xr3:uid="{6411DB2D-EE16-4993-8FF5-8A888B58C090}" name="Column9091"/>
    <tableColumn id="9123" xr3:uid="{527568BE-5FEA-4DD5-807F-2D09DCEDFF39}" name="Column9092"/>
    <tableColumn id="9124" xr3:uid="{9E62DDB5-6AFB-40D4-A7D4-21A299AF76CA}" name="Column9093"/>
    <tableColumn id="9125" xr3:uid="{FBB60B0A-7922-486C-AB3C-71FC42BD8295}" name="Column9094"/>
    <tableColumn id="9126" xr3:uid="{8F5707B7-7D11-4BF7-9CCA-4D0A8EDC7CF2}" name="Column9095"/>
    <tableColumn id="9127" xr3:uid="{F688B1E9-CA84-4FCF-8998-30565A023F58}" name="Column9096"/>
    <tableColumn id="9128" xr3:uid="{AB273610-01AF-4AF5-99A1-F824A4BA8187}" name="Column9097"/>
    <tableColumn id="9129" xr3:uid="{E8A47D02-7266-4AE3-A85A-394363B203CA}" name="Column9098"/>
    <tableColumn id="9130" xr3:uid="{AE94BEF7-B462-46AC-8735-800A3F077739}" name="Column9099"/>
    <tableColumn id="9131" xr3:uid="{333E4F12-8AB3-42EE-AC90-94504961BA05}" name="Column9100"/>
    <tableColumn id="9132" xr3:uid="{C3E36DE2-D58D-46A9-BC9C-5A8F71BADC45}" name="Column9101"/>
    <tableColumn id="9133" xr3:uid="{6D1836E2-BB17-43E8-8BA9-F67199A614A1}" name="Column9102"/>
    <tableColumn id="9134" xr3:uid="{9982AFAF-0609-4354-8F02-166DC6537419}" name="Column9103"/>
    <tableColumn id="9135" xr3:uid="{08CA722D-0AA3-433F-9F19-7DE3F6D0252C}" name="Column9104"/>
    <tableColumn id="9136" xr3:uid="{D7CD5513-8D59-42AF-A50A-5853090153B1}" name="Column9105"/>
    <tableColumn id="9137" xr3:uid="{BC1C7EFD-E2AB-41A5-8250-24DD2DF009EE}" name="Column9106"/>
    <tableColumn id="9138" xr3:uid="{1898CC4C-27A8-4530-9D77-F5C25F85D819}" name="Column9107"/>
    <tableColumn id="9139" xr3:uid="{67DE090A-5AC2-425B-8432-C5DBB8D6CAD5}" name="Column9108"/>
    <tableColumn id="9140" xr3:uid="{B8311E58-C96E-416C-AE69-BB295569B3DF}" name="Column9109"/>
    <tableColumn id="9141" xr3:uid="{87C9EF66-0A65-4C03-A1E4-F5C367E23516}" name="Column9110"/>
    <tableColumn id="9142" xr3:uid="{6CFD41C9-6096-4E85-BD44-29A50D8DD716}" name="Column9111"/>
    <tableColumn id="9143" xr3:uid="{745B39B1-53A9-47A0-B88A-902E649FAA56}" name="Column9112"/>
    <tableColumn id="9144" xr3:uid="{A8E5D271-9BDA-481E-B26E-CD72131A96F9}" name="Column9113"/>
    <tableColumn id="9145" xr3:uid="{CE34D689-69C5-43A7-B5FF-D5871B5EFDC9}" name="Column9114"/>
    <tableColumn id="9146" xr3:uid="{3746D69D-EB40-44B5-AC09-C40A9F8BD457}" name="Column9115"/>
    <tableColumn id="9147" xr3:uid="{5B78CD75-0D0A-4F83-9E23-9E345B2711DD}" name="Column9116"/>
    <tableColumn id="9148" xr3:uid="{C6A631AC-0078-420B-BDF3-BB27D55C2B1A}" name="Column9117"/>
    <tableColumn id="9149" xr3:uid="{BD1C624A-3DD1-4CF7-A7FA-5C0BD4121DB0}" name="Column9118"/>
    <tableColumn id="9150" xr3:uid="{D1F8CED5-34B0-482F-A97A-E497C489E072}" name="Column9119"/>
    <tableColumn id="9151" xr3:uid="{E38739AB-46C2-4484-ACEF-02F2FC753EC7}" name="Column9120"/>
    <tableColumn id="9152" xr3:uid="{D4D32FA7-1C9B-4A38-85F3-CABC94EB466F}" name="Column9121"/>
    <tableColumn id="9153" xr3:uid="{A35B3826-3951-40C3-B8AF-0F359133DE63}" name="Column9122"/>
    <tableColumn id="9154" xr3:uid="{632DFB88-4BA9-44BE-9FA9-7F8DB194FBE7}" name="Column9123"/>
    <tableColumn id="9155" xr3:uid="{45D7ED5A-621A-4F63-8DCB-68877F413347}" name="Column9124"/>
    <tableColumn id="9156" xr3:uid="{F30868C5-EDD8-46DD-9EB2-57518A29C9F2}" name="Column9125"/>
    <tableColumn id="9157" xr3:uid="{8CAA1D78-07AA-40A7-9477-F308E6DF6CB6}" name="Column9126"/>
    <tableColumn id="9158" xr3:uid="{5B062D3A-45DC-45FF-A25E-7A9D763D14A3}" name="Column9127"/>
    <tableColumn id="9159" xr3:uid="{576B7CCA-6B9E-46A1-AA00-93EE627E6FD8}" name="Column9128"/>
    <tableColumn id="9160" xr3:uid="{8380EA90-B4E8-4CC0-9E5C-488E566DBDB9}" name="Column9129"/>
    <tableColumn id="9161" xr3:uid="{527D66D9-D10B-4D98-A09D-21B4B1422FF6}" name="Column9130"/>
    <tableColumn id="9162" xr3:uid="{EFA262DB-0916-4DDA-A111-F4D4B01C7BFE}" name="Column9131"/>
    <tableColumn id="9163" xr3:uid="{99F406FC-3160-40C5-8DE4-FCE68C329A37}" name="Column9132"/>
    <tableColumn id="9164" xr3:uid="{023B4A11-4252-4FB0-843C-EF4FEBED48C7}" name="Column9133"/>
    <tableColumn id="9165" xr3:uid="{66071D1F-D191-41FD-A23E-E6DFEC0D6A70}" name="Column9134"/>
    <tableColumn id="9166" xr3:uid="{05B022D3-4E63-432D-B083-9CE3333E795C}" name="Column9135"/>
    <tableColumn id="9167" xr3:uid="{65986045-2BA4-457B-8449-7A42A33ACC4F}" name="Column9136"/>
    <tableColumn id="9168" xr3:uid="{1C564381-8AD5-412B-922F-E57DE7C5827C}" name="Column9137"/>
    <tableColumn id="9169" xr3:uid="{D4D28DE2-C155-4085-8A75-B626168C232B}" name="Column9138"/>
    <tableColumn id="9170" xr3:uid="{F5C720AB-5E55-4313-A870-9F4906771F1A}" name="Column9139"/>
    <tableColumn id="9171" xr3:uid="{9B4C3820-CD8F-4FE2-B406-6945507314AB}" name="Column9140"/>
    <tableColumn id="9172" xr3:uid="{BF2390EE-BD1C-403A-B987-16770F3F74CC}" name="Column9141"/>
    <tableColumn id="9173" xr3:uid="{DAA07738-BB60-4DA3-A460-BE2977763FB8}" name="Column9142"/>
    <tableColumn id="9174" xr3:uid="{80BBE3D3-30C1-4D9B-8051-3EEEA322C43F}" name="Column9143"/>
    <tableColumn id="9175" xr3:uid="{250FFABB-8D18-4E8C-8F2F-EB453BF50EE0}" name="Column9144"/>
    <tableColumn id="9176" xr3:uid="{2F3E7DC0-6264-4342-A27C-79C8E51B45D3}" name="Column9145"/>
    <tableColumn id="9177" xr3:uid="{393B4014-2A82-4CF9-B90A-6C934F022C72}" name="Column9146"/>
    <tableColumn id="9178" xr3:uid="{43AE4C7B-AA13-485F-A587-3DFE0813803B}" name="Column9147"/>
    <tableColumn id="9179" xr3:uid="{3C52607C-B849-4489-ADED-12F6142D2F21}" name="Column9148"/>
    <tableColumn id="9180" xr3:uid="{09C6838D-43E9-4450-9085-B1CCEE861EB9}" name="Column9149"/>
    <tableColumn id="9181" xr3:uid="{CC838266-35BC-49A6-A09B-11ECC39A8C4C}" name="Column9150"/>
    <tableColumn id="9182" xr3:uid="{21BE6733-E071-44A6-BCDF-25A330415031}" name="Column9151"/>
    <tableColumn id="9183" xr3:uid="{C94EE3E6-35A0-401A-AE07-377DCB81126C}" name="Column9152"/>
    <tableColumn id="9184" xr3:uid="{49CA1BAC-2793-426E-9FF3-EBBC505D931B}" name="Column9153"/>
    <tableColumn id="9185" xr3:uid="{F61AEC1B-5259-414F-822E-20498B9FB2A5}" name="Column9154"/>
    <tableColumn id="9186" xr3:uid="{CAD33610-4149-4AC4-A28D-19D05DB9AB4E}" name="Column9155"/>
    <tableColumn id="9187" xr3:uid="{40F6C701-115C-44EA-AF7A-EEE0C778C1A0}" name="Column9156"/>
    <tableColumn id="9188" xr3:uid="{6187F489-E1A9-4604-A2E0-8B8F942E6FE4}" name="Column9157"/>
    <tableColumn id="9189" xr3:uid="{719705A2-513C-4383-A48C-CEF47E371492}" name="Column9158"/>
    <tableColumn id="9190" xr3:uid="{F96B96C0-87F5-4071-B769-0B6DED19C25E}" name="Column9159"/>
    <tableColumn id="9191" xr3:uid="{B9821D32-04B9-45FF-B4D3-C8454CACACB5}" name="Column9160"/>
    <tableColumn id="9192" xr3:uid="{F2989137-505B-41A2-B7BD-36108A5992E8}" name="Column9161"/>
    <tableColumn id="9193" xr3:uid="{00945C85-1EB9-42F5-AD16-AC51E7396811}" name="Column9162"/>
    <tableColumn id="9194" xr3:uid="{904DC20D-F07A-42BB-AAFE-40117A63DEB1}" name="Column9163"/>
    <tableColumn id="9195" xr3:uid="{41A5E57A-86D0-4489-94CA-FFDAAE179500}" name="Column9164"/>
    <tableColumn id="9196" xr3:uid="{A5663A0D-DBE5-4B30-8CFC-B63403939E82}" name="Column9165"/>
    <tableColumn id="9197" xr3:uid="{1F195FD4-D981-4FED-AEE3-31F413DAC37C}" name="Column9166"/>
    <tableColumn id="9198" xr3:uid="{0ED791C6-3EAA-49EB-8BB6-B07E2DC75FF6}" name="Column9167"/>
    <tableColumn id="9199" xr3:uid="{9E726E32-E379-4FB2-B7B3-3821D585ACD7}" name="Column9168"/>
    <tableColumn id="9200" xr3:uid="{2575A2FA-8804-4C21-AEF2-7B02CCF1A2CF}" name="Column9169"/>
    <tableColumn id="9201" xr3:uid="{6F09C02C-6067-42A2-A1BC-5E26E1C20CFE}" name="Column9170"/>
    <tableColumn id="9202" xr3:uid="{D6D83047-8119-46C0-A30C-64A4F5AB9100}" name="Column9171"/>
    <tableColumn id="9203" xr3:uid="{ADBCF57C-C376-4950-8805-372BA24FAAC8}" name="Column9172"/>
    <tableColumn id="9204" xr3:uid="{AEBC5673-7D9F-4DBE-9FF2-C5396C54CE1C}" name="Column9173"/>
    <tableColumn id="9205" xr3:uid="{96059879-8915-4F58-B29F-6EBF964B64CE}" name="Column9174"/>
    <tableColumn id="9206" xr3:uid="{9BD829D6-07F4-4B5F-8E35-71D53749E937}" name="Column9175"/>
    <tableColumn id="9207" xr3:uid="{FFE87DE4-2ADA-40EA-B084-664BDEFCF4CC}" name="Column9176"/>
    <tableColumn id="9208" xr3:uid="{6DEBB5CA-1DAA-4C66-A826-ED6600F92ADB}" name="Column9177"/>
    <tableColumn id="9209" xr3:uid="{78AA8761-3968-4249-A0C9-37C3D3CBE485}" name="Column9178"/>
    <tableColumn id="9210" xr3:uid="{FDB31675-2896-4BE2-BC43-602CFC90B9A1}" name="Column9179"/>
    <tableColumn id="9211" xr3:uid="{CD51041C-B608-4609-8FEB-025FCF6F75ED}" name="Column9180"/>
    <tableColumn id="9212" xr3:uid="{6600D432-B180-4601-957C-66463429C6C9}" name="Column9181"/>
    <tableColumn id="9213" xr3:uid="{7B5CDDEC-4E2F-4415-94B5-99995E445DCD}" name="Column9182"/>
    <tableColumn id="9214" xr3:uid="{28BCB999-1CFD-431F-8BE2-FCE66836266E}" name="Column9183"/>
    <tableColumn id="9215" xr3:uid="{88AF39F4-8485-420E-8686-19361F98DA9E}" name="Column9184"/>
    <tableColumn id="9216" xr3:uid="{343F7569-0B74-4454-AB09-AE824787A491}" name="Column9185"/>
    <tableColumn id="9217" xr3:uid="{6B5BB4D0-5D99-4461-82EE-745A2F673307}" name="Column9186"/>
    <tableColumn id="9218" xr3:uid="{1043A2C3-AC94-416F-950A-003FB4793EE2}" name="Column9187"/>
    <tableColumn id="9219" xr3:uid="{57C297F2-C689-47BB-856F-383E6658D99A}" name="Column9188"/>
    <tableColumn id="9220" xr3:uid="{605B3894-C52A-43E6-8216-996F1048F2D0}" name="Column9189"/>
    <tableColumn id="9221" xr3:uid="{91FFDF42-B6D7-4DE1-8E19-8027CBC29EA7}" name="Column9190"/>
    <tableColumn id="9222" xr3:uid="{62A957FB-8AA8-4419-BDFD-4F12AFD26D58}" name="Column9191"/>
    <tableColumn id="9223" xr3:uid="{D5A4B5B9-E651-4370-84A2-86199300E707}" name="Column9192"/>
    <tableColumn id="9224" xr3:uid="{829E0EBA-2175-43FC-B2DA-D707ADEDB7C3}" name="Column9193"/>
    <tableColumn id="9225" xr3:uid="{FC1D8BA2-C563-4F6A-B678-8173545D72DF}" name="Column9194"/>
    <tableColumn id="9226" xr3:uid="{B84405B7-DE41-42A6-B8FD-32E3BD5C54FB}" name="Column9195"/>
    <tableColumn id="9227" xr3:uid="{D54B2EC1-FDB1-45D9-9603-4A36600B5FFF}" name="Column9196"/>
    <tableColumn id="9228" xr3:uid="{5A7D7AAF-072F-4923-BC50-3A84C21F48F8}" name="Column9197"/>
    <tableColumn id="9229" xr3:uid="{6A757DB7-C7D1-480A-83AF-0C11CBED769F}" name="Column9198"/>
    <tableColumn id="9230" xr3:uid="{19E5B4D6-DD63-4AF5-BD04-44F4EF8751AF}" name="Column9199"/>
    <tableColumn id="9231" xr3:uid="{DCC8E6FA-4300-4F74-9627-C91BCC48BA4C}" name="Column9200"/>
    <tableColumn id="9232" xr3:uid="{093AE62B-97C5-4D2E-AC96-5B98FD848A8A}" name="Column9201"/>
    <tableColumn id="9233" xr3:uid="{B3B4CBC6-DF86-41B4-91C4-800C72AFB19F}" name="Column9202"/>
    <tableColumn id="9234" xr3:uid="{4EA73965-A5EF-4F4A-8B67-A7DF65CCFC4C}" name="Column9203"/>
    <tableColumn id="9235" xr3:uid="{1A31CA2D-455E-4985-9C31-1B52FD4A8895}" name="Column9204"/>
    <tableColumn id="9236" xr3:uid="{395AA5A4-1368-4400-90A5-7DD60EB8C1E4}" name="Column9205"/>
    <tableColumn id="9237" xr3:uid="{4BBE6C86-8FB5-40C7-A48B-C3C5A0628C60}" name="Column9206"/>
    <tableColumn id="9238" xr3:uid="{8893938C-B97B-473D-8692-C4084AA8F06B}" name="Column9207"/>
    <tableColumn id="9239" xr3:uid="{6EC0EFBE-4A1F-46C5-9617-898CB64A440A}" name="Column9208"/>
    <tableColumn id="9240" xr3:uid="{DE63CDDD-AB33-4FD7-BDC5-A2379632EE23}" name="Column9209"/>
    <tableColumn id="9241" xr3:uid="{92C95707-E642-4496-88FB-16E735F297F5}" name="Column9210"/>
    <tableColumn id="9242" xr3:uid="{1EDF4C72-22B1-440C-A9ED-3EE425576A3D}" name="Column9211"/>
    <tableColumn id="9243" xr3:uid="{A91B7AAB-8D07-46B8-B881-3E024A9E5426}" name="Column9212"/>
    <tableColumn id="9244" xr3:uid="{8C5DFEF5-22F9-4375-9678-8A4112F058E1}" name="Column9213"/>
    <tableColumn id="9245" xr3:uid="{48E09A2E-8152-44D1-8A8A-31128CBA17C2}" name="Column9214"/>
    <tableColumn id="9246" xr3:uid="{79517D92-9DE2-4C3D-A0FA-1411652B82CA}" name="Column9215"/>
    <tableColumn id="9247" xr3:uid="{88276A67-4816-45F0-87BC-44F61CD62FFF}" name="Column9216"/>
    <tableColumn id="9248" xr3:uid="{47942624-57C0-43F8-812C-CB6003EAA68C}" name="Column9217"/>
    <tableColumn id="9249" xr3:uid="{C6313D24-9443-4A87-89FD-3939E0BCA9A4}" name="Column9218"/>
    <tableColumn id="9250" xr3:uid="{277B41CD-65A2-46A9-854B-C744B67474F7}" name="Column9219"/>
    <tableColumn id="9251" xr3:uid="{7C58C724-B162-446B-991C-183017C46378}" name="Column9220"/>
    <tableColumn id="9252" xr3:uid="{0658055A-6F99-46F1-A7CB-D41F4B44241A}" name="Column9221"/>
    <tableColumn id="9253" xr3:uid="{F9489C18-13CC-4205-952D-F1FCEE029734}" name="Column9222"/>
    <tableColumn id="9254" xr3:uid="{B6EED8B0-E17C-4F26-9BB6-CA1AAFC4E76C}" name="Column9223"/>
    <tableColumn id="9255" xr3:uid="{44B24438-B292-4BD0-B7FE-61C8E7C77332}" name="Column9224"/>
    <tableColumn id="9256" xr3:uid="{BEA4D8E0-DC51-47E3-A01C-7A0109578667}" name="Column9225"/>
    <tableColumn id="9257" xr3:uid="{B95FC739-44E1-4C3A-8C51-7A16A6C6341D}" name="Column9226"/>
    <tableColumn id="9258" xr3:uid="{24B95EAC-9BA2-4B17-8392-6CF4A31736EC}" name="Column9227"/>
    <tableColumn id="9259" xr3:uid="{782BB785-008F-4AFC-97EC-57FA5977ACB9}" name="Column9228"/>
    <tableColumn id="9260" xr3:uid="{859323E6-EB33-45FC-A704-3C4EDAD54BBD}" name="Column9229"/>
    <tableColumn id="9261" xr3:uid="{B27B1460-0A4B-454C-B249-0F32AB6277EB}" name="Column9230"/>
    <tableColumn id="9262" xr3:uid="{3FBC1590-CD7E-4DE7-A94E-7B3481952D96}" name="Column9231"/>
    <tableColumn id="9263" xr3:uid="{50EA1F4A-639D-4B7B-8B08-3E5C083229CB}" name="Column9232"/>
    <tableColumn id="9264" xr3:uid="{CD55FD47-E0CB-455B-84B2-A49CF49E2B0B}" name="Column9233"/>
    <tableColumn id="9265" xr3:uid="{C10AD082-E736-4997-81BF-D6701F4A6D68}" name="Column9234"/>
    <tableColumn id="9266" xr3:uid="{B5F1C8EF-3E7C-48ED-9DB2-2FC5153CFF57}" name="Column9235"/>
    <tableColumn id="9267" xr3:uid="{7C920855-B688-4888-95BD-1B5505B4A715}" name="Column9236"/>
    <tableColumn id="9268" xr3:uid="{0EDF4A04-B957-4A7E-8BFE-C660A9DFA70F}" name="Column9237"/>
    <tableColumn id="9269" xr3:uid="{EB69186E-F42F-41C2-B361-6DED7E8B4493}" name="Column9238"/>
    <tableColumn id="9270" xr3:uid="{E4648D02-3135-4692-9AE9-EE1D13C6CFA9}" name="Column9239"/>
    <tableColumn id="9271" xr3:uid="{77EAB452-5514-4180-92CB-767370BE3D19}" name="Column9240"/>
    <tableColumn id="9272" xr3:uid="{3CE523FC-474A-446D-BB0E-2140D7B00567}" name="Column9241"/>
    <tableColumn id="9273" xr3:uid="{21669D5F-A504-4624-B4C4-EFB40F1CF5E2}" name="Column9242"/>
    <tableColumn id="9274" xr3:uid="{177BC48A-91BA-4467-84B6-78F969120141}" name="Column9243"/>
    <tableColumn id="9275" xr3:uid="{4CF18A2B-7646-4317-8E94-E257467C11DF}" name="Column9244"/>
    <tableColumn id="9276" xr3:uid="{758D8336-4D97-4E53-BB6D-A25F13746406}" name="Column9245"/>
    <tableColumn id="9277" xr3:uid="{809357A4-E045-4AD2-AB4F-3038503369DC}" name="Column9246"/>
    <tableColumn id="9278" xr3:uid="{868FE3E8-AF1F-462A-8DE7-EEDB977E87BA}" name="Column9247"/>
    <tableColumn id="9279" xr3:uid="{D5BBA126-CD5A-408B-AB6D-84C7007D7B61}" name="Column9248"/>
    <tableColumn id="9280" xr3:uid="{BDAF3A99-BBB2-4411-A816-4833218062A9}" name="Column9249"/>
    <tableColumn id="9281" xr3:uid="{A2297D62-698D-466D-A78C-DBEE14C48DE0}" name="Column9250"/>
    <tableColumn id="9282" xr3:uid="{0C5382EA-1943-452F-A656-8836BFB5F968}" name="Column9251"/>
    <tableColumn id="9283" xr3:uid="{74435C81-FED1-4C47-83FD-3ADC565B4686}" name="Column9252"/>
    <tableColumn id="9284" xr3:uid="{56FD9C54-1936-4B83-93FB-299F41247B07}" name="Column9253"/>
    <tableColumn id="9285" xr3:uid="{E7FA664D-F863-4FCD-B0AA-6743EE66CAA1}" name="Column9254"/>
    <tableColumn id="9286" xr3:uid="{E5D06F1C-D737-47D3-BDAA-FA9EF143F08F}" name="Column9255"/>
    <tableColumn id="9287" xr3:uid="{8F3D5728-2408-45F5-960A-C77932749AB6}" name="Column9256"/>
    <tableColumn id="9288" xr3:uid="{A92AC054-E6A0-4360-AF9D-BC2649FBE5BF}" name="Column9257"/>
    <tableColumn id="9289" xr3:uid="{D8D521F7-CAF3-4EA9-921C-1ECDDE62B2CD}" name="Column9258"/>
    <tableColumn id="9290" xr3:uid="{DB6DDD75-2124-4220-BB26-F9A9DDB8B692}" name="Column9259"/>
    <tableColumn id="9291" xr3:uid="{FC88D5EA-1E4B-40EE-B6A5-20FB42009113}" name="Column9260"/>
    <tableColumn id="9292" xr3:uid="{8B2EA45A-63DC-400A-871B-651CF2966B2E}" name="Column9261"/>
    <tableColumn id="9293" xr3:uid="{20C50D52-8614-47D7-BB57-F5E8AF76E5CE}" name="Column9262"/>
    <tableColumn id="9294" xr3:uid="{D225EB1A-0B3F-497A-8111-F44BC587757D}" name="Column9263"/>
    <tableColumn id="9295" xr3:uid="{C9BA54CA-547D-487B-839F-2E8C3E4288CD}" name="Column9264"/>
    <tableColumn id="9296" xr3:uid="{16D73738-A19A-4769-AEDC-06EBB9F5AEEC}" name="Column9265"/>
    <tableColumn id="9297" xr3:uid="{9DF2FA5E-3239-44C2-A12A-68BF2AE5F734}" name="Column9266"/>
    <tableColumn id="9298" xr3:uid="{CB1E2592-C37B-4424-92C4-C536E239A2EF}" name="Column9267"/>
    <tableColumn id="9299" xr3:uid="{EF4F097B-0099-44F3-9E6E-A584E4B086EB}" name="Column9268"/>
    <tableColumn id="9300" xr3:uid="{4F9AF8AD-5173-467E-A4D0-D102D5F931FB}" name="Column9269"/>
    <tableColumn id="9301" xr3:uid="{1A7F10C9-6574-4212-A70E-3B9BF3C454EC}" name="Column9270"/>
    <tableColumn id="9302" xr3:uid="{6C3EFC93-B19A-4468-901E-A6BF9DCF9DE2}" name="Column9271"/>
    <tableColumn id="9303" xr3:uid="{95BF5A9A-DA74-4474-8222-14E39798CC9B}" name="Column9272"/>
    <tableColumn id="9304" xr3:uid="{90DAF97A-922E-4C78-BBFA-15F8873796C7}" name="Column9273"/>
    <tableColumn id="9305" xr3:uid="{3F1F2996-0FED-4986-91B8-2695E13B5231}" name="Column9274"/>
    <tableColumn id="9306" xr3:uid="{0F5A3A59-7572-42F3-8E18-B5F5596F113A}" name="Column9275"/>
    <tableColumn id="9307" xr3:uid="{59C3AFB1-16C7-4307-A08A-C7E890334B6B}" name="Column9276"/>
    <tableColumn id="9308" xr3:uid="{28249318-9978-451F-AFE7-DD4C8B866927}" name="Column9277"/>
    <tableColumn id="9309" xr3:uid="{F7EADF5C-103C-4FDC-919C-96F0B5218D11}" name="Column9278"/>
    <tableColumn id="9310" xr3:uid="{B0D661AD-1D9F-4434-B55E-99A0521683A9}" name="Column9279"/>
    <tableColumn id="9311" xr3:uid="{B219C152-6E98-4EFF-9BC0-9ED052BBE64A}" name="Column9280"/>
    <tableColumn id="9312" xr3:uid="{28CABCA5-9797-431C-AC6D-D4F04A52E87E}" name="Column9281"/>
    <tableColumn id="9313" xr3:uid="{9D4DA662-1E6A-47DE-90A6-B91D39E313FD}" name="Column9282"/>
    <tableColumn id="9314" xr3:uid="{6916578B-A69A-453B-BC32-5BD3C503C5AC}" name="Column9283"/>
    <tableColumn id="9315" xr3:uid="{49125A3D-1BC7-4E55-94F4-0014182F5A36}" name="Column9284"/>
    <tableColumn id="9316" xr3:uid="{91F3DB18-425E-4168-9C16-E6E4BB1DE64E}" name="Column9285"/>
    <tableColumn id="9317" xr3:uid="{A6B27600-2801-44BA-B692-4B9557BDEA33}" name="Column9286"/>
    <tableColumn id="9318" xr3:uid="{0EC75116-CE7D-47A7-B4A9-3AA87AC35766}" name="Column9287"/>
    <tableColumn id="9319" xr3:uid="{693CA9A2-9DBB-408C-8FA7-94FD2ECECC43}" name="Column9288"/>
    <tableColumn id="9320" xr3:uid="{F66F7D7A-7BAC-49F4-85C2-822D3F1189D3}" name="Column9289"/>
    <tableColumn id="9321" xr3:uid="{B91A284F-2343-43ED-B41C-BAD2BC0E5F20}" name="Column9290"/>
    <tableColumn id="9322" xr3:uid="{633AB991-A4E7-4B92-8E12-1EC1E7E0E14D}" name="Column9291"/>
    <tableColumn id="9323" xr3:uid="{5511069B-0ACC-4A0B-A238-C5216A2011FF}" name="Column9292"/>
    <tableColumn id="9324" xr3:uid="{4350559A-9766-4130-87FC-C3B9652D0042}" name="Column9293"/>
    <tableColumn id="9325" xr3:uid="{B892673E-33D9-4EA0-8B90-A450405AB0A4}" name="Column9294"/>
    <tableColumn id="9326" xr3:uid="{E6151AB2-D14F-4126-A8C2-28BAC8295189}" name="Column9295"/>
    <tableColumn id="9327" xr3:uid="{EF92B8A1-CBC8-4279-80AC-0A2E94E10C39}" name="Column9296"/>
    <tableColumn id="9328" xr3:uid="{E78B82A7-1FF4-4E4D-876D-F78B677925C4}" name="Column9297"/>
    <tableColumn id="9329" xr3:uid="{437B811D-1510-44C6-BBDB-2F60DF148F13}" name="Column9298"/>
    <tableColumn id="9330" xr3:uid="{C5996E9D-957B-4C23-829D-96C477056F39}" name="Column9299"/>
    <tableColumn id="9331" xr3:uid="{2BFB0B1C-E442-459B-BA12-85EB1AA652E7}" name="Column9300"/>
    <tableColumn id="9332" xr3:uid="{E4C9EF25-125B-4453-A7E0-6EC3EEB1E91B}" name="Column9301"/>
    <tableColumn id="9333" xr3:uid="{5C00CF78-6420-4EF9-A18D-F925F56AEE81}" name="Column9302"/>
    <tableColumn id="9334" xr3:uid="{1C0242C2-D0F2-4BBE-ACD1-1206C1553B95}" name="Column9303"/>
    <tableColumn id="9335" xr3:uid="{900130DE-4DEE-4D46-BE93-860029740A98}" name="Column9304"/>
    <tableColumn id="9336" xr3:uid="{4B0F298C-ADDF-4C48-BB0B-B59A6AE1FEEF}" name="Column9305"/>
    <tableColumn id="9337" xr3:uid="{94DB17F0-0B0F-43C1-BAB6-E3736B85B989}" name="Column9306"/>
    <tableColumn id="9338" xr3:uid="{2D8D3254-B49F-4B1E-8BCC-8C4ABA5518C0}" name="Column9307"/>
    <tableColumn id="9339" xr3:uid="{6ACFE565-0ABF-44F9-9BCC-4A2FAC3197A6}" name="Column9308"/>
    <tableColumn id="9340" xr3:uid="{FCE800A5-A1E8-466A-AD34-0D9202FD8556}" name="Column9309"/>
    <tableColumn id="9341" xr3:uid="{7B16ADD1-D3F6-4EEC-8CDC-72B0CDE77F73}" name="Column9310"/>
    <tableColumn id="9342" xr3:uid="{1A3C8A27-C9C7-4A95-9F39-EF7EEF8F9E7A}" name="Column9311"/>
    <tableColumn id="9343" xr3:uid="{4B520ABC-BF49-4029-AA96-2EAE760955A0}" name="Column9312"/>
    <tableColumn id="9344" xr3:uid="{64855EB3-A554-437E-BEFC-20C86EEDCD9A}" name="Column9313"/>
    <tableColumn id="9345" xr3:uid="{18F5022D-E887-405F-B7CB-A97DE3AE1C88}" name="Column9314"/>
    <tableColumn id="9346" xr3:uid="{B3FA2262-1723-4D16-B6E7-DC74CEED3E35}" name="Column9315"/>
    <tableColumn id="9347" xr3:uid="{99FB39FB-AD97-485D-9987-D75BD22B5269}" name="Column9316"/>
    <tableColumn id="9348" xr3:uid="{9E963B49-0241-4BBB-A43B-0C3839EAF759}" name="Column9317"/>
    <tableColumn id="9349" xr3:uid="{4EEA16FF-A878-427C-9CB3-D0B808B2BD31}" name="Column9318"/>
    <tableColumn id="9350" xr3:uid="{264658A0-8B4B-4BEC-A457-39A3916A7EBE}" name="Column9319"/>
    <tableColumn id="9351" xr3:uid="{DB658B28-8D1A-47E9-8793-9EDE87E7EA12}" name="Column9320"/>
    <tableColumn id="9352" xr3:uid="{26EC7A91-D959-4435-936E-EEE655DC584A}" name="Column9321"/>
    <tableColumn id="9353" xr3:uid="{71193B88-BB9F-422E-A577-2CC54FE2D254}" name="Column9322"/>
    <tableColumn id="9354" xr3:uid="{6543411C-ED48-4077-8B59-E1F2A043085D}" name="Column9323"/>
    <tableColumn id="9355" xr3:uid="{81A9DB51-9750-4B94-960C-CB0BD847A6C8}" name="Column9324"/>
    <tableColumn id="9356" xr3:uid="{D9AE8260-97D5-47AD-B478-8FB10C44141D}" name="Column9325"/>
    <tableColumn id="9357" xr3:uid="{96324BD8-CAC5-46FD-9F1D-362E7126DBBC}" name="Column9326"/>
    <tableColumn id="9358" xr3:uid="{C4B1A787-F909-4E7A-BA45-502F77442394}" name="Column9327"/>
    <tableColumn id="9359" xr3:uid="{01F280EB-1BE3-4920-824C-2C87C0010B20}" name="Column9328"/>
    <tableColumn id="9360" xr3:uid="{73DACF86-C55E-42A8-9506-970744CEB814}" name="Column9329"/>
    <tableColumn id="9361" xr3:uid="{99237F0E-5D5A-4CAE-83C4-A1EB9A167E75}" name="Column9330"/>
    <tableColumn id="9362" xr3:uid="{E7954AC1-7E85-40C9-92E8-AA68F59649E3}" name="Column9331"/>
    <tableColumn id="9363" xr3:uid="{15A7F399-0AF5-4660-B8FF-11AA2DD69594}" name="Column9332"/>
    <tableColumn id="9364" xr3:uid="{47B67361-BC90-4522-A26B-6534BA1DD3E3}" name="Column9333"/>
    <tableColumn id="9365" xr3:uid="{CC3A087A-56C1-40DB-88D6-1A7F1A49CA14}" name="Column9334"/>
    <tableColumn id="9366" xr3:uid="{CD3F5AC2-A7D2-4774-A433-34D2EC9A9556}" name="Column9335"/>
    <tableColumn id="9367" xr3:uid="{4A58F49F-AC46-4AEA-B922-ABDBB030E378}" name="Column9336"/>
    <tableColumn id="9368" xr3:uid="{857CA8FF-45D8-4B88-9DD7-35C454E3AE81}" name="Column9337"/>
    <tableColumn id="9369" xr3:uid="{E71ECE4D-1AE3-4241-8CEB-286A682249FA}" name="Column9338"/>
    <tableColumn id="9370" xr3:uid="{3E249EF0-23B7-4DA1-86C3-703DF359B551}" name="Column9339"/>
    <tableColumn id="9371" xr3:uid="{BBC2CAAC-3EF6-4171-8945-51EDB2A8511B}" name="Column9340"/>
    <tableColumn id="9372" xr3:uid="{898EE095-0217-47CD-AEC8-B6AB91851D75}" name="Column9341"/>
    <tableColumn id="9373" xr3:uid="{336D2AB6-BDD6-45B7-B721-36DBB88BD6C4}" name="Column9342"/>
    <tableColumn id="9374" xr3:uid="{3206F170-6753-45DF-92D2-8C0FCF18A3DE}" name="Column9343"/>
    <tableColumn id="9375" xr3:uid="{A7709F73-29A6-433E-B341-72A271453A1E}" name="Column9344"/>
    <tableColumn id="9376" xr3:uid="{1402633F-FE9E-48CA-8935-86495EA90B18}" name="Column9345"/>
    <tableColumn id="9377" xr3:uid="{496856EC-75DE-46B4-A1B9-D5AF2A9824C6}" name="Column9346"/>
    <tableColumn id="9378" xr3:uid="{ECFB064C-F295-4C7A-BFDD-78FBD22A0AC3}" name="Column9347"/>
    <tableColumn id="9379" xr3:uid="{30A43A4F-5FFE-4DB5-A772-58BAD8228256}" name="Column9348"/>
    <tableColumn id="9380" xr3:uid="{02AC8222-4ECC-4EED-87FB-8673094665EE}" name="Column9349"/>
    <tableColumn id="9381" xr3:uid="{9566003A-3E1D-4178-8F05-A5150E2D4BC2}" name="Column9350"/>
    <tableColumn id="9382" xr3:uid="{215C7385-3272-431E-98E6-BD097F066B6A}" name="Column9351"/>
    <tableColumn id="9383" xr3:uid="{54C8B167-15CC-494E-A5D1-8CEBA061B33F}" name="Column9352"/>
    <tableColumn id="9384" xr3:uid="{AC14C582-0370-4586-A6AD-A461A4F482CE}" name="Column9353"/>
    <tableColumn id="9385" xr3:uid="{55553E45-5BE1-4C82-8459-23A3D4FB4599}" name="Column9354"/>
    <tableColumn id="9386" xr3:uid="{FB6D4574-B175-4061-862A-E9A631439F0A}" name="Column9355"/>
    <tableColumn id="9387" xr3:uid="{8AF3B2A9-AADF-430C-8536-9DE0EC699196}" name="Column9356"/>
    <tableColumn id="9388" xr3:uid="{2CE92E88-AF27-4FE1-B62B-4C403276EBE9}" name="Column9357"/>
    <tableColumn id="9389" xr3:uid="{799F6D4C-EDE2-4904-A7AB-17896EEA6615}" name="Column9358"/>
    <tableColumn id="9390" xr3:uid="{F309EF44-7D0F-4678-ABF2-EDA0301CA0F0}" name="Column9359"/>
    <tableColumn id="9391" xr3:uid="{EEAE3DF9-CC14-4931-86A5-5697056913A3}" name="Column9360"/>
    <tableColumn id="9392" xr3:uid="{112E5D33-FAD1-42C1-8124-9486955C48B3}" name="Column9361"/>
    <tableColumn id="9393" xr3:uid="{CF188302-3B22-4CEA-AB18-5EAED70BB7EA}" name="Column9362"/>
    <tableColumn id="9394" xr3:uid="{FD0E0EBC-406B-49F0-9BD5-7F1ADA7F7FCB}" name="Column9363"/>
    <tableColumn id="9395" xr3:uid="{7D6DE1ED-5266-43C5-A344-494C5694AB24}" name="Column9364"/>
    <tableColumn id="9396" xr3:uid="{DB9E3397-BD17-4133-97DD-C81E4A49FB0C}" name="Column9365"/>
    <tableColumn id="9397" xr3:uid="{DE13B470-51B7-4F50-9FF9-D454EE09FB10}" name="Column9366"/>
    <tableColumn id="9398" xr3:uid="{B51ECC77-7DF5-4731-B3AC-932E812A024B}" name="Column9367"/>
    <tableColumn id="9399" xr3:uid="{93AAE5DB-2695-4096-81E0-E9BA6C383E9F}" name="Column9368"/>
    <tableColumn id="9400" xr3:uid="{151BC91B-DA20-4128-A655-20CCF2162A17}" name="Column9369"/>
    <tableColumn id="9401" xr3:uid="{DC87D9ED-189D-4D7C-BF77-8EBC7CD9A0BC}" name="Column9370"/>
    <tableColumn id="9402" xr3:uid="{17FD36F8-EE91-4664-8C2F-8CD55F7A69F0}" name="Column9371"/>
    <tableColumn id="9403" xr3:uid="{37ED9A0F-B782-4DE9-B1F2-3236EFC148DA}" name="Column9372"/>
    <tableColumn id="9404" xr3:uid="{35619B59-87E8-4FB8-BC8D-CE192D4BCDF4}" name="Column9373"/>
    <tableColumn id="9405" xr3:uid="{2648B31E-C31A-40E0-A80B-B11BFF29975D}" name="Column9374"/>
    <tableColumn id="9406" xr3:uid="{2B4FEED0-E460-4BBC-8903-2CE9E8108A83}" name="Column9375"/>
    <tableColumn id="9407" xr3:uid="{53BCF45D-3057-4D2F-A503-59DC991B7418}" name="Column9376"/>
    <tableColumn id="9408" xr3:uid="{98B140A4-3D8A-4ECE-AAD4-92A1EEFF4687}" name="Column9377"/>
    <tableColumn id="9409" xr3:uid="{AF8BD9AD-6770-4887-8070-41EEE82A0B65}" name="Column9378"/>
    <tableColumn id="9410" xr3:uid="{5A484AB5-716E-4A86-95D1-D41B6A4A8CB6}" name="Column9379"/>
    <tableColumn id="9411" xr3:uid="{426F77B1-BFD4-4854-ABD5-D88E99C537E0}" name="Column9380"/>
    <tableColumn id="9412" xr3:uid="{8182A952-3582-4F56-A2A9-5A4C1C7C16B9}" name="Column9381"/>
    <tableColumn id="9413" xr3:uid="{F0AFD8C7-8AF8-4B9A-BD29-BF3223BF04DF}" name="Column9382"/>
    <tableColumn id="9414" xr3:uid="{22B22886-C8B7-447C-8921-72D783F9CF80}" name="Column9383"/>
    <tableColumn id="9415" xr3:uid="{EFC27B49-94A0-4561-809E-1827D1B6AFD2}" name="Column9384"/>
    <tableColumn id="9416" xr3:uid="{1DD3D83A-A481-49F9-9C1A-686E1FBEDB61}" name="Column9385"/>
    <tableColumn id="9417" xr3:uid="{F9E058FC-3A57-4745-8797-E7EA6CB02085}" name="Column9386"/>
    <tableColumn id="9418" xr3:uid="{B4F11345-790F-45D9-844F-D1E80CC64903}" name="Column9387"/>
    <tableColumn id="9419" xr3:uid="{6EB642C1-328A-4E3A-A2AA-085D571A07B2}" name="Column9388"/>
    <tableColumn id="9420" xr3:uid="{754AA314-85F6-435F-8899-EC1F06C53234}" name="Column9389"/>
    <tableColumn id="9421" xr3:uid="{FB89C8BD-3C26-4FFC-A4CB-FB606F770CC4}" name="Column9390"/>
    <tableColumn id="9422" xr3:uid="{611370E5-8934-4229-8999-9933CE127A5E}" name="Column9391"/>
    <tableColumn id="9423" xr3:uid="{B86DB461-CD1E-4A68-9E06-BB6E4D5DF490}" name="Column9392"/>
    <tableColumn id="9424" xr3:uid="{F26DE940-E4DD-4DDE-B3E4-728009B2AB18}" name="Column9393"/>
    <tableColumn id="9425" xr3:uid="{0A194F0B-30B0-497B-9F67-6F673B71EDF4}" name="Column9394"/>
    <tableColumn id="9426" xr3:uid="{F92F6460-109B-4679-BE24-EC2E18E72631}" name="Column9395"/>
    <tableColumn id="9427" xr3:uid="{3168C91B-1E7F-41D9-BC0F-4903A7C039B4}" name="Column9396"/>
    <tableColumn id="9428" xr3:uid="{C86DD132-8130-4BE3-AE30-008B8D6CFC0D}" name="Column9397"/>
    <tableColumn id="9429" xr3:uid="{90E007E6-E98D-4E75-A2A7-CC206900BB11}" name="Column9398"/>
    <tableColumn id="9430" xr3:uid="{9FE7F4B5-A29A-4221-BCA8-AA10E05283F7}" name="Column9399"/>
    <tableColumn id="9431" xr3:uid="{25117963-8595-4459-968A-4830EA97699E}" name="Column9400"/>
    <tableColumn id="9432" xr3:uid="{1D51D4D4-BF2A-46CA-B918-A318F0782A1D}" name="Column9401"/>
    <tableColumn id="9433" xr3:uid="{A14EB036-9C85-45A8-944C-5B93F9A5106C}" name="Column9402"/>
    <tableColumn id="9434" xr3:uid="{8811D56D-0252-4946-95A2-18AC526A4E99}" name="Column9403"/>
    <tableColumn id="9435" xr3:uid="{4908B6F7-EA69-47A4-A0AB-5C26B2EFF718}" name="Column9404"/>
    <tableColumn id="9436" xr3:uid="{40E426A9-01C7-4203-AC4D-5DEE951AEF62}" name="Column9405"/>
    <tableColumn id="9437" xr3:uid="{7472CCB5-ABB4-4474-A18E-ECD51489A6FB}" name="Column9406"/>
    <tableColumn id="9438" xr3:uid="{E1D386B2-7D88-4FF1-9DCD-13C7C275E7E8}" name="Column9407"/>
    <tableColumn id="9439" xr3:uid="{A76780FC-95EC-4DE5-91E4-B9D5DE0CE56A}" name="Column9408"/>
    <tableColumn id="9440" xr3:uid="{57C7913B-C0F9-45A9-8330-2940F83457E8}" name="Column9409"/>
    <tableColumn id="9441" xr3:uid="{437AF25B-31D3-4D51-B668-D55FCFBE9294}" name="Column9410"/>
    <tableColumn id="9442" xr3:uid="{107B014F-90F0-44D7-8830-DA8A19998715}" name="Column9411"/>
    <tableColumn id="9443" xr3:uid="{70FDB80A-C66A-4799-8A74-9675ED8D8C67}" name="Column9412"/>
    <tableColumn id="9444" xr3:uid="{579FDE6D-B4F9-4CFC-9701-A0567872CF29}" name="Column9413"/>
    <tableColumn id="9445" xr3:uid="{2E38FF4A-0FD4-4296-A429-5A45EC3D482E}" name="Column9414"/>
    <tableColumn id="9446" xr3:uid="{931F53CD-45F3-4B17-9CC5-7D11F7C2F179}" name="Column9415"/>
    <tableColumn id="9447" xr3:uid="{B1956678-F776-48DF-B1C2-F0051D0C42D4}" name="Column9416"/>
    <tableColumn id="9448" xr3:uid="{ECFC4ED3-AE09-4B00-B025-243BF0DB9A2F}" name="Column9417"/>
    <tableColumn id="9449" xr3:uid="{F0B7FD05-DCFE-4913-A4F5-3684366A2C21}" name="Column9418"/>
    <tableColumn id="9450" xr3:uid="{556D3B61-F60D-4DF9-AEEA-AB65A451D64C}" name="Column9419"/>
    <tableColumn id="9451" xr3:uid="{5B83731A-B42E-43E7-A4BB-AEE1C497626D}" name="Column9420"/>
    <tableColumn id="9452" xr3:uid="{7C155C67-F463-40D3-87A1-16C24FDFE607}" name="Column9421"/>
    <tableColumn id="9453" xr3:uid="{3AA0876E-1AA1-4BEA-90E4-81E5949AF56B}" name="Column9422"/>
    <tableColumn id="9454" xr3:uid="{E5527D9E-4C03-4260-AC5F-C68BD1D4D109}" name="Column9423"/>
    <tableColumn id="9455" xr3:uid="{B3A32E55-7AFD-4EB7-84B0-E485A171198F}" name="Column9424"/>
    <tableColumn id="9456" xr3:uid="{1291F09F-F769-4799-9106-170126FC442B}" name="Column9425"/>
    <tableColumn id="9457" xr3:uid="{5245ACF8-EAAC-434B-88AD-B2FFF36C72C7}" name="Column9426"/>
    <tableColumn id="9458" xr3:uid="{F5CB5BFD-D577-4BB9-91A6-0068BEB4DBF5}" name="Column9427"/>
    <tableColumn id="9459" xr3:uid="{B76513F1-60D9-490A-B346-0A3A9D1460B9}" name="Column9428"/>
    <tableColumn id="9460" xr3:uid="{C37DA7DC-C340-49BE-BE37-8E6383C50C22}" name="Column9429"/>
    <tableColumn id="9461" xr3:uid="{7DDFA4E4-BF29-4FDF-B0B6-4FBA02E4FC94}" name="Column9430"/>
    <tableColumn id="9462" xr3:uid="{6A2ABD68-16F6-47B5-8C41-359ABB4A3CF2}" name="Column9431"/>
    <tableColumn id="9463" xr3:uid="{BDE17F02-EA4E-4A47-8B44-097F5B50A84C}" name="Column9432"/>
    <tableColumn id="9464" xr3:uid="{68607E45-B8F8-4138-B752-5BA94B83951C}" name="Column9433"/>
    <tableColumn id="9465" xr3:uid="{01418CBC-23B6-45B9-BE3F-BB99591A1597}" name="Column9434"/>
    <tableColumn id="9466" xr3:uid="{D31E784E-C164-49DF-B56E-9022A5355EA6}" name="Column9435"/>
    <tableColumn id="9467" xr3:uid="{CA7E4FF6-320C-46FE-8A8E-3DEBB70F7E21}" name="Column9436"/>
    <tableColumn id="9468" xr3:uid="{12B0084C-1088-4247-8FBC-BC9425700410}" name="Column9437"/>
    <tableColumn id="9469" xr3:uid="{6D536A50-D12F-482F-869E-C17F1EE9AEAA}" name="Column9438"/>
    <tableColumn id="9470" xr3:uid="{96192A41-CDC1-43C7-A4F3-ECC93276D864}" name="Column9439"/>
    <tableColumn id="9471" xr3:uid="{594A8426-E70D-4B93-B6FF-4CE7FD426DB4}" name="Column9440"/>
    <tableColumn id="9472" xr3:uid="{80860210-0747-4234-8A38-7D0CC33810AA}" name="Column9441"/>
    <tableColumn id="9473" xr3:uid="{E3C93BAF-F924-4C6D-9459-45DE835A7165}" name="Column9442"/>
    <tableColumn id="9474" xr3:uid="{33E87785-A30E-4932-88B3-E85F636310AC}" name="Column9443"/>
    <tableColumn id="9475" xr3:uid="{2BF441F2-53A5-4E67-8C76-651B82175664}" name="Column9444"/>
    <tableColumn id="9476" xr3:uid="{BF49D479-512A-409D-B9F0-4CC693957BC5}" name="Column9445"/>
    <tableColumn id="9477" xr3:uid="{C3EF0BA6-0161-4A9F-A730-380C8D0F517D}" name="Column9446"/>
    <tableColumn id="9478" xr3:uid="{88684B2E-B34A-46A5-8860-41E56132B871}" name="Column9447"/>
    <tableColumn id="9479" xr3:uid="{DDFC66E7-9091-4827-83CF-53FC31DE47A8}" name="Column9448"/>
    <tableColumn id="9480" xr3:uid="{D06567C1-BD46-4C64-9DE1-ABB0CA50870D}" name="Column9449"/>
    <tableColumn id="9481" xr3:uid="{DA7622E2-50D2-4235-8340-5EDA19B3DCA8}" name="Column9450"/>
    <tableColumn id="9482" xr3:uid="{8D3EE619-CBB1-412E-BB25-A3CC15F05D6B}" name="Column9451"/>
    <tableColumn id="9483" xr3:uid="{9B6EEAC4-35D1-4A2B-B30A-4E86B0E5BF14}" name="Column9452"/>
    <tableColumn id="9484" xr3:uid="{2DAEDF42-A5A9-40D6-A4B9-B8EF67D70639}" name="Column9453"/>
    <tableColumn id="9485" xr3:uid="{EF24C015-F6A2-4E88-8DCE-E50069DFD1C4}" name="Column9454"/>
    <tableColumn id="9486" xr3:uid="{63B7E740-1F4C-4A3D-9274-BDE2A13220B7}" name="Column9455"/>
    <tableColumn id="9487" xr3:uid="{0D081BC6-E0C0-4577-921F-3C6CEBDFC18B}" name="Column9456"/>
    <tableColumn id="9488" xr3:uid="{AC6C9951-DC3D-4435-A95B-B9CB8321C256}" name="Column9457"/>
    <tableColumn id="9489" xr3:uid="{CA94652A-A178-4CE3-97CB-5005B2F9C991}" name="Column9458"/>
    <tableColumn id="9490" xr3:uid="{47D57ED1-AAC8-484E-B442-1508733E7E41}" name="Column9459"/>
    <tableColumn id="9491" xr3:uid="{D21B46C6-A280-49DD-9161-D8C0D8E2DF99}" name="Column9460"/>
    <tableColumn id="9492" xr3:uid="{61A14E8F-C1AD-4828-B8B9-D0E12A4DEE6F}" name="Column9461"/>
    <tableColumn id="9493" xr3:uid="{6E12D372-1F5F-43A0-9EC5-DC3F3BC3E8CD}" name="Column9462"/>
    <tableColumn id="9494" xr3:uid="{9E3C36B2-ECF5-47C2-B96A-C6EB7F308773}" name="Column9463"/>
    <tableColumn id="9495" xr3:uid="{C5C7BBEF-27A1-4A16-8203-64CFB0A11231}" name="Column9464"/>
    <tableColumn id="9496" xr3:uid="{C1BFDA76-8C7C-4EE0-8E22-0F483DE1B94E}" name="Column9465"/>
    <tableColumn id="9497" xr3:uid="{AD199CCD-8B56-4EF6-8782-D58A0CC98DBA}" name="Column9466"/>
    <tableColumn id="9498" xr3:uid="{72AA75BE-26DA-4EBA-A269-AF6EA63177B1}" name="Column9467"/>
    <tableColumn id="9499" xr3:uid="{475A8006-E167-40E1-B4BA-82D86ECE7039}" name="Column9468"/>
    <tableColumn id="9500" xr3:uid="{0866B7E2-CA7B-4E2E-AB61-C7FB86FEF8D8}" name="Column9469"/>
    <tableColumn id="9501" xr3:uid="{1AAA866D-B48A-4FD4-8AD6-A3D8FBF217A9}" name="Column9470"/>
    <tableColumn id="9502" xr3:uid="{6161F060-0178-470E-BA4E-F406CC38E4AC}" name="Column9471"/>
    <tableColumn id="9503" xr3:uid="{5D41DF1B-EA79-4089-9FE6-DB678F6EAB95}" name="Column9472"/>
    <tableColumn id="9504" xr3:uid="{6C5B1676-1ACF-4302-A7F8-48340B84124F}" name="Column9473"/>
    <tableColumn id="9505" xr3:uid="{5D5F2CCF-3970-4763-ACB2-CD42F394776C}" name="Column9474"/>
    <tableColumn id="9506" xr3:uid="{DB0D7567-3600-4E5A-ABA4-5DD51F35D6B2}" name="Column9475"/>
    <tableColumn id="9507" xr3:uid="{140DA075-93CD-4B42-9C7F-2BF55F5B2370}" name="Column9476"/>
    <tableColumn id="9508" xr3:uid="{568F59B8-459D-47C5-9D26-4FD6EAD745CC}" name="Column9477"/>
    <tableColumn id="9509" xr3:uid="{8A8D5D0B-19E1-47DF-985E-12843CED876A}" name="Column9478"/>
    <tableColumn id="9510" xr3:uid="{DFA1A143-6E0C-4C5F-ADB6-F6FC24877F11}" name="Column9479"/>
    <tableColumn id="9511" xr3:uid="{76D5A4BB-4267-421A-9BDE-F9DEDD4C26A0}" name="Column9480"/>
    <tableColumn id="9512" xr3:uid="{7B86B679-9E5B-4A06-802F-DAD3E8EA739A}" name="Column9481"/>
    <tableColumn id="9513" xr3:uid="{F599A0F4-EB62-46D8-A10B-F6817E449624}" name="Column9482"/>
    <tableColumn id="9514" xr3:uid="{06871196-878A-4103-BCF6-B1034013C9D1}" name="Column9483"/>
    <tableColumn id="9515" xr3:uid="{A2D84381-468F-4670-A052-1262F4850B87}" name="Column9484"/>
    <tableColumn id="9516" xr3:uid="{903881CC-086E-404C-A108-F2D7A8890358}" name="Column9485"/>
    <tableColumn id="9517" xr3:uid="{422FDC7C-537E-44B6-90CF-67B57A6F4543}" name="Column9486"/>
    <tableColumn id="9518" xr3:uid="{FFB82FCC-C5F3-4247-9511-7BCDD39E82F2}" name="Column9487"/>
    <tableColumn id="9519" xr3:uid="{38F0AB5D-18E5-433F-ADD7-26CCC02C79D9}" name="Column9488"/>
    <tableColumn id="9520" xr3:uid="{DE6A646B-17FD-40B0-ACAE-90187DD3A28D}" name="Column9489"/>
    <tableColumn id="9521" xr3:uid="{C0826A53-4E53-49CC-85CA-2C2FD69284FE}" name="Column9490"/>
    <tableColumn id="9522" xr3:uid="{C1BCF665-4E64-4892-8D12-4E34C24B5912}" name="Column9491"/>
    <tableColumn id="9523" xr3:uid="{40CD3ED5-81C8-44F3-B8EE-31FA1EC5DD15}" name="Column9492"/>
    <tableColumn id="9524" xr3:uid="{11FDB110-8061-408C-91E5-4954EA05A057}" name="Column9493"/>
    <tableColumn id="9525" xr3:uid="{078C06BF-3718-4DC1-8780-1E7CD9054496}" name="Column9494"/>
    <tableColumn id="9526" xr3:uid="{DADEBF4B-A794-4074-9FF8-D5F3136415AC}" name="Column9495"/>
    <tableColumn id="9527" xr3:uid="{FC5A81C0-5956-49E0-95EA-8423D71EB33C}" name="Column9496"/>
    <tableColumn id="9528" xr3:uid="{58157F6D-7899-4141-9F36-FD969872EDFF}" name="Column9497"/>
    <tableColumn id="9529" xr3:uid="{939DFCD4-FADD-42F4-AD90-0B47C427D889}" name="Column9498"/>
    <tableColumn id="9530" xr3:uid="{E8404AEF-C12A-4900-8BAB-76EC629D52EF}" name="Column9499"/>
    <tableColumn id="9531" xr3:uid="{FF0A6770-3E7D-4661-BC4A-A4A4D83EDED7}" name="Column9500"/>
    <tableColumn id="9532" xr3:uid="{AD9350C2-5670-469D-A71C-80AEF0992816}" name="Column9501"/>
    <tableColumn id="9533" xr3:uid="{38C36E44-BF06-4425-9083-C8FC0D4552A2}" name="Column9502"/>
    <tableColumn id="9534" xr3:uid="{F0DAA0DA-A65D-45C2-AAA8-FCD507D86DF0}" name="Column9503"/>
    <tableColumn id="9535" xr3:uid="{1D46165F-E4AF-4360-B39A-D68B0C89CF74}" name="Column9504"/>
    <tableColumn id="9536" xr3:uid="{A63416F0-49FB-41FD-BE2B-46A7DDF81405}" name="Column9505"/>
    <tableColumn id="9537" xr3:uid="{6114B036-CCA6-4787-85E3-85BE6F59921B}" name="Column9506"/>
    <tableColumn id="9538" xr3:uid="{3AA0F26E-547B-4D42-AAF1-76BEC604FD7C}" name="Column9507"/>
    <tableColumn id="9539" xr3:uid="{7EE76CDF-57ED-4692-AE3B-4FBFF4FFAB17}" name="Column9508"/>
    <tableColumn id="9540" xr3:uid="{85024A19-6383-4313-AE31-CB7C033337CC}" name="Column9509"/>
    <tableColumn id="9541" xr3:uid="{8A95B21A-5A20-4044-B1D3-4ABE87F8BD79}" name="Column9510"/>
    <tableColumn id="9542" xr3:uid="{4BF8E488-9CC0-40AF-9EEC-3A2F398F81DC}" name="Column9511"/>
    <tableColumn id="9543" xr3:uid="{114BDA34-84F4-4155-BCEF-6D2C48DC1F5D}" name="Column9512"/>
    <tableColumn id="9544" xr3:uid="{92154429-9F92-472A-8EA9-ECE5AB27B672}" name="Column9513"/>
    <tableColumn id="9545" xr3:uid="{AE262E8A-B2C4-4ED7-B6B8-1B4DF4A6AFCD}" name="Column9514"/>
    <tableColumn id="9546" xr3:uid="{988D98AF-355E-4093-83BC-099FF7272261}" name="Column9515"/>
    <tableColumn id="9547" xr3:uid="{34C1844B-854E-4381-A6F2-62FDCDFF0B9F}" name="Column9516"/>
    <tableColumn id="9548" xr3:uid="{6B253D4C-4F39-4501-A997-7F4981FF10EF}" name="Column9517"/>
    <tableColumn id="9549" xr3:uid="{9EE4D9B9-CF43-464E-9A43-7BF189FA1611}" name="Column9518"/>
    <tableColumn id="9550" xr3:uid="{1629C423-BF74-4884-B5F5-30DE67CB87BB}" name="Column9519"/>
    <tableColumn id="9551" xr3:uid="{6231C7A2-36F5-4D3E-BDCA-31F3D17274C9}" name="Column9520"/>
    <tableColumn id="9552" xr3:uid="{D3C8B200-A391-42EB-9D52-BDBC41220411}" name="Column9521"/>
    <tableColumn id="9553" xr3:uid="{96C28EBC-F549-4E73-BB38-00763372422D}" name="Column9522"/>
    <tableColumn id="9554" xr3:uid="{C8D737B7-82FF-4FF7-9C1A-4D1FCFF3A633}" name="Column9523"/>
    <tableColumn id="9555" xr3:uid="{583364D4-F509-4CA6-B71B-31799F8C919E}" name="Column9524"/>
    <tableColumn id="9556" xr3:uid="{1539682A-6D8E-4657-BD31-0C004DDD8132}" name="Column9525"/>
    <tableColumn id="9557" xr3:uid="{2EB114C6-B9C0-4BC8-A1CC-0BEF472725DA}" name="Column9526"/>
    <tableColumn id="9558" xr3:uid="{1877DA9D-2D78-4116-89BB-19F95D84CE42}" name="Column9527"/>
    <tableColumn id="9559" xr3:uid="{8ACCB55D-74FF-4418-AC27-BBEB3D78266B}" name="Column9528"/>
    <tableColumn id="9560" xr3:uid="{04821586-1BF3-4C45-98B3-94B6511D9585}" name="Column9529"/>
    <tableColumn id="9561" xr3:uid="{39B2C702-638A-4310-99FD-0A5757F31E25}" name="Column9530"/>
    <tableColumn id="9562" xr3:uid="{E610A348-EADA-47EC-9ABE-CD08557E2AC8}" name="Column9531"/>
    <tableColumn id="9563" xr3:uid="{FA72F026-8A23-4F90-938E-72C6A60125B7}" name="Column9532"/>
    <tableColumn id="9564" xr3:uid="{1B0F7AC1-6797-41EF-9852-17026D4BFF15}" name="Column9533"/>
    <tableColumn id="9565" xr3:uid="{934CA227-5567-4714-AE2B-1EF63FDB4643}" name="Column9534"/>
    <tableColumn id="9566" xr3:uid="{E945CF25-7497-4068-A172-1CB34685802E}" name="Column9535"/>
    <tableColumn id="9567" xr3:uid="{C556A63A-DA1F-4EF2-B5A4-64C2C7FB67BE}" name="Column9536"/>
    <tableColumn id="9568" xr3:uid="{0069BD2E-4C3E-45A6-B374-28A61C1E46FA}" name="Column9537"/>
    <tableColumn id="9569" xr3:uid="{B933D2FE-CAD6-42E2-9E3F-C1EC7CAECF33}" name="Column9538"/>
    <tableColumn id="9570" xr3:uid="{1FC1ABC0-32B3-4075-8693-FD98B6159DB4}" name="Column9539"/>
    <tableColumn id="9571" xr3:uid="{3B866CD9-08EF-4311-A9E7-7E408A78C072}" name="Column9540"/>
    <tableColumn id="9572" xr3:uid="{75E745DA-2AC7-4D8C-BD10-66996CE14410}" name="Column9541"/>
    <tableColumn id="9573" xr3:uid="{6C50DE1C-0832-44AF-BF66-A0FC9ED97909}" name="Column9542"/>
    <tableColumn id="9574" xr3:uid="{16EDB9B1-B76D-46A2-A006-44DB548D6F89}" name="Column9543"/>
    <tableColumn id="9575" xr3:uid="{1429C444-B4FC-41A1-B11B-F8F26664026E}" name="Column9544"/>
    <tableColumn id="9576" xr3:uid="{BB55009E-0E75-4CF2-9DC8-91EAAA84BD01}" name="Column9545"/>
    <tableColumn id="9577" xr3:uid="{8F09917A-5009-4871-9EA0-E80D19CBFEDA}" name="Column9546"/>
    <tableColumn id="9578" xr3:uid="{B19B3909-8BE5-4464-A5B4-4DC7C6E73E5A}" name="Column9547"/>
    <tableColumn id="9579" xr3:uid="{4C492B77-7B1B-431E-9CB8-A39996CE2033}" name="Column9548"/>
    <tableColumn id="9580" xr3:uid="{856EA3E5-FC57-490C-B567-B7908C23CF66}" name="Column9549"/>
    <tableColumn id="9581" xr3:uid="{E1F86A6A-E064-4A9D-BB9E-FEC4D51C1EA0}" name="Column9550"/>
    <tableColumn id="9582" xr3:uid="{A4015DC3-E56A-452D-A69E-6F9FF67E1B2D}" name="Column9551"/>
    <tableColumn id="9583" xr3:uid="{7DF409C5-7078-4474-8978-FE284855992F}" name="Column9552"/>
    <tableColumn id="9584" xr3:uid="{E4A5CBC2-41EE-4B33-A8A9-08D6E1953594}" name="Column9553"/>
    <tableColumn id="9585" xr3:uid="{BE80D4FD-CF3C-4006-9D59-8C5880D94A44}" name="Column9554"/>
    <tableColumn id="9586" xr3:uid="{33741AF9-2EAD-4022-8045-D6178F783657}" name="Column9555"/>
    <tableColumn id="9587" xr3:uid="{4F8EA62F-088E-49FD-8237-8AC78B28F207}" name="Column9556"/>
    <tableColumn id="9588" xr3:uid="{80BD6ECA-B12F-4377-9951-8052BD36485A}" name="Column9557"/>
    <tableColumn id="9589" xr3:uid="{E3B8B8BF-0F5C-44C3-91EB-7C2858E75ED2}" name="Column9558"/>
    <tableColumn id="9590" xr3:uid="{58CFFB7B-AB8F-4FA9-ABD0-A0BBD54E7433}" name="Column9559"/>
    <tableColumn id="9591" xr3:uid="{C8C2C25E-5D35-417B-9700-DB3F905E38B6}" name="Column9560"/>
    <tableColumn id="9592" xr3:uid="{76033D8A-1E9D-4887-B29C-A26B7B5C1E8F}" name="Column9561"/>
    <tableColumn id="9593" xr3:uid="{04C57D72-7573-45FB-A62B-E730C33E4AC2}" name="Column9562"/>
    <tableColumn id="9594" xr3:uid="{3F1320D7-3643-404B-A132-72F33E118171}" name="Column9563"/>
    <tableColumn id="9595" xr3:uid="{CF46F014-9CBF-471A-8641-802FB130D193}" name="Column9564"/>
    <tableColumn id="9596" xr3:uid="{B0B268FE-E2E1-4022-BAE5-D4A097C201E0}" name="Column9565"/>
    <tableColumn id="9597" xr3:uid="{AFE40162-3D4A-4D9D-8EDC-7B359B68B313}" name="Column9566"/>
    <tableColumn id="9598" xr3:uid="{B6DAFB8A-01C5-4002-9D33-77341A54FC69}" name="Column9567"/>
    <tableColumn id="9599" xr3:uid="{F938631A-0D1A-4DE7-8287-3826F866F8C6}" name="Column9568"/>
    <tableColumn id="9600" xr3:uid="{0E689FF3-CA26-424E-AA01-65C443801880}" name="Column9569"/>
    <tableColumn id="9601" xr3:uid="{E5E22030-4993-4782-A0D9-CB5A16AB5362}" name="Column9570"/>
    <tableColumn id="9602" xr3:uid="{068051A8-4F52-423A-A74D-A63242AF265B}" name="Column9571"/>
    <tableColumn id="9603" xr3:uid="{650E9A5D-70E0-42E7-A57D-A7901BE79526}" name="Column9572"/>
    <tableColumn id="9604" xr3:uid="{862A9915-1677-4AFC-9721-46ED180C499C}" name="Column9573"/>
    <tableColumn id="9605" xr3:uid="{4262BD6A-12AA-4DE2-8034-E544165AC206}" name="Column9574"/>
    <tableColumn id="9606" xr3:uid="{A2B90CAF-A129-45EE-824B-220DEBA58C1C}" name="Column9575"/>
    <tableColumn id="9607" xr3:uid="{80EE84FE-EB79-4AE1-90CC-A5C57379B20D}" name="Column9576"/>
    <tableColumn id="9608" xr3:uid="{09079698-EB2C-417D-87D4-A87136E81777}" name="Column9577"/>
    <tableColumn id="9609" xr3:uid="{905E0C70-9957-4E2E-81DF-9B8DE5D81AE6}" name="Column9578"/>
    <tableColumn id="9610" xr3:uid="{2E178D62-6EF9-472B-B977-0E2759FBF662}" name="Column9579"/>
    <tableColumn id="9611" xr3:uid="{A455CB91-F6CA-405D-B554-B2DEC0E44A2C}" name="Column9580"/>
    <tableColumn id="9612" xr3:uid="{CAF9EB75-6F35-4D80-8A93-1CE7420A9208}" name="Column9581"/>
    <tableColumn id="9613" xr3:uid="{1040904F-2E26-4E39-BE69-5EAE289C9926}" name="Column9582"/>
    <tableColumn id="9614" xr3:uid="{076E1609-A59B-456D-BF49-E591EAF487E0}" name="Column9583"/>
    <tableColumn id="9615" xr3:uid="{A71A1BDE-3DDB-45F0-9C6E-D203CCC9B569}" name="Column9584"/>
    <tableColumn id="9616" xr3:uid="{0D991D53-A7F8-4ABC-A7C3-B305E664582A}" name="Column9585"/>
    <tableColumn id="9617" xr3:uid="{FEE131E8-7B3F-46A3-BC17-A236431BBA60}" name="Column9586"/>
    <tableColumn id="9618" xr3:uid="{BF15CA64-5BC5-469C-BC82-7319D44A948B}" name="Column9587"/>
    <tableColumn id="9619" xr3:uid="{C3C10F78-AAC3-4D3B-A2CF-733B2E6555D0}" name="Column9588"/>
    <tableColumn id="9620" xr3:uid="{28BC4ADB-A061-46D1-B94E-FCD151F568D8}" name="Column9589"/>
    <tableColumn id="9621" xr3:uid="{77B8E1F6-F096-451B-8879-2F8A0CAA3DC3}" name="Column9590"/>
    <tableColumn id="9622" xr3:uid="{4CED0854-F849-4640-99AF-C88672C80FD5}" name="Column9591"/>
    <tableColumn id="9623" xr3:uid="{7B201474-51C7-4AB0-8B5E-4B39837336DB}" name="Column9592"/>
    <tableColumn id="9624" xr3:uid="{CC5F6AA9-2759-404D-9701-B6A467E694B6}" name="Column9593"/>
    <tableColumn id="9625" xr3:uid="{DEA12644-6B9F-42B3-A89D-5B200C97DA6F}" name="Column9594"/>
    <tableColumn id="9626" xr3:uid="{D32453C8-668C-4742-AF4D-CD7D177BCA08}" name="Column9595"/>
    <tableColumn id="9627" xr3:uid="{36AF8793-C227-46B5-924A-594A7488BBFE}" name="Column9596"/>
    <tableColumn id="9628" xr3:uid="{61A93F8E-E31A-4779-9E4B-C32BF7E9A4FE}" name="Column9597"/>
    <tableColumn id="9629" xr3:uid="{D824CFF5-F367-4688-9F94-4025FF48C671}" name="Column9598"/>
    <tableColumn id="9630" xr3:uid="{A2189F99-E6CC-42DE-8515-83BAEDCD556B}" name="Column9599"/>
    <tableColumn id="9631" xr3:uid="{30F524D6-6FD5-4120-A4BB-134D09E304D5}" name="Column9600"/>
    <tableColumn id="9632" xr3:uid="{3719D3A4-065E-4DEA-ADF3-2C85ED4F9DFA}" name="Column9601"/>
    <tableColumn id="9633" xr3:uid="{CEABD58F-3815-4BA7-B8C6-FB83D590631D}" name="Column9602"/>
    <tableColumn id="9634" xr3:uid="{A7268A92-A9C6-4F6E-BC9E-FC368DE3B7D7}" name="Column9603"/>
    <tableColumn id="9635" xr3:uid="{C366249C-C6DC-4A68-8170-C92540C88390}" name="Column9604"/>
    <tableColumn id="9636" xr3:uid="{B4A0E948-FAD5-47A5-BE01-BD3B3838D929}" name="Column9605"/>
    <tableColumn id="9637" xr3:uid="{B8B68790-74C0-4F3F-8A62-FD554E8954DC}" name="Column9606"/>
    <tableColumn id="9638" xr3:uid="{F5B7E863-A5F1-43C6-B1D0-EFAF0D4E9D87}" name="Column9607"/>
    <tableColumn id="9639" xr3:uid="{23DE9108-3AA4-480B-A8DD-E6F940E15446}" name="Column9608"/>
    <tableColumn id="9640" xr3:uid="{3A44E9C3-6CAB-41DD-AA12-C5D3ADD29D19}" name="Column9609"/>
    <tableColumn id="9641" xr3:uid="{3C0788B0-EEEE-406C-9103-F2BA373DA957}" name="Column9610"/>
    <tableColumn id="9642" xr3:uid="{AD9BCC70-C97E-4271-BBB0-DC4A68769E59}" name="Column9611"/>
    <tableColumn id="9643" xr3:uid="{C549AB49-581D-4D41-AD9F-B22159A9BE5E}" name="Column9612"/>
    <tableColumn id="9644" xr3:uid="{5C00474C-8478-4EC5-8B2A-FB35BFBC876B}" name="Column9613"/>
    <tableColumn id="9645" xr3:uid="{163D458D-AE05-464F-A586-C906D75236EA}" name="Column9614"/>
    <tableColumn id="9646" xr3:uid="{CAE2E435-4BD1-4E1B-BD2B-D430F4B4FAE8}" name="Column9615"/>
    <tableColumn id="9647" xr3:uid="{D3C05773-730A-4D31-81E5-245FCDE825CD}" name="Column9616"/>
    <tableColumn id="9648" xr3:uid="{5C6DC4A7-A025-479E-BAE4-99BEC5F8BA45}" name="Column9617"/>
    <tableColumn id="9649" xr3:uid="{AB52698F-2814-414D-8DA5-FC62A5F53DF1}" name="Column9618"/>
    <tableColumn id="9650" xr3:uid="{734A06EC-E7A7-487F-9972-B26A8CB3CF74}" name="Column9619"/>
    <tableColumn id="9651" xr3:uid="{581F0725-2528-4017-955D-B6465AF2A735}" name="Column9620"/>
    <tableColumn id="9652" xr3:uid="{ECEFD506-5A1C-48C2-95BB-009930EC1482}" name="Column9621"/>
    <tableColumn id="9653" xr3:uid="{C713A8DE-20EE-44B0-B963-1D37C106FCEA}" name="Column9622"/>
    <tableColumn id="9654" xr3:uid="{8D290EE2-EABF-4F5B-A642-1529AC9FE09E}" name="Column9623"/>
    <tableColumn id="9655" xr3:uid="{A3304B89-EA35-450F-B17A-40827D06F949}" name="Column9624"/>
    <tableColumn id="9656" xr3:uid="{F32F2A63-433B-415C-BA73-99DF847589DF}" name="Column9625"/>
    <tableColumn id="9657" xr3:uid="{D9494E90-3B81-47A9-9651-37F468391F07}" name="Column9626"/>
    <tableColumn id="9658" xr3:uid="{C8B09B9F-169D-4301-84D4-D9F4149F212A}" name="Column9627"/>
    <tableColumn id="9659" xr3:uid="{7F5D1010-4C77-4166-8FCF-1E286C48982D}" name="Column9628"/>
    <tableColumn id="9660" xr3:uid="{651D9E77-62C2-47C7-B06A-736AB0D53518}" name="Column9629"/>
    <tableColumn id="9661" xr3:uid="{6E3D75D6-C9A0-41D8-A032-5C20850FC227}" name="Column9630"/>
    <tableColumn id="9662" xr3:uid="{2458B2DF-FABB-4A25-8BD1-789D91C5FDF7}" name="Column9631"/>
    <tableColumn id="9663" xr3:uid="{B0125A91-CDD5-4D60-963F-F0ADF347CEDC}" name="Column9632"/>
    <tableColumn id="9664" xr3:uid="{24882C2C-CAF7-4C33-BE01-FCC27579A31A}" name="Column9633"/>
    <tableColumn id="9665" xr3:uid="{F3F11C63-87B8-4C55-A56F-EF48617345D7}" name="Column9634"/>
    <tableColumn id="9666" xr3:uid="{1C35B648-EC0C-49DD-945F-F01D7E9DE46F}" name="Column9635"/>
    <tableColumn id="9667" xr3:uid="{B632DA5E-1277-499E-BE00-10DBC205A117}" name="Column9636"/>
    <tableColumn id="9668" xr3:uid="{208EF6C0-C014-4CFE-B60F-13926666B28B}" name="Column9637"/>
    <tableColumn id="9669" xr3:uid="{3FF4D257-9BA8-446C-9BFE-AD853EE14E53}" name="Column9638"/>
    <tableColumn id="9670" xr3:uid="{B8A91FAA-BB2C-469D-B7E0-BC0CFBDE46BC}" name="Column9639"/>
    <tableColumn id="9671" xr3:uid="{8183E353-E1CF-45B4-9B0C-26B5D750D85C}" name="Column9640"/>
    <tableColumn id="9672" xr3:uid="{4100DD15-CEDE-4C3C-AB22-6A5A08AE24D5}" name="Column9641"/>
    <tableColumn id="9673" xr3:uid="{170E48A3-81FA-40EC-A969-9C0930083B9A}" name="Column9642"/>
    <tableColumn id="9674" xr3:uid="{F65650B4-FD2E-4768-BED4-7F994557174A}" name="Column9643"/>
    <tableColumn id="9675" xr3:uid="{832B6E79-4907-4491-A909-C3C06234ACA9}" name="Column9644"/>
    <tableColumn id="9676" xr3:uid="{1728FAB4-5820-4CEE-AC1A-43A36425F22F}" name="Column9645"/>
    <tableColumn id="9677" xr3:uid="{F8E4BBB3-CCF5-4ED3-995A-4F55B34C9EF6}" name="Column9646"/>
    <tableColumn id="9678" xr3:uid="{7115350F-83A1-4CC2-ADFC-978E2D6BD163}" name="Column9647"/>
    <tableColumn id="9679" xr3:uid="{E660B458-4714-4DEE-A240-457287F9ED89}" name="Column9648"/>
    <tableColumn id="9680" xr3:uid="{1358BB74-CBD7-4BFF-BE63-362D75EA6BDB}" name="Column9649"/>
    <tableColumn id="9681" xr3:uid="{FD4A8A52-3AFA-48D4-A178-A5EA748DAE92}" name="Column9650"/>
    <tableColumn id="9682" xr3:uid="{509C4C8E-1A44-4A0A-ACDF-A923E5A4BF21}" name="Column9651"/>
    <tableColumn id="9683" xr3:uid="{EB5F46F3-E186-4657-8E1B-123DCB911A54}" name="Column9652"/>
    <tableColumn id="9684" xr3:uid="{A309E530-9D1C-48F1-8C21-5AF38C0B9161}" name="Column9653"/>
    <tableColumn id="9685" xr3:uid="{28E631DE-0652-4045-A012-AC23BC5FC5BE}" name="Column9654"/>
    <tableColumn id="9686" xr3:uid="{030A28B4-AC5E-4ABC-BD2C-36ADEAA52C78}" name="Column9655"/>
    <tableColumn id="9687" xr3:uid="{A4EB9B93-0A08-4BEA-9991-A21BEE918B6A}" name="Column9656"/>
    <tableColumn id="9688" xr3:uid="{04DCB07B-4F0E-44E4-8794-A0F3A1D4A2AA}" name="Column9657"/>
    <tableColumn id="9689" xr3:uid="{D5C21005-71B4-4BD2-BB4B-8B0784D316AD}" name="Column9658"/>
    <tableColumn id="9690" xr3:uid="{4D159D0D-092A-4587-B5B9-EEC2549ADFF7}" name="Column9659"/>
    <tableColumn id="9691" xr3:uid="{4F853F2C-CC5D-4A43-BC6D-D2C4AC0AE73B}" name="Column9660"/>
    <tableColumn id="9692" xr3:uid="{E41B0D29-07B9-41D5-B7D2-3AA1881AFF24}" name="Column9661"/>
    <tableColumn id="9693" xr3:uid="{3B768633-6AAD-41BC-B17D-44A354B040B3}" name="Column9662"/>
    <tableColumn id="9694" xr3:uid="{EEF6FE5A-2A84-48BD-900E-22A73ABDD18D}" name="Column9663"/>
    <tableColumn id="9695" xr3:uid="{30B61590-36FC-4475-81B8-B63C8D047C75}" name="Column9664"/>
    <tableColumn id="9696" xr3:uid="{1A903B7D-BD90-4171-B742-052A1BD93B1D}" name="Column9665"/>
    <tableColumn id="9697" xr3:uid="{C06CBF1D-311A-4CC6-9EC8-2918930C568C}" name="Column9666"/>
    <tableColumn id="9698" xr3:uid="{E30E5858-C657-47F7-B8D2-B5E3DB8574BF}" name="Column9667"/>
    <tableColumn id="9699" xr3:uid="{AFC0CB89-1AEF-4292-BBB8-69FEE3A26171}" name="Column9668"/>
    <tableColumn id="9700" xr3:uid="{719BAC61-5DAC-412E-993F-4A325882F6EF}" name="Column9669"/>
    <tableColumn id="9701" xr3:uid="{E9B790FF-C1AA-436E-927C-C0C64B48B7A3}" name="Column9670"/>
    <tableColumn id="9702" xr3:uid="{1AE04A2D-1CCB-4969-8C7A-CCB98C8A8FE9}" name="Column9671"/>
    <tableColumn id="9703" xr3:uid="{1EA61EC6-F3CD-4835-8BFF-9E273C054957}" name="Column9672"/>
    <tableColumn id="9704" xr3:uid="{F394F61A-42CD-4550-A4AD-FEF0FB1F0E27}" name="Column9673"/>
    <tableColumn id="9705" xr3:uid="{00768081-ED95-48DF-98C1-57118013030E}" name="Column9674"/>
    <tableColumn id="9706" xr3:uid="{4E37F8EF-941A-4C90-9550-226C89206A1B}" name="Column9675"/>
    <tableColumn id="9707" xr3:uid="{C6221DC0-1CB7-4874-AA58-45A1D7DBFFAD}" name="Column9676"/>
    <tableColumn id="9708" xr3:uid="{1B0860B0-ABCA-4EA8-9551-847D89B94D58}" name="Column9677"/>
    <tableColumn id="9709" xr3:uid="{36FFB25A-D82A-483E-A606-CB21EBBEB67C}" name="Column9678"/>
    <tableColumn id="9710" xr3:uid="{792DB92B-3855-42BA-97D5-8679E4D5729D}" name="Column9679"/>
    <tableColumn id="9711" xr3:uid="{86E6BDF9-7F74-42E5-8904-1D9B88991479}" name="Column9680"/>
    <tableColumn id="9712" xr3:uid="{CC49E3A4-9D48-4976-A12F-BAF8D0CBCE87}" name="Column9681"/>
    <tableColumn id="9713" xr3:uid="{61FC8150-76D3-41D8-86C7-12B29EA76C97}" name="Column9682"/>
    <tableColumn id="9714" xr3:uid="{D8805F53-2B85-4B75-9AA8-9E9D66633A32}" name="Column9683"/>
    <tableColumn id="9715" xr3:uid="{EE4E1D57-334A-4585-A80B-4F8FFD034B5E}" name="Column9684"/>
    <tableColumn id="9716" xr3:uid="{6C707443-98A4-4908-9476-06A4DCAB8620}" name="Column9685"/>
    <tableColumn id="9717" xr3:uid="{2128776F-5B73-45AA-82D3-9ABC3DB80B05}" name="Column9686"/>
    <tableColumn id="9718" xr3:uid="{FBC42ED8-C1F2-4AAC-8ADE-CA430DD046A0}" name="Column9687"/>
    <tableColumn id="9719" xr3:uid="{88BCED8A-F852-4082-B073-9B52273B5014}" name="Column9688"/>
    <tableColumn id="9720" xr3:uid="{74B37830-C38B-4C7C-AD27-148E48DC13AA}" name="Column9689"/>
    <tableColumn id="9721" xr3:uid="{56A800C1-53FF-47D7-B445-C8852AE161DB}" name="Column9690"/>
    <tableColumn id="9722" xr3:uid="{3FB38AB6-CC3A-45B0-BED1-50407E5BF425}" name="Column9691"/>
    <tableColumn id="9723" xr3:uid="{A343C673-8954-4EE8-98C1-313B2177BCF0}" name="Column9692"/>
    <tableColumn id="9724" xr3:uid="{461EF71D-522E-4F66-90E4-D8AB09C3D7E6}" name="Column9693"/>
    <tableColumn id="9725" xr3:uid="{8B7629F5-3BC1-4B7E-9D41-3F514228681E}" name="Column9694"/>
    <tableColumn id="9726" xr3:uid="{7CAF26F9-B872-4C19-9A60-C4F7DA59BB21}" name="Column9695"/>
    <tableColumn id="9727" xr3:uid="{3390DF22-4540-4C14-A6AE-4AEC3F1F08BA}" name="Column9696"/>
    <tableColumn id="9728" xr3:uid="{BE97C4D1-60DD-405C-9A23-D7A9EFCF1AF4}" name="Column9697"/>
    <tableColumn id="9729" xr3:uid="{B59DEE4B-AD86-44D7-9474-2780876BA7D6}" name="Column9698"/>
    <tableColumn id="9730" xr3:uid="{A3748F2C-923B-4000-BEFE-4309276F2D23}" name="Column9699"/>
    <tableColumn id="9731" xr3:uid="{5524ADC2-EFAB-4681-AD53-D623CF8D232D}" name="Column9700"/>
    <tableColumn id="9732" xr3:uid="{77031F86-ED30-43A3-94D1-CEA7CF23F33B}" name="Column9701"/>
    <tableColumn id="9733" xr3:uid="{37ECF09E-D44F-4E98-B7F3-55A479260B38}" name="Column9702"/>
    <tableColumn id="9734" xr3:uid="{515EF6F7-B7E3-4B1F-AA26-EEDEEFAD72E1}" name="Column9703"/>
    <tableColumn id="9735" xr3:uid="{94E1152C-F7FE-4543-A60E-9FDCA46B6D6D}" name="Column9704"/>
    <tableColumn id="9736" xr3:uid="{467629D6-A2B6-4E7D-BC30-A0299889E4E2}" name="Column9705"/>
    <tableColumn id="9737" xr3:uid="{8B2EFB71-289C-414E-BC3D-39A1344F38C1}" name="Column9706"/>
    <tableColumn id="9738" xr3:uid="{0D488B43-0023-49BE-9669-A8180AD216EF}" name="Column9707"/>
    <tableColumn id="9739" xr3:uid="{42DB725C-D8C4-437E-9CE2-000FF43D951C}" name="Column9708"/>
    <tableColumn id="9740" xr3:uid="{C35E388A-CA9F-4B85-8802-299D0EDC275F}" name="Column9709"/>
    <tableColumn id="9741" xr3:uid="{93DFC348-CFF7-4574-81A2-8FB7AD1E371F}" name="Column9710"/>
    <tableColumn id="9742" xr3:uid="{2AB861BC-4EB4-488E-9F69-AADA3B777A7D}" name="Column9711"/>
    <tableColumn id="9743" xr3:uid="{E9B715FD-4A09-460A-B502-2DC4B7D3139E}" name="Column9712"/>
    <tableColumn id="9744" xr3:uid="{B90AD96F-E16A-4238-9522-A2021B27E7A6}" name="Column9713"/>
    <tableColumn id="9745" xr3:uid="{E9AB8B9E-68D7-4092-8660-802361FB4D9A}" name="Column9714"/>
    <tableColumn id="9746" xr3:uid="{C7637F38-03BD-4864-8197-8724B6389392}" name="Column9715"/>
    <tableColumn id="9747" xr3:uid="{55B05393-183C-47EA-9E02-D2AD07C615CE}" name="Column9716"/>
    <tableColumn id="9748" xr3:uid="{9A8C033A-7621-4909-B107-84875BA36FFE}" name="Column9717"/>
    <tableColumn id="9749" xr3:uid="{3E86791A-1CB3-4C44-B24E-35738491BE32}" name="Column9718"/>
    <tableColumn id="9750" xr3:uid="{BD137459-8292-4010-9053-AE082793F3AE}" name="Column9719"/>
    <tableColumn id="9751" xr3:uid="{70B36A97-2E1A-4C57-AC69-EFDF66878B23}" name="Column9720"/>
    <tableColumn id="9752" xr3:uid="{A840A6BF-1D97-4941-B24B-235AE2606836}" name="Column9721"/>
    <tableColumn id="9753" xr3:uid="{A85411F7-7746-4388-AF3E-461B536440F2}" name="Column9722"/>
    <tableColumn id="9754" xr3:uid="{F636FF61-5862-4CCA-AD95-2DAC1EC35A41}" name="Column9723"/>
    <tableColumn id="9755" xr3:uid="{A785E1D4-6F7F-474E-BE6A-B64B1DAB2C3B}" name="Column9724"/>
    <tableColumn id="9756" xr3:uid="{538DE164-A372-411D-9B3C-BA762118D894}" name="Column9725"/>
    <tableColumn id="9757" xr3:uid="{7D1C0D12-F40B-46CB-A14C-87C3EF4CEB85}" name="Column9726"/>
    <tableColumn id="9758" xr3:uid="{AD2D5EBF-0A7C-420E-A8B3-8C69B9EF7BFE}" name="Column9727"/>
    <tableColumn id="9759" xr3:uid="{29D4A8E2-BFB4-4840-ABF3-A3B646D97057}" name="Column9728"/>
    <tableColumn id="9760" xr3:uid="{D405DD3F-CA73-427C-8A9F-3DF438C4E9A3}" name="Column9729"/>
    <tableColumn id="9761" xr3:uid="{787B2281-BD89-44A1-840C-066A64EC9AFE}" name="Column9730"/>
    <tableColumn id="9762" xr3:uid="{C25144F8-9EF2-4968-B05B-29BC3E6F7BE4}" name="Column9731"/>
    <tableColumn id="9763" xr3:uid="{39200AE0-A106-4F2A-935C-AFB6292D7EBD}" name="Column9732"/>
    <tableColumn id="9764" xr3:uid="{E34E36A2-121B-4A41-928E-128DB8921A94}" name="Column9733"/>
    <tableColumn id="9765" xr3:uid="{AF9CDFBE-1FA8-4B69-8677-2F55118F4EF7}" name="Column9734"/>
    <tableColumn id="9766" xr3:uid="{B336A527-7B3C-4C1E-983C-8E4A337580BE}" name="Column9735"/>
    <tableColumn id="9767" xr3:uid="{A1F68456-74C9-452B-8142-EDBA992E5952}" name="Column9736"/>
    <tableColumn id="9768" xr3:uid="{ED7E8BF4-1AB5-44BA-B430-A0B99B51D60A}" name="Column9737"/>
    <tableColumn id="9769" xr3:uid="{66DF58B2-7E28-4BEB-A67D-78857306F21F}" name="Column9738"/>
    <tableColumn id="9770" xr3:uid="{28F77B33-0C70-4838-9A67-47AFB9543B83}" name="Column9739"/>
    <tableColumn id="9771" xr3:uid="{D49DBF21-5F86-4F7B-A5C7-D1C483B8E1CF}" name="Column9740"/>
    <tableColumn id="9772" xr3:uid="{8E6097E7-7049-466E-A914-EF2DFDAC3875}" name="Column9741"/>
    <tableColumn id="9773" xr3:uid="{811E252C-F94C-4E0F-895A-AC458EBF03B1}" name="Column9742"/>
    <tableColumn id="9774" xr3:uid="{B511BB64-AAB5-49EA-8860-A3561114E2CF}" name="Column9743"/>
    <tableColumn id="9775" xr3:uid="{C257D6A6-6DCE-42BD-A968-E8D139944BBC}" name="Column9744"/>
    <tableColumn id="9776" xr3:uid="{51BD7562-73D3-4967-9BBA-B5CCD4F4F712}" name="Column9745"/>
    <tableColumn id="9777" xr3:uid="{B62FDDBC-2A97-495B-9C86-27F3356743CD}" name="Column9746"/>
    <tableColumn id="9778" xr3:uid="{B66A0468-51CF-413F-8B8E-D6923651E197}" name="Column9747"/>
    <tableColumn id="9779" xr3:uid="{134D5295-75B2-4A8D-A83C-162BDCE65E83}" name="Column9748"/>
    <tableColumn id="9780" xr3:uid="{467A0B2E-D9F0-4E95-B521-E3AD5A8A1FE4}" name="Column9749"/>
    <tableColumn id="9781" xr3:uid="{50896917-1E0E-4735-9927-8DA08E50C25A}" name="Column9750"/>
    <tableColumn id="9782" xr3:uid="{0BD9F753-71D3-4F60-947D-FBB583D8B225}" name="Column9751"/>
    <tableColumn id="9783" xr3:uid="{BECF6028-14E3-455F-B437-67426D62F15C}" name="Column9752"/>
    <tableColumn id="9784" xr3:uid="{2F52914E-7EC1-4A61-9809-0C628D54308F}" name="Column9753"/>
    <tableColumn id="9785" xr3:uid="{B52690EA-B2D3-4360-913E-2B87E2C03303}" name="Column9754"/>
    <tableColumn id="9786" xr3:uid="{CC110AFE-CE0D-4FFE-8412-AD417829E83E}" name="Column9755"/>
    <tableColumn id="9787" xr3:uid="{5058175E-BB55-4E06-9F45-9E278338818F}" name="Column9756"/>
    <tableColumn id="9788" xr3:uid="{B9CB26F4-CF5D-4BA4-A032-B955E5D1DBF1}" name="Column9757"/>
    <tableColumn id="9789" xr3:uid="{4999FAC1-E347-4DAB-BC3D-A5FA8562BC54}" name="Column9758"/>
    <tableColumn id="9790" xr3:uid="{87F4A31F-183C-4567-AA9E-6BC6019A9726}" name="Column9759"/>
    <tableColumn id="9791" xr3:uid="{FEE18026-98D2-43CD-9811-C71FD1C0C623}" name="Column9760"/>
    <tableColumn id="9792" xr3:uid="{48F043D9-8AAC-4657-A04D-537DDC498B3F}" name="Column9761"/>
    <tableColumn id="9793" xr3:uid="{D16D5F2E-9531-40CE-9985-F839EA9182AB}" name="Column9762"/>
    <tableColumn id="9794" xr3:uid="{FAF5268D-D2E6-4633-B2DE-9DF912E05FB4}" name="Column9763"/>
    <tableColumn id="9795" xr3:uid="{0211D4C0-58C3-4414-9713-049FB322CD72}" name="Column9764"/>
    <tableColumn id="9796" xr3:uid="{27F840D4-2507-4566-A282-2A4FBCA4C033}" name="Column9765"/>
    <tableColumn id="9797" xr3:uid="{D66BA37C-1C56-4581-A850-AD9CDDC2CC75}" name="Column9766"/>
    <tableColumn id="9798" xr3:uid="{E666C2C8-2EBA-47B4-9D32-4DB2F90C02E5}" name="Column9767"/>
    <tableColumn id="9799" xr3:uid="{0B49EE71-22B4-4534-8E61-7388BD9C1A6C}" name="Column9768"/>
    <tableColumn id="9800" xr3:uid="{1EA041CD-9B78-40F7-931D-AC1AE7EB25E8}" name="Column9769"/>
    <tableColumn id="9801" xr3:uid="{05DB6D10-ECD8-42C1-9DE9-B9F04B7FE721}" name="Column9770"/>
    <tableColumn id="9802" xr3:uid="{044B5828-608A-4A95-BA35-38FAED3A2FDF}" name="Column9771"/>
    <tableColumn id="9803" xr3:uid="{EAA54C28-0BDA-48C1-BF02-623C1FD8FE01}" name="Column9772"/>
    <tableColumn id="9804" xr3:uid="{05F8CF25-8A2C-4F98-BA83-037AFBCBDB3E}" name="Column9773"/>
    <tableColumn id="9805" xr3:uid="{1F1F77FE-0A61-401A-B896-B3FE2308737D}" name="Column9774"/>
    <tableColumn id="9806" xr3:uid="{FF42C123-AF7D-4D4E-A054-7BDDAEC1FA0D}" name="Column9775"/>
    <tableColumn id="9807" xr3:uid="{D98E671B-2727-45A9-A9B7-89BDB5B46C89}" name="Column9776"/>
    <tableColumn id="9808" xr3:uid="{9F76B901-EB84-4512-90E5-C873E242CA22}" name="Column9777"/>
    <tableColumn id="9809" xr3:uid="{DBCE116C-1A67-46E7-A055-871543DD9B5E}" name="Column9778"/>
    <tableColumn id="9810" xr3:uid="{55C05A6A-2002-430A-AB9B-87183ABEBCDA}" name="Column9779"/>
    <tableColumn id="9811" xr3:uid="{D1DB3039-D4E4-4BEE-9B01-4650E5CADB4C}" name="Column9780"/>
    <tableColumn id="9812" xr3:uid="{3B73AC01-CC00-4678-952F-30D4AFAB4C46}" name="Column9781"/>
    <tableColumn id="9813" xr3:uid="{4D317178-1D46-4162-8CFB-6C2B426B7B07}" name="Column9782"/>
    <tableColumn id="9814" xr3:uid="{C5590795-496B-46E1-B78F-992CC0AA81A5}" name="Column9783"/>
    <tableColumn id="9815" xr3:uid="{CC40056C-3D8E-4E08-9E30-652E9DB8BF41}" name="Column9784"/>
    <tableColumn id="9816" xr3:uid="{99E28C95-CC30-4293-9B15-09E07884FC0F}" name="Column9785"/>
    <tableColumn id="9817" xr3:uid="{115377C0-2994-4665-908D-FAB0583A9A06}" name="Column9786"/>
    <tableColumn id="9818" xr3:uid="{738F2B5B-2B81-4DF1-A010-9A2A3B6B414A}" name="Column9787"/>
    <tableColumn id="9819" xr3:uid="{147FD865-B60E-47A0-8D36-1CA99219761E}" name="Column9788"/>
    <tableColumn id="9820" xr3:uid="{99A149E4-5967-441B-A0CA-09D543F520CE}" name="Column9789"/>
    <tableColumn id="9821" xr3:uid="{B2B4401E-85E2-471A-BA7F-458C47F5A3C1}" name="Column9790"/>
    <tableColumn id="9822" xr3:uid="{3375C81E-D770-44E2-9767-B3FE3C5F885B}" name="Column9791"/>
    <tableColumn id="9823" xr3:uid="{F0E4EA77-50F9-4F64-ABEA-54F12AFA8875}" name="Column9792"/>
    <tableColumn id="9824" xr3:uid="{B0C0B593-031E-42CF-9B40-4979EF82C5B9}" name="Column9793"/>
    <tableColumn id="9825" xr3:uid="{7D0CC1C1-B0E6-4062-B9BA-1803B0FD2D79}" name="Column9794"/>
    <tableColumn id="9826" xr3:uid="{D6CCDFD7-3A78-4985-A571-9C13070035CC}" name="Column9795"/>
    <tableColumn id="9827" xr3:uid="{A34C1BC3-569D-4E8C-89A4-FCF41E602CD0}" name="Column9796"/>
    <tableColumn id="9828" xr3:uid="{C0F5D990-B2F8-42CB-8157-A4A13AAE9FAA}" name="Column9797"/>
    <tableColumn id="9829" xr3:uid="{46C96BEA-EFE5-46A5-BBD1-631DBF079693}" name="Column9798"/>
    <tableColumn id="9830" xr3:uid="{3EA38372-1B76-4A14-91D1-0D469E5771DA}" name="Column9799"/>
    <tableColumn id="9831" xr3:uid="{292678D9-C516-484F-B1CC-6BEFFFBB3FE0}" name="Column9800"/>
    <tableColumn id="9832" xr3:uid="{2A2762B6-61B6-4B3B-9ED1-C8E59A13F017}" name="Column9801"/>
    <tableColumn id="9833" xr3:uid="{3D9B7E26-4D1D-4F91-990F-D7460AA63389}" name="Column9802"/>
    <tableColumn id="9834" xr3:uid="{96091B38-AF3E-49F8-8A5D-5F93CF6789A2}" name="Column9803"/>
    <tableColumn id="9835" xr3:uid="{81E2155E-59C9-47D2-9D31-7D66DE352994}" name="Column9804"/>
    <tableColumn id="9836" xr3:uid="{24B92CC0-5218-400F-B2C5-0F8E9D259FAD}" name="Column9805"/>
    <tableColumn id="9837" xr3:uid="{6CDD226B-69D8-442D-A10E-E92C42FC293D}" name="Column9806"/>
    <tableColumn id="9838" xr3:uid="{482926F3-AF10-4273-AE4A-113D54B0509D}" name="Column9807"/>
    <tableColumn id="9839" xr3:uid="{5AA310AA-6BAD-4768-A908-29F7D60BAF20}" name="Column9808"/>
    <tableColumn id="9840" xr3:uid="{ADE37367-76B8-4C17-902E-3D6F79E185A2}" name="Column9809"/>
    <tableColumn id="9841" xr3:uid="{B5B5C90C-A6CA-444B-B5DE-389DDBB60049}" name="Column9810"/>
    <tableColumn id="9842" xr3:uid="{C6370C28-40AA-490B-A446-675414AE5A87}" name="Column9811"/>
    <tableColumn id="9843" xr3:uid="{90567D01-9153-43DA-B564-07D0DC5E83DE}" name="Column9812"/>
    <tableColumn id="9844" xr3:uid="{31D2DCB5-D196-4F70-B2D2-1A60400B56F5}" name="Column9813"/>
    <tableColumn id="9845" xr3:uid="{E82CC650-E945-43CC-8AB8-A4B95D537B09}" name="Column9814"/>
    <tableColumn id="9846" xr3:uid="{E6B0E706-6D9D-40B1-BCA2-93A3E5436E52}" name="Column9815"/>
    <tableColumn id="9847" xr3:uid="{DCDEC142-3E35-41E2-AED9-8AFF1D81743E}" name="Column9816"/>
    <tableColumn id="9848" xr3:uid="{197909AD-D30C-4515-84A0-BF4B936CF546}" name="Column9817"/>
    <tableColumn id="9849" xr3:uid="{8A6B4919-92F6-48C4-A52F-55A5AFF74969}" name="Column9818"/>
    <tableColumn id="9850" xr3:uid="{7D96768D-A960-44B1-8915-6BF976AA4653}" name="Column9819"/>
    <tableColumn id="9851" xr3:uid="{5FF5E074-5AF2-47A4-B97E-F84914744522}" name="Column9820"/>
    <tableColumn id="9852" xr3:uid="{27DF116A-AA82-430C-9059-FBC1F73A8921}" name="Column9821"/>
    <tableColumn id="9853" xr3:uid="{AEF4E081-7F8D-4103-8E26-DE5EBE2DD8A1}" name="Column9822"/>
    <tableColumn id="9854" xr3:uid="{3013BE1D-19E0-4B96-8B1A-0ACDD587E128}" name="Column9823"/>
    <tableColumn id="9855" xr3:uid="{1497EE7C-4A23-4CA5-8EDB-846058B9FA32}" name="Column9824"/>
    <tableColumn id="9856" xr3:uid="{46C97DE4-42D7-4A1D-A764-31D4C13F6AFD}" name="Column9825"/>
    <tableColumn id="9857" xr3:uid="{C01EC96A-6DDC-4B2A-81A6-915FAFA4A0C7}" name="Column9826"/>
    <tableColumn id="9858" xr3:uid="{1E64A3CD-952B-4371-A37A-58ECF774FA2B}" name="Column9827"/>
    <tableColumn id="9859" xr3:uid="{6903EB59-5A6D-43AC-BF49-AA9D18C20835}" name="Column9828"/>
    <tableColumn id="9860" xr3:uid="{CDEE22BC-2754-424C-AEB4-5EBDD76036EE}" name="Column9829"/>
    <tableColumn id="9861" xr3:uid="{44C40696-4E6B-4841-AF21-DF782FF357EA}" name="Column9830"/>
    <tableColumn id="9862" xr3:uid="{BCC633F2-581C-4F54-AF32-B4C0778E4296}" name="Column9831"/>
    <tableColumn id="9863" xr3:uid="{5F971E5D-6D0C-4B6C-82F5-06F7BB7ECAE2}" name="Column9832"/>
    <tableColumn id="9864" xr3:uid="{0987E3A9-5731-47F0-A0EC-46E78D323B1A}" name="Column9833"/>
    <tableColumn id="9865" xr3:uid="{C8C48E3E-86CA-43C6-BAC9-301E5DA8B8CC}" name="Column9834"/>
    <tableColumn id="9866" xr3:uid="{4B8169C1-958E-4BF0-B8F1-3C7824C33AE6}" name="Column9835"/>
    <tableColumn id="9867" xr3:uid="{2AE6C78A-1CB9-4BDF-BD50-AE26D112FDD1}" name="Column9836"/>
    <tableColumn id="9868" xr3:uid="{03F8DB2C-506E-4E9A-8A18-C9027F769A27}" name="Column9837"/>
    <tableColumn id="9869" xr3:uid="{37E9BC70-244E-4033-9C1A-DF5A277F5AE0}" name="Column9838"/>
    <tableColumn id="9870" xr3:uid="{DCA83ADB-C02B-40D6-85FF-5450F319B555}" name="Column9839"/>
    <tableColumn id="9871" xr3:uid="{0631DAF4-60FB-4D64-B61A-755FB640DBCF}" name="Column9840"/>
    <tableColumn id="9872" xr3:uid="{FBFC4C95-6A4F-4A81-84F7-80ADB5025297}" name="Column9841"/>
    <tableColumn id="9873" xr3:uid="{1945E167-A909-4145-BEEA-30B0B5B823D6}" name="Column9842"/>
    <tableColumn id="9874" xr3:uid="{D3809C21-4EC1-4BF7-AA24-643EDCC9ED9C}" name="Column9843"/>
    <tableColumn id="9875" xr3:uid="{28B40651-D819-4817-9923-3A9E2CDC4E24}" name="Column9844"/>
    <tableColumn id="9876" xr3:uid="{0A6ECE17-75BD-4681-986A-98272728C3B1}" name="Column9845"/>
    <tableColumn id="9877" xr3:uid="{8CC383A6-7704-4EA5-853F-D6CC0867DBB6}" name="Column9846"/>
    <tableColumn id="9878" xr3:uid="{DB60A497-43A0-4532-BA97-E7B5219E6099}" name="Column9847"/>
    <tableColumn id="9879" xr3:uid="{89D7255C-2D41-4539-AE89-1DC016907AD7}" name="Column9848"/>
    <tableColumn id="9880" xr3:uid="{F35317ED-BB7F-4C1C-A25B-018618D5D693}" name="Column9849"/>
    <tableColumn id="9881" xr3:uid="{3FE09258-C5E6-44EE-9D90-710C0B224FB4}" name="Column9850"/>
    <tableColumn id="9882" xr3:uid="{48F2C16C-EFCC-4230-A256-A2111EF2FEED}" name="Column9851"/>
    <tableColumn id="9883" xr3:uid="{C2CF27D5-A6C6-47A8-865B-16B2439D330B}" name="Column9852"/>
    <tableColumn id="9884" xr3:uid="{176ED5F6-891B-4E9A-BF43-83A2E0449ADD}" name="Column9853"/>
    <tableColumn id="9885" xr3:uid="{7CDA1DD7-5BC8-43E0-9CA0-4BBB995DE81E}" name="Column9854"/>
    <tableColumn id="9886" xr3:uid="{3BAE304B-4FB4-4F01-ACA4-E9749865CBF3}" name="Column9855"/>
    <tableColumn id="9887" xr3:uid="{E9F4C590-F0EE-473A-AA7F-88A4987D9E3C}" name="Column9856"/>
    <tableColumn id="9888" xr3:uid="{1F2EFC1F-D4DF-4CA4-9CDC-CE1F5FB43358}" name="Column9857"/>
    <tableColumn id="9889" xr3:uid="{7DDBAEC3-3FC7-4BDE-9E97-26F7B92CE611}" name="Column9858"/>
    <tableColumn id="9890" xr3:uid="{9A2AFDA8-FD50-4A49-BB81-B3041BCE49EA}" name="Column9859"/>
    <tableColumn id="9891" xr3:uid="{2266B387-C3E9-448C-9608-FEB7063F140C}" name="Column9860"/>
    <tableColumn id="9892" xr3:uid="{492E78C5-A244-42EF-A60C-7568BE47701B}" name="Column9861"/>
    <tableColumn id="9893" xr3:uid="{0B40CB37-48FD-4B74-A9BB-78FC95A899B8}" name="Column9862"/>
    <tableColumn id="9894" xr3:uid="{3ADD6D52-F7F9-49C3-BC3A-98A97D86F7D0}" name="Column9863"/>
    <tableColumn id="9895" xr3:uid="{E58A03B7-327E-4F3F-B566-E6D1C0B60EE5}" name="Column9864"/>
    <tableColumn id="9896" xr3:uid="{B80A841E-E848-4866-ABB6-A83AD6F03AE9}" name="Column9865"/>
    <tableColumn id="9897" xr3:uid="{03739763-6EB4-4027-9073-313A598703F9}" name="Column9866"/>
    <tableColumn id="9898" xr3:uid="{03DA99BE-49FA-436B-82A8-0454F3B9AFFA}" name="Column9867"/>
    <tableColumn id="9899" xr3:uid="{F11F2261-4517-46AD-9058-D8493A462420}" name="Column9868"/>
    <tableColumn id="9900" xr3:uid="{A3B469F1-8051-4802-A057-A72B59B2E1EB}" name="Column9869"/>
    <tableColumn id="9901" xr3:uid="{EF6344F1-EBD2-40AA-BA01-D0AB3AE2BD54}" name="Column9870"/>
    <tableColumn id="9902" xr3:uid="{529945CD-B6A3-41E1-81B3-39903D9CF120}" name="Column9871"/>
    <tableColumn id="9903" xr3:uid="{8BD599BE-4952-4EF5-A144-F3E89A183E9E}" name="Column9872"/>
    <tableColumn id="9904" xr3:uid="{6AB46188-19BD-4523-8C25-26BB20D1BCE5}" name="Column9873"/>
    <tableColumn id="9905" xr3:uid="{D036BC4E-1153-4EB1-8CB3-9B31EE1FD607}" name="Column9874"/>
    <tableColumn id="9906" xr3:uid="{4D938345-E6E4-473C-AB16-8B3A5D31B3BB}" name="Column9875"/>
    <tableColumn id="9907" xr3:uid="{381EFECF-E8AC-4EFC-BCD4-85EB048E651B}" name="Column9876"/>
    <tableColumn id="9908" xr3:uid="{4E9A0F42-A5C9-4E78-8DD2-505D8BE5719C}" name="Column9877"/>
    <tableColumn id="9909" xr3:uid="{09B866BD-2E4A-448A-9C2D-05181EF88517}" name="Column9878"/>
    <tableColumn id="9910" xr3:uid="{C6D68D81-D4D1-4BCE-BA1A-EA8D7B9355E7}" name="Column9879"/>
    <tableColumn id="9911" xr3:uid="{15D34B0A-A305-46AA-B458-695738A25F7A}" name="Column9880"/>
    <tableColumn id="9912" xr3:uid="{C491034F-F3AD-4056-A95F-0481D49450FA}" name="Column9881"/>
    <tableColumn id="9913" xr3:uid="{99189258-D4A4-4954-8149-18B5BEAE8F0D}" name="Column9882"/>
    <tableColumn id="9914" xr3:uid="{CECDCF1F-8A0E-4A1C-8E42-41F094E22AC6}" name="Column9883"/>
    <tableColumn id="9915" xr3:uid="{C278D2B3-44DE-430A-B71E-28C242A47158}" name="Column9884"/>
    <tableColumn id="9916" xr3:uid="{54FC151B-749E-4C62-9B04-2E3221A5D41C}" name="Column9885"/>
    <tableColumn id="9917" xr3:uid="{9549787C-4A42-4069-BD2B-CF9E12FCEFE8}" name="Column9886"/>
    <tableColumn id="9918" xr3:uid="{DF46BE1B-F7B3-43DB-A4BA-888AF1927885}" name="Column9887"/>
    <tableColumn id="9919" xr3:uid="{DADC9E53-D7B4-481C-9FF4-47105AB86B5D}" name="Column9888"/>
    <tableColumn id="9920" xr3:uid="{FFAB0146-9A28-40D2-9BFC-3E591854A326}" name="Column9889"/>
    <tableColumn id="9921" xr3:uid="{53AB339B-3934-4313-841E-C51BCA2673AD}" name="Column9890"/>
    <tableColumn id="9922" xr3:uid="{C9B20129-1B06-485D-A221-671DED17AA4C}" name="Column9891"/>
    <tableColumn id="9923" xr3:uid="{7BF37EDD-097C-4D00-994E-89A600E9DE72}" name="Column9892"/>
    <tableColumn id="9924" xr3:uid="{4C9E3700-2D0F-4A41-BDB7-A84415E4EC60}" name="Column9893"/>
    <tableColumn id="9925" xr3:uid="{26415AE8-FCBE-4A1B-8F9B-E8978E5CFFE2}" name="Column9894"/>
    <tableColumn id="9926" xr3:uid="{563A4D55-D4C1-451E-B9C8-1F7128EBE619}" name="Column9895"/>
    <tableColumn id="9927" xr3:uid="{A9CAF259-9FC7-4B23-8338-804EFFB5D552}" name="Column9896"/>
    <tableColumn id="9928" xr3:uid="{BEC16DFB-A1DE-4DCF-9094-ABECDEEBDF47}" name="Column9897"/>
    <tableColumn id="9929" xr3:uid="{182950E5-7268-4E7E-A659-E24A60A2B5B1}" name="Column9898"/>
    <tableColumn id="9930" xr3:uid="{F516D546-76DE-4761-A12D-8AF14F2E397E}" name="Column9899"/>
    <tableColumn id="9931" xr3:uid="{D1056B48-A35E-407C-B17D-DBD43EBF2D6C}" name="Column9900"/>
    <tableColumn id="9932" xr3:uid="{808A640C-F8BE-4523-AE19-2924B5389C8D}" name="Column9901"/>
    <tableColumn id="9933" xr3:uid="{CBB54352-361B-4716-9A3A-F223C3C19572}" name="Column9902"/>
    <tableColumn id="9934" xr3:uid="{76B33E41-0F70-46FD-9C03-F6301745CD9D}" name="Column9903"/>
    <tableColumn id="9935" xr3:uid="{91E946EA-60E9-4609-AD5E-3D8144C34D27}" name="Column9904"/>
    <tableColumn id="9936" xr3:uid="{2E224404-BE25-4CA4-A946-51EDED9E0AAC}" name="Column9905"/>
    <tableColumn id="9937" xr3:uid="{1046D1BA-340B-45BE-8B5B-BF7691448BCA}" name="Column9906"/>
    <tableColumn id="9938" xr3:uid="{38BCAECB-B0B1-48F8-9515-54FFB65DD1B7}" name="Column9907"/>
    <tableColumn id="9939" xr3:uid="{0E7409EB-5DB9-4330-AC65-13B7BA9E3CAC}" name="Column9908"/>
    <tableColumn id="9940" xr3:uid="{D1B4BA80-BF05-4E34-A6C3-E5B994AA1AE8}" name="Column9909"/>
    <tableColumn id="9941" xr3:uid="{5688E8F6-4364-4F4C-BA6B-256B8011EE1A}" name="Column9910"/>
    <tableColumn id="9942" xr3:uid="{D7CE2D2F-C2F0-459F-85C4-B47C311DC54E}" name="Column9911"/>
    <tableColumn id="9943" xr3:uid="{4A2234E3-3B40-4873-B5C4-A9AE098CD23F}" name="Column9912"/>
    <tableColumn id="9944" xr3:uid="{6C503AAB-1E83-4241-BF6F-62EA6FD2D56C}" name="Column9913"/>
    <tableColumn id="9945" xr3:uid="{C7584F16-B803-46D8-9F1C-26554498BF8C}" name="Column9914"/>
    <tableColumn id="9946" xr3:uid="{8E4A327B-4A67-4720-9AD5-AE33DE1875B5}" name="Column9915"/>
    <tableColumn id="9947" xr3:uid="{CDD1E0BE-0D1B-4A90-8857-80FB9B67D175}" name="Column9916"/>
    <tableColumn id="9948" xr3:uid="{D190D9D8-D54F-4755-8999-1457612A510E}" name="Column9917"/>
    <tableColumn id="9949" xr3:uid="{72160FAA-B4F2-462B-9DB8-9B5C75321557}" name="Column9918"/>
    <tableColumn id="9950" xr3:uid="{503D6989-53F5-40AC-A63C-C7603E621FCC}" name="Column9919"/>
    <tableColumn id="9951" xr3:uid="{BC37D339-A5ED-418C-9AEC-6F3902C7EEF8}" name="Column9920"/>
    <tableColumn id="9952" xr3:uid="{AD1CBBC4-C46D-4E5D-8EA6-A6891A69D86F}" name="Column9921"/>
    <tableColumn id="9953" xr3:uid="{4F7649AD-8100-4BC4-9581-832FF181B03B}" name="Column9922"/>
    <tableColumn id="9954" xr3:uid="{FF3F3770-B861-46E0-938A-27D404A6F651}" name="Column9923"/>
    <tableColumn id="9955" xr3:uid="{1324E16B-BF58-466C-96B4-CFD67E289B2C}" name="Column9924"/>
    <tableColumn id="9956" xr3:uid="{75815C66-7FFA-407C-80F9-6ED3C557A740}" name="Column9925"/>
    <tableColumn id="9957" xr3:uid="{2F3D6A81-48D2-4FAF-9C8A-60C43B4C0047}" name="Column9926"/>
    <tableColumn id="9958" xr3:uid="{CDB9A535-8500-41CC-8FFD-EB174A78843A}" name="Column9927"/>
    <tableColumn id="9959" xr3:uid="{7075BD72-EBC6-4C71-9B7C-B06DEEEADC43}" name="Column9928"/>
    <tableColumn id="9960" xr3:uid="{101831F8-17A7-4002-AA71-3B624321C98A}" name="Column9929"/>
    <tableColumn id="9961" xr3:uid="{1F0F2001-A722-4102-B827-525AEBB782A8}" name="Column9930"/>
    <tableColumn id="9962" xr3:uid="{70850BA0-C303-41D1-80B7-509334F7ACEA}" name="Column9931"/>
    <tableColumn id="9963" xr3:uid="{C9ED9B6E-A884-4046-98FF-A87CC734955D}" name="Column9932"/>
    <tableColumn id="9964" xr3:uid="{5345E67A-F8D6-4061-A02E-8189094B2E0A}" name="Column9933"/>
    <tableColumn id="9965" xr3:uid="{8CBC78C7-BBD8-47DB-81C3-A0D7AA4AB859}" name="Column9934"/>
    <tableColumn id="9966" xr3:uid="{33950A64-77CD-4D52-AB1F-88EEABE51D0C}" name="Column9935"/>
    <tableColumn id="9967" xr3:uid="{1D641973-61D0-47F1-B6F4-D96251A3F614}" name="Column9936"/>
    <tableColumn id="9968" xr3:uid="{12534AA7-0F33-4F62-8EF6-9EA0E88B3B7C}" name="Column9937"/>
    <tableColumn id="9969" xr3:uid="{59BC22DB-1D85-43CA-A5FD-FE1C828D6B74}" name="Column9938"/>
    <tableColumn id="9970" xr3:uid="{380FA4B3-CBB7-4B1B-BE23-A688808B19D8}" name="Column9939"/>
    <tableColumn id="9971" xr3:uid="{EE3238BF-9711-44E8-B551-DBD041F8AF8B}" name="Column9940"/>
    <tableColumn id="9972" xr3:uid="{CB74377A-7BC0-46AC-9C24-1309E6CC692D}" name="Column9941"/>
    <tableColumn id="9973" xr3:uid="{8E048DA8-7DAA-4549-9B3A-224858F29C84}" name="Column9942"/>
    <tableColumn id="9974" xr3:uid="{DDED2ED3-57EF-4A4D-901A-E59E89CF4121}" name="Column9943"/>
    <tableColumn id="9975" xr3:uid="{93056FC1-EEC5-48DF-AD16-F197BACA98A3}" name="Column9944"/>
    <tableColumn id="9976" xr3:uid="{21F27182-8446-4D9E-B18B-A1734004DC95}" name="Column9945"/>
    <tableColumn id="9977" xr3:uid="{E64C1A97-612F-4D98-99AC-56430BC897C8}" name="Column9946"/>
    <tableColumn id="9978" xr3:uid="{1F0D16FF-84E5-420A-B428-4EF7821645ED}" name="Column9947"/>
    <tableColumn id="9979" xr3:uid="{382268CC-83C9-4445-A4A9-C28ED2BB8E62}" name="Column9948"/>
    <tableColumn id="9980" xr3:uid="{F98BEB40-17F5-47FB-A503-3A4FBB860187}" name="Column9949"/>
    <tableColumn id="9981" xr3:uid="{820E9916-DF70-4171-8D29-F594295F50A2}" name="Column9950"/>
    <tableColumn id="9982" xr3:uid="{C0FBF903-E4BE-4F8A-82EE-3FAF21A00D48}" name="Column9951"/>
    <tableColumn id="9983" xr3:uid="{0780D27F-E868-412E-AED1-B782A56A17E9}" name="Column9952"/>
    <tableColumn id="9984" xr3:uid="{DA4B00C9-F79A-4E2D-99E3-0706AAAE6878}" name="Column9953"/>
    <tableColumn id="9985" xr3:uid="{5EC20531-0B21-470E-AFF9-D3AC5F758D5D}" name="Column9954"/>
    <tableColumn id="9986" xr3:uid="{4B86BB35-C8D4-4CFF-9552-A893F2C5D19C}" name="Column9955"/>
    <tableColumn id="9987" xr3:uid="{5F281157-ED44-4A31-816D-CF788E38F1FF}" name="Column9956"/>
    <tableColumn id="9988" xr3:uid="{87699AE2-DC8A-45EF-B5FC-D0B43600CF1C}" name="Column9957"/>
    <tableColumn id="9989" xr3:uid="{CF41A7D1-069A-49D7-9342-7881FF822F89}" name="Column9958"/>
    <tableColumn id="9990" xr3:uid="{272D224B-FC29-4029-B99F-56911A0543D7}" name="Column9959"/>
    <tableColumn id="9991" xr3:uid="{F560330F-04BF-40F1-83F0-C2E08F95853F}" name="Column9960"/>
    <tableColumn id="9992" xr3:uid="{DED6425C-73DE-483D-AD7D-2005EC3D9198}" name="Column9961"/>
    <tableColumn id="9993" xr3:uid="{32B7CFAE-76DC-4F67-8839-260AC718ABC2}" name="Column9962"/>
    <tableColumn id="9994" xr3:uid="{68925A58-2912-4E7A-A8F1-D0C9EB085F9D}" name="Column9963"/>
    <tableColumn id="9995" xr3:uid="{FCF549CE-3E3E-4300-8411-90CC418C3F9C}" name="Column9964"/>
    <tableColumn id="9996" xr3:uid="{3C301B6C-0F08-460E-9301-BC6C418A59FA}" name="Column9965"/>
    <tableColumn id="9997" xr3:uid="{01EA5F51-C21F-4C16-B336-2D7EDDC9ED10}" name="Column9966"/>
    <tableColumn id="9998" xr3:uid="{8170B63C-8007-451B-A2BD-5CD758CE8642}" name="Column9967"/>
    <tableColumn id="9999" xr3:uid="{F7250D78-363A-47D2-A016-07BA0B644668}" name="Column9968"/>
    <tableColumn id="10000" xr3:uid="{E9184C4A-2534-4933-BBC9-BB391D5EA912}" name="Column9969"/>
    <tableColumn id="10001" xr3:uid="{79DDC5D5-250B-4774-827F-A4BF267342A6}" name="Column9970"/>
    <tableColumn id="10002" xr3:uid="{6EEE16A7-B4A4-4722-92B1-3268C52814F7}" name="Column9971"/>
    <tableColumn id="10003" xr3:uid="{F2974B31-75E5-49AF-BF37-1B86A6D29896}" name="Column9972"/>
    <tableColumn id="10004" xr3:uid="{B73A2132-8EA6-4FA0-84AD-2C71F03E0499}" name="Column9973"/>
    <tableColumn id="10005" xr3:uid="{EDAA272F-110A-4043-83FF-E883E8D7AE8F}" name="Column9974"/>
    <tableColumn id="10006" xr3:uid="{927210AA-36AE-443F-B449-558DAC4F607E}" name="Column9975"/>
    <tableColumn id="10007" xr3:uid="{78C55B1D-2E4B-408B-9427-9B908C084CEC}" name="Column9976"/>
    <tableColumn id="10008" xr3:uid="{C54703AC-6A01-460F-A9B6-85C888E4F7D9}" name="Column9977"/>
    <tableColumn id="10009" xr3:uid="{8A158871-BDD0-4D8D-B822-F980E98CC170}" name="Column9978"/>
    <tableColumn id="10010" xr3:uid="{E14FADFB-291E-40A8-8B53-9A83CCA69002}" name="Column9979"/>
    <tableColumn id="10011" xr3:uid="{2921FA64-3183-4D6F-9DBB-FDD3C7BC4F38}" name="Column9980"/>
    <tableColumn id="10012" xr3:uid="{37652DE0-8CBA-471C-88F5-EBD450722C47}" name="Column9981"/>
    <tableColumn id="10013" xr3:uid="{D77CD7DD-25C0-40EA-9284-8E9597C91F0E}" name="Column9982"/>
    <tableColumn id="10014" xr3:uid="{CCB89DCF-4EF5-4BD9-82B8-A73F4AC4078E}" name="Column9983"/>
    <tableColumn id="10015" xr3:uid="{66043BCA-93BF-428D-A992-6B12B10B6776}" name="Column9984"/>
    <tableColumn id="10016" xr3:uid="{A11F65EC-9993-4133-BF6B-B86685D1CF23}" name="Column9985"/>
    <tableColumn id="10017" xr3:uid="{84C4A45D-CCD1-43F2-AC91-8971E3F9AD36}" name="Column9986"/>
    <tableColumn id="10018" xr3:uid="{3A0E69C5-EF3C-44EC-8170-D8D8593C95C8}" name="Column9987"/>
    <tableColumn id="10019" xr3:uid="{4C524FF2-A9DA-42DB-9E05-2DA9270A516F}" name="Column9988"/>
    <tableColumn id="10020" xr3:uid="{34763DBB-0179-40FE-83F1-689CD9EE4ECB}" name="Column9989"/>
    <tableColumn id="10021" xr3:uid="{4138DABA-65A2-43B0-93FD-B7B660D6C498}" name="Column9990"/>
    <tableColumn id="10022" xr3:uid="{211B7D3F-EE85-4FAE-87F8-0687867646B3}" name="Column9991"/>
    <tableColumn id="10023" xr3:uid="{3C4C5433-56E7-45A3-BF99-E4C0557C8F10}" name="Column9992"/>
    <tableColumn id="10024" xr3:uid="{818E370F-533C-4251-8131-DABE57E36D4F}" name="Column9993"/>
    <tableColumn id="10025" xr3:uid="{B16ABE8B-DF1D-4B4B-84AD-45DC3DEE5265}" name="Column9994"/>
    <tableColumn id="10026" xr3:uid="{F53D76E5-90FE-4203-8F3E-F68C59A84796}" name="Column9995"/>
    <tableColumn id="10027" xr3:uid="{73656D42-CCD9-405D-BE41-AF4694677BD9}" name="Column9996"/>
    <tableColumn id="10028" xr3:uid="{AC51E0FA-C8AD-4FBE-9931-1139841744B9}" name="Column9997"/>
    <tableColumn id="10029" xr3:uid="{254BB877-B87A-4B37-AAB8-B284B4FB7A31}" name="Column9998"/>
    <tableColumn id="10030" xr3:uid="{9A0E3C0C-8FF1-4C28-9A0E-4092CE54F651}" name="Column9999"/>
    <tableColumn id="10031" xr3:uid="{2179868F-81DB-4A1F-A46D-49C19DF25097}" name="Column10000"/>
    <tableColumn id="10032" xr3:uid="{BF52A84E-981B-4B19-8103-AD91FD63F46C}" name="Column10001"/>
    <tableColumn id="10033" xr3:uid="{282E0DBC-625F-4C7E-9BAA-A0FBA2AF0E24}" name="Column10002"/>
    <tableColumn id="10034" xr3:uid="{E5602D69-93EB-4666-83D8-1EDA508D3032}" name="Column10003"/>
    <tableColumn id="10035" xr3:uid="{73544D43-8E58-4FFA-803D-4E8B600BC193}" name="Column10004"/>
    <tableColumn id="10036" xr3:uid="{A14D4E83-51BC-42BB-AE22-B357DD6CA457}" name="Column10005"/>
    <tableColumn id="10037" xr3:uid="{62587D20-0745-4CCD-9FC2-FD59F1F50A17}" name="Column10006"/>
    <tableColumn id="10038" xr3:uid="{E984A991-4AFA-4082-842F-36A103A888FA}" name="Column10007"/>
    <tableColumn id="10039" xr3:uid="{FB6B74A8-EC33-483C-BA75-8226F785182B}" name="Column10008"/>
    <tableColumn id="10040" xr3:uid="{5D20C8A9-6556-487F-8D64-EB3B541C9F33}" name="Column10009"/>
    <tableColumn id="10041" xr3:uid="{AEA54B12-AC5C-49EE-B826-467C0BF49A0E}" name="Column10010"/>
    <tableColumn id="10042" xr3:uid="{606089A0-2B0C-48E1-A958-B69A7EE9477C}" name="Column10011"/>
    <tableColumn id="10043" xr3:uid="{4D0E78CA-B27B-41D9-9828-54D98131ABDD}" name="Column10012"/>
    <tableColumn id="10044" xr3:uid="{2AB706DA-F1F3-4AF5-8FC8-8E3A1D2F73BA}" name="Column10013"/>
    <tableColumn id="10045" xr3:uid="{438D5855-B4AA-45BB-98BE-11EE2FDAE8E2}" name="Column10014"/>
    <tableColumn id="10046" xr3:uid="{3E97B633-9E80-44FA-86F3-BD51B3AB1A80}" name="Column10015"/>
    <tableColumn id="10047" xr3:uid="{E4D51282-360F-49EA-BDC5-568552DA03DB}" name="Column10016"/>
    <tableColumn id="10048" xr3:uid="{20D13C41-D532-435D-A7BB-2C3AD775687E}" name="Column10017"/>
    <tableColumn id="10049" xr3:uid="{3B047ACF-BE87-46BE-BECE-3A091DCF4D5A}" name="Column10018"/>
    <tableColumn id="10050" xr3:uid="{BDE18B07-3F87-467F-B8AE-70D6506F3D23}" name="Column10019"/>
    <tableColumn id="10051" xr3:uid="{86CAC9BD-34DE-4972-BF2F-B258CC7BDC37}" name="Column10020"/>
    <tableColumn id="10052" xr3:uid="{723EBF5B-D905-4BF2-BCE1-A7C1D23EABC1}" name="Column10021"/>
    <tableColumn id="10053" xr3:uid="{93E54633-6FFE-4550-8484-8C5ABB94039C}" name="Column10022"/>
    <tableColumn id="10054" xr3:uid="{B5A62EE0-229C-4249-B40A-207A044A4AE7}" name="Column10023"/>
    <tableColumn id="10055" xr3:uid="{01B50EF0-E9AD-4D44-9D61-A422A91B5652}" name="Column10024"/>
    <tableColumn id="10056" xr3:uid="{56916983-665A-4F6C-8784-57C4012BF87B}" name="Column10025"/>
    <tableColumn id="10057" xr3:uid="{66216432-89D7-4BC0-85AC-59180A120246}" name="Column10026"/>
    <tableColumn id="10058" xr3:uid="{D0D81196-4863-4C40-B871-741005BF8632}" name="Column10027"/>
    <tableColumn id="10059" xr3:uid="{7CD7AACB-F3D7-48F0-B645-E86742BF0282}" name="Column10028"/>
    <tableColumn id="10060" xr3:uid="{FDF2270E-379A-4177-8440-5846D9A8C590}" name="Column10029"/>
    <tableColumn id="10061" xr3:uid="{3DB577CA-4E38-48FF-869F-22056C22E45B}" name="Column10030"/>
    <tableColumn id="10062" xr3:uid="{DE0E144B-E5C7-48D8-99F7-4F9B6C10B11D}" name="Column10031"/>
    <tableColumn id="10063" xr3:uid="{BA71AD73-B1F2-442A-BCA5-D2A592680DA9}" name="Column10032"/>
    <tableColumn id="10064" xr3:uid="{59FBD14D-E19D-4B5E-96B1-BE813DEC4CFA}" name="Column10033"/>
    <tableColumn id="10065" xr3:uid="{EF335534-E7EC-4927-8A1D-8AFB20A61BFC}" name="Column10034"/>
    <tableColumn id="10066" xr3:uid="{22EEC7EF-C21C-4B7A-AC23-62BA8B0E6CA6}" name="Column10035"/>
    <tableColumn id="10067" xr3:uid="{8B90C3BA-C28D-49A9-A7B5-DBD9250FED3C}" name="Column10036"/>
    <tableColumn id="10068" xr3:uid="{891E12ED-DB85-40BB-ABFF-07EC44499ACF}" name="Column10037"/>
    <tableColumn id="10069" xr3:uid="{A8A8C33E-6F2A-4B19-8BCA-ACBBBAB5D24F}" name="Column10038"/>
    <tableColumn id="10070" xr3:uid="{87FB6D37-5628-4CDE-93D9-AFB053D480E8}" name="Column10039"/>
    <tableColumn id="10071" xr3:uid="{F98096BA-91C8-4529-A17D-A8D9D00A5887}" name="Column10040"/>
    <tableColumn id="10072" xr3:uid="{D5D20CE3-84A9-43DC-B1A9-06D6C3F4C09A}" name="Column10041"/>
    <tableColumn id="10073" xr3:uid="{44B6FE07-6F2D-46DD-A552-CB6F2AA17D21}" name="Column10042"/>
    <tableColumn id="10074" xr3:uid="{402E5C89-96C3-4F24-9AAB-8B7165D08678}" name="Column10043"/>
    <tableColumn id="10075" xr3:uid="{DB425EAF-BF15-422E-8BF3-1901876D935B}" name="Column10044"/>
    <tableColumn id="10076" xr3:uid="{CE79055D-21B2-4F9B-9DDA-FE7BCAB9372B}" name="Column10045"/>
    <tableColumn id="10077" xr3:uid="{47F04F32-B72E-46E1-AFFD-47B8F461584E}" name="Column10046"/>
    <tableColumn id="10078" xr3:uid="{4F4F0DC8-231C-417F-A625-953A7C9E1BAB}" name="Column10047"/>
    <tableColumn id="10079" xr3:uid="{92BD7E36-07FD-4EB7-B4CC-E327F722EECC}" name="Column10048"/>
    <tableColumn id="10080" xr3:uid="{6B3F3867-1AE7-48A1-84AC-38CA90ECD4A3}" name="Column10049"/>
    <tableColumn id="10081" xr3:uid="{459AD80F-D350-4E7D-ACFF-EA46494B0C2B}" name="Column10050"/>
    <tableColumn id="10082" xr3:uid="{4E84317F-FA83-4A56-B8F8-2FD4B713A39F}" name="Column10051"/>
    <tableColumn id="10083" xr3:uid="{AD4CD69B-3CF1-4B9F-82CF-EEDE8039DB92}" name="Column10052"/>
    <tableColumn id="10084" xr3:uid="{F400FD2D-37D0-4438-9EE1-FA36536AB310}" name="Column10053"/>
    <tableColumn id="10085" xr3:uid="{9A5B8C38-8866-42D8-AD00-1A96C51BB49F}" name="Column10054"/>
    <tableColumn id="10086" xr3:uid="{F709E44C-90EA-410F-8B07-DD8759370691}" name="Column10055"/>
    <tableColumn id="10087" xr3:uid="{B0FC0BD7-CCF9-4FA0-9A33-A3F1FE89C831}" name="Column10056"/>
    <tableColumn id="10088" xr3:uid="{AE4238A4-AE20-4E3E-8422-2D27AD640A6F}" name="Column10057"/>
    <tableColumn id="10089" xr3:uid="{B132462B-DB3A-4795-9D1C-AF6478F50471}" name="Column10058"/>
    <tableColumn id="10090" xr3:uid="{F15B7E88-18F3-42D0-8017-D90E62E6EAD2}" name="Column10059"/>
    <tableColumn id="10091" xr3:uid="{D568D4F8-A936-4CD0-AA45-1F6DE26A9FAD}" name="Column10060"/>
    <tableColumn id="10092" xr3:uid="{A001D4E9-0221-4126-93D7-F4F2ACA1B2C4}" name="Column10061"/>
    <tableColumn id="10093" xr3:uid="{A5D2D621-ED20-4204-93A8-B5BE13489865}" name="Column10062"/>
    <tableColumn id="10094" xr3:uid="{003BF57B-4CBD-4D73-87E6-735769DEB2B1}" name="Column10063"/>
    <tableColumn id="10095" xr3:uid="{03A3F642-C604-4465-8474-BDBFB2A2D427}" name="Column10064"/>
    <tableColumn id="10096" xr3:uid="{E97F971A-0949-457A-8844-5865A71690E4}" name="Column10065"/>
    <tableColumn id="10097" xr3:uid="{9309BC7D-37C2-4C70-BF6B-8F438C71C3C9}" name="Column10066"/>
    <tableColumn id="10098" xr3:uid="{36C26F01-1381-4ADD-B8EC-9CE7E7F89B12}" name="Column10067"/>
    <tableColumn id="10099" xr3:uid="{EA65BE39-E53C-427F-9099-317B8E5EFB05}" name="Column10068"/>
    <tableColumn id="10100" xr3:uid="{550BD9A5-33B1-4640-BD55-12BA5907CDA7}" name="Column10069"/>
    <tableColumn id="10101" xr3:uid="{3FC1EA0B-2CD9-4475-A725-C7AEEC06CE9B}" name="Column10070"/>
    <tableColumn id="10102" xr3:uid="{8E042015-AC88-47FF-8DFD-A452071FCD69}" name="Column10071"/>
    <tableColumn id="10103" xr3:uid="{2A12D0C7-79AD-4ABA-8731-500F46B925F5}" name="Column10072"/>
    <tableColumn id="10104" xr3:uid="{BE49811D-9CFB-4362-9BD2-AC5B6F047165}" name="Column10073"/>
    <tableColumn id="10105" xr3:uid="{9419A281-AB28-4725-B5CA-70B3ADEB0DA9}" name="Column10074"/>
    <tableColumn id="10106" xr3:uid="{5E9BC38F-040C-49E9-A2DE-AF35660E145F}" name="Column10075"/>
    <tableColumn id="10107" xr3:uid="{3B306334-09F7-432D-9ED0-9B390D3A72D1}" name="Column10076"/>
    <tableColumn id="10108" xr3:uid="{6264582A-E340-45F6-9A74-947E16437BFC}" name="Column10077"/>
    <tableColumn id="10109" xr3:uid="{D655BBA8-BF31-41BC-A6ED-93CAE081919F}" name="Column10078"/>
    <tableColumn id="10110" xr3:uid="{3A19B538-D8DA-44AF-A911-A8BD76ECAAEF}" name="Column10079"/>
    <tableColumn id="10111" xr3:uid="{B7260055-07FE-46EE-B6E7-78105635C3E0}" name="Column10080"/>
    <tableColumn id="10112" xr3:uid="{EF94A3EA-E462-424A-9B5E-1CB69B2224ED}" name="Column10081"/>
    <tableColumn id="10113" xr3:uid="{E015B183-BDE7-4C1C-8922-28CCE47B10CA}" name="Column10082"/>
    <tableColumn id="10114" xr3:uid="{67BA3156-6D50-4B3E-88EF-5837A5820AC1}" name="Column10083"/>
    <tableColumn id="10115" xr3:uid="{0A602034-0E99-4FF6-AD8D-EAC7F5EDECFB}" name="Column10084"/>
    <tableColumn id="10116" xr3:uid="{D4770223-1A2C-4466-B78C-CE188298B0EA}" name="Column10085"/>
    <tableColumn id="10117" xr3:uid="{70DB67FE-3ABC-4B4F-8E8A-38C16131E3C8}" name="Column10086"/>
    <tableColumn id="10118" xr3:uid="{598309C7-B5F5-4BF6-9DB0-1C5D3FCE0826}" name="Column10087"/>
    <tableColumn id="10119" xr3:uid="{5C5D4F3D-FB82-42DE-8B99-9B2B6511F5A1}" name="Column10088"/>
    <tableColumn id="10120" xr3:uid="{E76E3573-E1AD-4A3D-915A-C3D060899B5F}" name="Column10089"/>
    <tableColumn id="10121" xr3:uid="{2604841C-3B32-4CC6-A09D-057E47FDF188}" name="Column10090"/>
    <tableColumn id="10122" xr3:uid="{0DEA4A65-0F51-405D-BB50-94B0C1424389}" name="Column10091"/>
    <tableColumn id="10123" xr3:uid="{165FE34A-81FB-477A-9117-0AD9D048715D}" name="Column10092"/>
    <tableColumn id="10124" xr3:uid="{6E2FDFC4-EF25-45D5-896D-7B77929E51E9}" name="Column10093"/>
    <tableColumn id="10125" xr3:uid="{F9AF966D-0330-4A52-824D-DD7609D0C68A}" name="Column10094"/>
    <tableColumn id="10126" xr3:uid="{509CCE33-08CC-4A51-9016-28FAD57003B9}" name="Column10095"/>
    <tableColumn id="10127" xr3:uid="{83A99F53-55D9-4C8E-8BC7-90E0B82DE9F5}" name="Column10096"/>
    <tableColumn id="10128" xr3:uid="{6888D2E5-D035-4BF4-92A1-4A40847D419B}" name="Column10097"/>
    <tableColumn id="10129" xr3:uid="{7AB87C8B-D9C0-4DCA-8B4A-BC5A82FAAE20}" name="Column10098"/>
    <tableColumn id="10130" xr3:uid="{C30FDE3C-D5C9-457A-8757-3C3147F17841}" name="Column10099"/>
    <tableColumn id="10131" xr3:uid="{2433631A-03E4-4984-A1B5-B1628F80CB49}" name="Column10100"/>
    <tableColumn id="10132" xr3:uid="{A12D4D3B-5904-4858-A575-945B51ED29FD}" name="Column10101"/>
    <tableColumn id="10133" xr3:uid="{DA92CF6B-2666-490F-BB7B-758004925E1B}" name="Column10102"/>
    <tableColumn id="10134" xr3:uid="{12FC7DAF-E326-440D-AA9D-485A39BEAED4}" name="Column10103"/>
    <tableColumn id="10135" xr3:uid="{B1C64B62-D1B3-4323-9D68-EB2E34741F37}" name="Column10104"/>
    <tableColumn id="10136" xr3:uid="{320DFA11-5E60-402F-94F8-0506C12E6FB3}" name="Column10105"/>
    <tableColumn id="10137" xr3:uid="{B87892B8-3850-45C3-A30B-F90BC9A00296}" name="Column10106"/>
    <tableColumn id="10138" xr3:uid="{113F2613-8C3B-4F59-A898-26D5986E3CCA}" name="Column10107"/>
    <tableColumn id="10139" xr3:uid="{19FE236F-3062-4686-97BE-015243EFB935}" name="Column10108"/>
    <tableColumn id="10140" xr3:uid="{1F630A23-78D2-4335-A206-037493DCBE8D}" name="Column10109"/>
    <tableColumn id="10141" xr3:uid="{A0FF0E20-6EAF-4C75-9F2C-B8BBF9B667FF}" name="Column10110"/>
    <tableColumn id="10142" xr3:uid="{5587E97F-741A-4081-A9F8-C28C3FAC62BC}" name="Column10111"/>
    <tableColumn id="10143" xr3:uid="{74C45BA6-EEF6-4701-B064-B94F175388E6}" name="Column10112"/>
    <tableColumn id="10144" xr3:uid="{56CE3629-9CFC-415C-849B-5BE1D6A8C284}" name="Column10113"/>
    <tableColumn id="10145" xr3:uid="{B8376E7D-A0CA-4F7E-A85A-159090CB6B66}" name="Column10114"/>
    <tableColumn id="10146" xr3:uid="{2769846D-746E-4A44-8980-35F2C40D9570}" name="Column10115"/>
    <tableColumn id="10147" xr3:uid="{C4C6128C-E03F-4D4E-82F6-518B855FA684}" name="Column10116"/>
    <tableColumn id="10148" xr3:uid="{5A1265FE-AE91-498C-9651-FA27FA74FC19}" name="Column10117"/>
    <tableColumn id="10149" xr3:uid="{9751BAEA-6266-4F1E-B440-68A53FE5D90C}" name="Column10118"/>
    <tableColumn id="10150" xr3:uid="{02AFE504-960C-409B-96E9-228E3BD4DE0A}" name="Column10119"/>
    <tableColumn id="10151" xr3:uid="{29568ADC-9345-435E-89E7-9F3DB0C7F6E3}" name="Column10120"/>
    <tableColumn id="10152" xr3:uid="{4C3ACE27-6B42-4D45-85EC-67506557426F}" name="Column10121"/>
    <tableColumn id="10153" xr3:uid="{CEB22288-8EDA-4550-8DC9-A40073B2EA16}" name="Column10122"/>
    <tableColumn id="10154" xr3:uid="{C188D784-C437-4797-8C44-7271AD6AED2A}" name="Column10123"/>
    <tableColumn id="10155" xr3:uid="{E17AE25C-8D16-4ECD-862E-E548B36ADDC4}" name="Column10124"/>
    <tableColumn id="10156" xr3:uid="{4EB1C2C1-8926-4E0D-B54D-6FF2946F422A}" name="Column10125"/>
    <tableColumn id="10157" xr3:uid="{A29B4BE7-2EA2-488A-8800-5982B744E549}" name="Column10126"/>
    <tableColumn id="10158" xr3:uid="{6B253E34-E8A2-4C85-B28D-B42A91A00320}" name="Column10127"/>
    <tableColumn id="10159" xr3:uid="{645D28E0-47C9-4C01-AF9F-F4C3EFF6ECD6}" name="Column10128"/>
    <tableColumn id="10160" xr3:uid="{B16A6B1E-C95F-4542-BB25-0180C0C3E05C}" name="Column10129"/>
    <tableColumn id="10161" xr3:uid="{C5E69C32-A3AA-4FC3-B3E5-88B358C946D2}" name="Column10130"/>
    <tableColumn id="10162" xr3:uid="{1D10DB8D-9415-43BB-8315-3931C7E3FCAE}" name="Column10131"/>
    <tableColumn id="10163" xr3:uid="{C51FDC91-F900-4797-A162-B6AE66FC562B}" name="Column10132"/>
    <tableColumn id="10164" xr3:uid="{C5AA41F2-1D21-481C-9C6F-A5B2CC6E45AD}" name="Column10133"/>
    <tableColumn id="10165" xr3:uid="{3B26F35E-3E6A-4C8A-ADF8-E67866D5F228}" name="Column10134"/>
    <tableColumn id="10166" xr3:uid="{71C998ED-B427-4839-95E1-29CF65F4C7A1}" name="Column10135"/>
    <tableColumn id="10167" xr3:uid="{D78EEAE1-0B7F-494A-99C7-6BD46998AA86}" name="Column10136"/>
    <tableColumn id="10168" xr3:uid="{B8B4C374-F294-4ACE-8737-84167EB11F62}" name="Column10137"/>
    <tableColumn id="10169" xr3:uid="{BE579111-DBC0-434F-8A34-2D5F91D28FBF}" name="Column10138"/>
    <tableColumn id="10170" xr3:uid="{ABCE86D8-A238-4B86-ABC0-7F2DC79930DA}" name="Column10139"/>
    <tableColumn id="10171" xr3:uid="{E4E4E792-DDAE-499F-8AFB-3BB1DF0F71F8}" name="Column10140"/>
    <tableColumn id="10172" xr3:uid="{3500EA70-BE7D-453E-A738-907428A6184C}" name="Column10141"/>
    <tableColumn id="10173" xr3:uid="{C3C89A54-7BC4-4F6F-9B42-741C66008A0F}" name="Column10142"/>
    <tableColumn id="10174" xr3:uid="{1542A199-F96E-46E4-BD53-A7708A33849C}" name="Column10143"/>
    <tableColumn id="10175" xr3:uid="{F5B21BC8-89EB-4682-B893-1A72DDCC1AD4}" name="Column10144"/>
    <tableColumn id="10176" xr3:uid="{04B905C5-48DB-4A1A-992F-B155765CEEE9}" name="Column10145"/>
    <tableColumn id="10177" xr3:uid="{7C4267C1-5E97-483A-997F-0C1C1CAE5D6A}" name="Column10146"/>
    <tableColumn id="10178" xr3:uid="{BED55031-C3C0-4D29-BAEC-9D411C0C3E5C}" name="Column10147"/>
    <tableColumn id="10179" xr3:uid="{7FF5B37C-6351-4A9C-A42C-600B7DCBEA94}" name="Column10148"/>
    <tableColumn id="10180" xr3:uid="{F628502A-DD61-42C0-8748-72D6D7FCBB43}" name="Column10149"/>
    <tableColumn id="10181" xr3:uid="{99CF9AC9-AA0A-4D97-AF73-73722245E73F}" name="Column10150"/>
    <tableColumn id="10182" xr3:uid="{BA05E045-D278-4DF1-8535-B36AB6AE1F63}" name="Column10151"/>
    <tableColumn id="10183" xr3:uid="{28339289-E396-47C6-805D-6DC7F2A5A005}" name="Column10152"/>
    <tableColumn id="10184" xr3:uid="{48465E51-1EEC-4A93-8FF1-15900E97D6F1}" name="Column10153"/>
    <tableColumn id="10185" xr3:uid="{51EA75A2-E81F-4BAD-9C06-111A0F6A1062}" name="Column10154"/>
    <tableColumn id="10186" xr3:uid="{78D73F30-894C-4DD5-8EEE-9AF3E6C17205}" name="Column10155"/>
    <tableColumn id="10187" xr3:uid="{67BA69E5-290A-4409-B220-5E9CB50CD26F}" name="Column10156"/>
    <tableColumn id="10188" xr3:uid="{2D8483A5-F8DD-446A-B197-390BCB900E3A}" name="Column10157"/>
    <tableColumn id="10189" xr3:uid="{57586B25-DC20-4061-874B-ED0E1416B95B}" name="Column10158"/>
    <tableColumn id="10190" xr3:uid="{D6782B0C-C30E-4B6E-A0A3-280524E8FDA9}" name="Column10159"/>
    <tableColumn id="10191" xr3:uid="{EE080851-9DE1-4BE1-BE68-F6FB4AC38A83}" name="Column10160"/>
    <tableColumn id="10192" xr3:uid="{032A08EF-DF18-470C-B975-2B3CED294B81}" name="Column10161"/>
    <tableColumn id="10193" xr3:uid="{67BEBED5-ACC3-46C4-B2ED-6F79A381B2E4}" name="Column10162"/>
    <tableColumn id="10194" xr3:uid="{460CFA05-B9F1-48E8-8577-5F56468AE154}" name="Column10163"/>
    <tableColumn id="10195" xr3:uid="{C74E1D45-9566-4818-9B26-2AA069BED8F1}" name="Column10164"/>
    <tableColumn id="10196" xr3:uid="{23631541-788C-4227-BE71-3CD1955D3BC0}" name="Column10165"/>
    <tableColumn id="10197" xr3:uid="{F748A9A2-151D-4DB0-BB6E-84C9330FFDF9}" name="Column10166"/>
    <tableColumn id="10198" xr3:uid="{FEAD1381-52B0-49AE-ABC3-07EA4210A5BD}" name="Column10167"/>
    <tableColumn id="10199" xr3:uid="{010F9CF4-07BB-4F83-B956-D1F328E42C52}" name="Column10168"/>
    <tableColumn id="10200" xr3:uid="{BB646A8A-CF3B-437C-8E18-85116460E50C}" name="Column10169"/>
    <tableColumn id="10201" xr3:uid="{2655E9D6-6709-4BA5-AB90-9178F955CE17}" name="Column10170"/>
    <tableColumn id="10202" xr3:uid="{D54C3D83-2CA6-4850-9EBC-A52BB437C23F}" name="Column10171"/>
    <tableColumn id="10203" xr3:uid="{DAE6A64C-3268-40BD-B19D-D140112AE876}" name="Column10172"/>
    <tableColumn id="10204" xr3:uid="{A9EA50CA-FD11-413C-9F94-F884AE7A086B}" name="Column10173"/>
    <tableColumn id="10205" xr3:uid="{B821A4E4-49AB-483D-AC48-C474C59BCCEF}" name="Column10174"/>
    <tableColumn id="10206" xr3:uid="{97228DEC-5808-4655-BA7E-BC80C01E0838}" name="Column10175"/>
    <tableColumn id="10207" xr3:uid="{120DB59B-CB62-48D5-B5C4-F64267B2ED94}" name="Column10176"/>
    <tableColumn id="10208" xr3:uid="{946115A6-F502-4904-AAA5-A010FC4D5E2F}" name="Column10177"/>
    <tableColumn id="10209" xr3:uid="{B2B4FA42-EE71-44C7-A804-FC189A22E94C}" name="Column10178"/>
    <tableColumn id="10210" xr3:uid="{EF3D6FEA-7B40-48E2-901C-3CCD409E6406}" name="Column10179"/>
    <tableColumn id="10211" xr3:uid="{52FA2B64-C22A-41E6-81F8-C2E74407F6A0}" name="Column10180"/>
    <tableColumn id="10212" xr3:uid="{3F153B5E-EA92-4C86-A3C3-DFEF0717575D}" name="Column10181"/>
    <tableColumn id="10213" xr3:uid="{86F64B6D-B28E-488E-8EF5-01C70D24604A}" name="Column10182"/>
    <tableColumn id="10214" xr3:uid="{1F77C499-D742-4609-A319-706E7F5C2BA0}" name="Column10183"/>
    <tableColumn id="10215" xr3:uid="{73436B2C-2A27-467C-AC4B-AEB156035702}" name="Column10184"/>
    <tableColumn id="10216" xr3:uid="{6AA36A1C-3774-4D24-AD41-22F03695BB2A}" name="Column10185"/>
    <tableColumn id="10217" xr3:uid="{AEA22C8F-1244-4EAD-BB35-6F0FDAFDFAA9}" name="Column10186"/>
    <tableColumn id="10218" xr3:uid="{DCDC4455-9BBA-4501-B15C-D19CE0AA5C52}" name="Column10187"/>
    <tableColumn id="10219" xr3:uid="{961FF73E-7572-4FAE-88E3-8D9C19E373F0}" name="Column10188"/>
    <tableColumn id="10220" xr3:uid="{EA33209A-9598-4B7E-969B-37F16D0B0EFE}" name="Column10189"/>
    <tableColumn id="10221" xr3:uid="{3956B44D-C82A-4E1A-9AD9-B4838D0D47A7}" name="Column10190"/>
    <tableColumn id="10222" xr3:uid="{E05E3948-0A3E-439D-B865-8E2FF66294FD}" name="Column10191"/>
    <tableColumn id="10223" xr3:uid="{4E146FFD-7D2F-402C-93D6-438E3E6F3F63}" name="Column10192"/>
    <tableColumn id="10224" xr3:uid="{1AF3157A-0C1E-4189-92D4-F79770248C5B}" name="Column10193"/>
    <tableColumn id="10225" xr3:uid="{0FAD4952-7C95-4360-9152-6146AB6972FD}" name="Column10194"/>
    <tableColumn id="10226" xr3:uid="{139BF72C-7B87-4071-9EF7-9EBFAE87007A}" name="Column10195"/>
    <tableColumn id="10227" xr3:uid="{29FA4B2F-A16F-4EED-A826-418540F877E5}" name="Column10196"/>
    <tableColumn id="10228" xr3:uid="{AB5A8D2D-D068-4D58-95E0-D4CAAD8F44E5}" name="Column10197"/>
    <tableColumn id="10229" xr3:uid="{082B13EB-F5C5-44A9-BE32-3EC7CA947E26}" name="Column10198"/>
    <tableColumn id="10230" xr3:uid="{E873604E-5A24-44D0-AF42-E0044B7078D3}" name="Column10199"/>
    <tableColumn id="10231" xr3:uid="{AD5672D0-EC7C-41B2-B5C4-863AAF8D77B9}" name="Column10200"/>
    <tableColumn id="10232" xr3:uid="{EB39F2AE-584A-401E-A91D-FB662822F4D3}" name="Column10201"/>
    <tableColumn id="10233" xr3:uid="{AB40F7E2-98C2-45DE-8D10-9970F1AE7B91}" name="Column10202"/>
    <tableColumn id="10234" xr3:uid="{36F891D4-4FF8-43FB-8C95-5B9EC5D6B66E}" name="Column10203"/>
    <tableColumn id="10235" xr3:uid="{7B2DDA72-6C50-4391-9C16-B9E990F9922C}" name="Column10204"/>
    <tableColumn id="10236" xr3:uid="{3DE593E6-058E-47D7-BAF3-48BF9D951EA0}" name="Column10205"/>
    <tableColumn id="10237" xr3:uid="{E87548DE-3734-4797-9E6D-2F0658298D73}" name="Column10206"/>
    <tableColumn id="10238" xr3:uid="{F0019A76-C356-4B6E-8406-AA189512F338}" name="Column10207"/>
    <tableColumn id="10239" xr3:uid="{00414FDF-0384-4987-B86D-595BF6E6D368}" name="Column10208"/>
    <tableColumn id="10240" xr3:uid="{EC981DFB-0AF5-4531-B344-348CA5531B37}" name="Column10209"/>
    <tableColumn id="10241" xr3:uid="{E0322A80-A506-4E8C-A7A7-82AEABE843B1}" name="Column10210"/>
    <tableColumn id="10242" xr3:uid="{6E2FDB2B-9D49-435B-8330-4D685D3D3DC1}" name="Column10211"/>
    <tableColumn id="10243" xr3:uid="{46FDFCEE-452B-4116-95FD-ADB43FC0F499}" name="Column10212"/>
    <tableColumn id="10244" xr3:uid="{81B13E39-BAE0-4C04-A93B-A1B38F8300DB}" name="Column10213"/>
    <tableColumn id="10245" xr3:uid="{E9134B6E-B235-4848-BC2A-3ED4DF5AEB36}" name="Column10214"/>
    <tableColumn id="10246" xr3:uid="{E0655FE6-43BF-4789-9E9B-98982A2E3597}" name="Column10215"/>
    <tableColumn id="10247" xr3:uid="{43537E82-627D-4D6B-A064-EAD4710F8937}" name="Column10216"/>
    <tableColumn id="10248" xr3:uid="{585F57BF-5061-4D5A-A380-2524A282C96B}" name="Column10217"/>
    <tableColumn id="10249" xr3:uid="{BE19C12D-4CA2-4BFF-BCF7-27F10B36ACFA}" name="Column10218"/>
    <tableColumn id="10250" xr3:uid="{8EA0E077-DC1C-4876-90CC-7D035E151DEE}" name="Column10219"/>
    <tableColumn id="10251" xr3:uid="{76AF622C-6F27-4954-BEE4-80B8A80BD566}" name="Column10220"/>
    <tableColumn id="10252" xr3:uid="{390D0F8B-828B-4A3C-81D7-9735223E5A2E}" name="Column10221"/>
    <tableColumn id="10253" xr3:uid="{D203C356-C99F-402D-A13F-74B421ABC1D0}" name="Column10222"/>
    <tableColumn id="10254" xr3:uid="{EEC28F2B-51DC-406D-824F-006155414CC2}" name="Column10223"/>
    <tableColumn id="10255" xr3:uid="{356347F2-35C6-4E08-8BE9-0ACF8B24CDEE}" name="Column10224"/>
    <tableColumn id="10256" xr3:uid="{8E49F4B5-A9A6-4A95-AB72-BD1096088833}" name="Column10225"/>
    <tableColumn id="10257" xr3:uid="{DE77EDED-51ED-47B1-8649-6DC40A162848}" name="Column10226"/>
    <tableColumn id="10258" xr3:uid="{4701809C-35F4-49FC-9A1A-B5A784E3C49C}" name="Column10227"/>
    <tableColumn id="10259" xr3:uid="{34166082-0E4B-42B3-A596-FEFE9BFA8DB3}" name="Column10228"/>
    <tableColumn id="10260" xr3:uid="{186FCC71-9B9D-498F-A2DD-E5A8BC2262A7}" name="Column10229"/>
    <tableColumn id="10261" xr3:uid="{44A78AEF-2884-4DEC-A38D-732716996CD8}" name="Column10230"/>
    <tableColumn id="10262" xr3:uid="{B43840B8-7E8E-4486-B4B9-01AA46D0D5C7}" name="Column10231"/>
    <tableColumn id="10263" xr3:uid="{A434A0DA-D3D4-4BF7-A5D8-D5433DC6FCC5}" name="Column10232"/>
    <tableColumn id="10264" xr3:uid="{46E7675D-F66A-49CB-AE79-2EA6600378FE}" name="Column10233"/>
    <tableColumn id="10265" xr3:uid="{2AB2E4B4-70FC-4C0A-973F-CEEBBC202449}" name="Column10234"/>
    <tableColumn id="10266" xr3:uid="{D1E45620-1BEB-429C-A93F-0A154687A360}" name="Column10235"/>
    <tableColumn id="10267" xr3:uid="{D5D08122-190C-41D4-818C-5FA9B9B014EB}" name="Column10236"/>
    <tableColumn id="10268" xr3:uid="{E2368B92-3BF2-4792-B22E-F19D1D86F264}" name="Column10237"/>
    <tableColumn id="10269" xr3:uid="{FD034DDD-CE12-4037-B002-F63E5081A662}" name="Column10238"/>
    <tableColumn id="10270" xr3:uid="{5689354F-E1D8-4800-BE5C-04CE4E61CD3C}" name="Column10239"/>
    <tableColumn id="10271" xr3:uid="{362CEE97-AF1D-46E8-A25F-370CAD1837B4}" name="Column10240"/>
    <tableColumn id="10272" xr3:uid="{BA9B6B52-C30B-44F9-B69E-3EC2D706E4C2}" name="Column10241"/>
    <tableColumn id="10273" xr3:uid="{0B929327-8B8B-4C2D-B985-F33F63DC1FCA}" name="Column10242"/>
    <tableColumn id="10274" xr3:uid="{E18DCE7B-4C28-4D24-B2A1-D61DE58B70E9}" name="Column10243"/>
    <tableColumn id="10275" xr3:uid="{6020DF24-A841-41C2-A040-FC97276A539A}" name="Column10244"/>
    <tableColumn id="10276" xr3:uid="{640BD887-1EF4-47E5-8B7A-3D7F1B15BF06}" name="Column10245"/>
    <tableColumn id="10277" xr3:uid="{502C95C2-E943-42DC-9263-1216F4D161AF}" name="Column10246"/>
    <tableColumn id="10278" xr3:uid="{F0194DCC-24B7-4EA2-BDBF-38A6AE071CB4}" name="Column10247"/>
    <tableColumn id="10279" xr3:uid="{13711E8D-4F7B-4029-BB27-886BD66D61CA}" name="Column10248"/>
    <tableColumn id="10280" xr3:uid="{9F10A6D3-C708-45F3-8676-319225B4C80D}" name="Column10249"/>
    <tableColumn id="10281" xr3:uid="{4AEF1A32-ABB8-4114-B363-281E9430B251}" name="Column10250"/>
    <tableColumn id="10282" xr3:uid="{0AD5D18B-163A-4137-8A69-65A4F5E98EE5}" name="Column10251"/>
    <tableColumn id="10283" xr3:uid="{53AA067D-57E1-48B3-B7F8-BE33661B5450}" name="Column10252"/>
    <tableColumn id="10284" xr3:uid="{C5C220AE-976C-4CA1-A58F-988EB4D3A927}" name="Column10253"/>
    <tableColumn id="10285" xr3:uid="{2B762B84-B711-4AD6-ADBE-AC1CFD862089}" name="Column10254"/>
    <tableColumn id="10286" xr3:uid="{82552BFE-8FB3-4981-B5CA-EB9DA0D85DC8}" name="Column10255"/>
    <tableColumn id="10287" xr3:uid="{EE5CD790-10A5-4C15-9B62-57E247D9CB4A}" name="Column10256"/>
    <tableColumn id="10288" xr3:uid="{FA7BC71F-0064-449E-901B-6707F793A6BC}" name="Column10257"/>
    <tableColumn id="10289" xr3:uid="{668F36B3-A905-4684-8FF8-AA62FEC94F19}" name="Column10258"/>
    <tableColumn id="10290" xr3:uid="{070AD1AB-EF13-4D68-88AB-D133F1EE4D78}" name="Column10259"/>
    <tableColumn id="10291" xr3:uid="{E7E1E9C8-3CE1-4226-BBEE-54A8A2FD4F00}" name="Column10260"/>
    <tableColumn id="10292" xr3:uid="{862F002B-1DB8-4202-8953-CC3F4C729935}" name="Column10261"/>
    <tableColumn id="10293" xr3:uid="{013A16D6-6360-4B94-A607-21C0EF82B360}" name="Column10262"/>
    <tableColumn id="10294" xr3:uid="{2A50D614-B5C0-4473-9B02-C8A94C3EA558}" name="Column10263"/>
    <tableColumn id="10295" xr3:uid="{CD3D61B5-1A5A-4BFD-86A3-5603E51FDA27}" name="Column10264"/>
    <tableColumn id="10296" xr3:uid="{22243F08-F057-4DE0-97A9-FD683ACC9596}" name="Column10265"/>
    <tableColumn id="10297" xr3:uid="{F1A0F6F7-E59D-40D0-9E7C-7D3E26EEB0A7}" name="Column10266"/>
    <tableColumn id="10298" xr3:uid="{ECF9476F-2EAF-4D3D-B0E5-4D4697383191}" name="Column10267"/>
    <tableColumn id="10299" xr3:uid="{D35F6750-E759-4265-8AA5-BB50DB928873}" name="Column10268"/>
    <tableColumn id="10300" xr3:uid="{1B5F7971-5065-4D1B-BCA5-29C160D91B0E}" name="Column10269"/>
    <tableColumn id="10301" xr3:uid="{EF7FC0E0-3860-4B90-9B17-B24993EC7314}" name="Column10270"/>
    <tableColumn id="10302" xr3:uid="{F15AEF95-011A-464C-9C92-1BBF589733E7}" name="Column10271"/>
    <tableColumn id="10303" xr3:uid="{BF7C9FC6-A0FF-4054-A0A3-9577773CDF02}" name="Column10272"/>
    <tableColumn id="10304" xr3:uid="{98A178EF-0AD3-4E23-8351-152D8BD90086}" name="Column10273"/>
    <tableColumn id="10305" xr3:uid="{32203764-E49F-4E19-BDEE-92B62CDC6AA9}" name="Column10274"/>
    <tableColumn id="10306" xr3:uid="{55D2DEC8-0443-43EC-B528-70A85CC9AE65}" name="Column10275"/>
    <tableColumn id="10307" xr3:uid="{11BA7D51-3576-4402-A6A8-3375DB3200B3}" name="Column10276"/>
    <tableColumn id="10308" xr3:uid="{A5084D88-E356-4819-B1C0-11BB01C19D70}" name="Column10277"/>
    <tableColumn id="10309" xr3:uid="{387F5A9B-0E46-42DC-BD90-A074FBCBF797}" name="Column10278"/>
    <tableColumn id="10310" xr3:uid="{12AA76F3-72C9-4229-91B3-75A5B5161EF9}" name="Column10279"/>
    <tableColumn id="10311" xr3:uid="{DE01EDD1-60FD-4EA3-AB81-220AE3DBD80B}" name="Column10280"/>
    <tableColumn id="10312" xr3:uid="{21F877A4-D5B7-439D-B834-0CA702FE403E}" name="Column10281"/>
    <tableColumn id="10313" xr3:uid="{995936EA-B9FF-495C-A9B4-29DBC9E4CA31}" name="Column10282"/>
    <tableColumn id="10314" xr3:uid="{600B19D4-A1BF-4F6B-A061-9C4251532ECF}" name="Column10283"/>
    <tableColumn id="10315" xr3:uid="{826A0DAB-04A1-4D44-9735-2F041AEF3137}" name="Column10284"/>
    <tableColumn id="10316" xr3:uid="{AAF53368-BF0E-4998-8F53-52EC8D1A51AA}" name="Column10285"/>
    <tableColumn id="10317" xr3:uid="{58DA1DCB-1819-46B4-837D-5A6BFD0FB72F}" name="Column10286"/>
    <tableColumn id="10318" xr3:uid="{DC9D4B13-6E6A-4B63-85D9-452DBBE2D8EC}" name="Column10287"/>
    <tableColumn id="10319" xr3:uid="{470983C1-A57A-4018-8DCC-A44047DFC14A}" name="Column10288"/>
    <tableColumn id="10320" xr3:uid="{3CC8C97B-3DE0-43EA-B7AE-5CADA88AE8C6}" name="Column10289"/>
    <tableColumn id="10321" xr3:uid="{E1B94300-E4A5-4FFA-AB68-2F7F7365595F}" name="Column10290"/>
    <tableColumn id="10322" xr3:uid="{8114DDAE-29BF-4D46-9890-64812E1C0C37}" name="Column10291"/>
    <tableColumn id="10323" xr3:uid="{8EB9CD2E-CB82-43B8-8586-5B2CC902EE10}" name="Column10292"/>
    <tableColumn id="10324" xr3:uid="{62D86420-9E85-476D-9F9C-C11555E14D27}" name="Column10293"/>
    <tableColumn id="10325" xr3:uid="{0FCC6511-B3CE-46B1-987C-16020BE37432}" name="Column10294"/>
    <tableColumn id="10326" xr3:uid="{53DFE7CA-3608-4CA7-8E8D-BA6E8EF8DC4F}" name="Column10295"/>
    <tableColumn id="10327" xr3:uid="{E4AB9C13-A58B-4417-9791-7222624023D0}" name="Column10296"/>
    <tableColumn id="10328" xr3:uid="{1BEA0DF1-21AD-4BD0-AA08-CD79878E53A6}" name="Column10297"/>
    <tableColumn id="10329" xr3:uid="{B63163AA-F6DD-4319-B356-02484335033B}" name="Column10298"/>
    <tableColumn id="10330" xr3:uid="{E72E4357-2655-4295-BC54-357D0172AD2A}" name="Column10299"/>
    <tableColumn id="10331" xr3:uid="{C45871A1-0165-415F-945D-AFECD2F22C36}" name="Column10300"/>
    <tableColumn id="10332" xr3:uid="{C3FF880E-EDAA-47ED-8065-B2EA1E51DC59}" name="Column10301"/>
    <tableColumn id="10333" xr3:uid="{1225E407-3FB0-4152-97D5-5AA363370C93}" name="Column10302"/>
    <tableColumn id="10334" xr3:uid="{00CCBF09-6EAC-45B6-AD7C-B693823F6EB8}" name="Column10303"/>
    <tableColumn id="10335" xr3:uid="{2EEEDAD6-F385-4232-8DAF-D07FA36EC946}" name="Column10304"/>
    <tableColumn id="10336" xr3:uid="{111FF401-8157-456B-906C-EC6FA3D283BE}" name="Column10305"/>
    <tableColumn id="10337" xr3:uid="{0ED56388-516C-4117-9294-32ED88E31B25}" name="Column10306"/>
    <tableColumn id="10338" xr3:uid="{6C23E4E5-ECE4-4AF6-8EF5-E1ED3F41FEE3}" name="Column10307"/>
    <tableColumn id="10339" xr3:uid="{209395CD-7FDA-4A53-AD26-7A1386C28199}" name="Column10308"/>
    <tableColumn id="10340" xr3:uid="{AFA2E728-2B61-4ABF-9A19-F5A9AE084B95}" name="Column10309"/>
    <tableColumn id="10341" xr3:uid="{61D385D7-7402-475A-995A-6FCD04318092}" name="Column10310"/>
    <tableColumn id="10342" xr3:uid="{34807910-F96B-404A-A1D5-81020444265C}" name="Column10311"/>
    <tableColumn id="10343" xr3:uid="{5186B91D-D9A6-41C5-88F9-E526D87D1451}" name="Column10312"/>
    <tableColumn id="10344" xr3:uid="{853F6CAB-7927-47BF-A4E5-8FCF4F1EF34B}" name="Column10313"/>
    <tableColumn id="10345" xr3:uid="{DBAD775D-9D53-4926-8D30-5BDC2F8D762A}" name="Column10314"/>
    <tableColumn id="10346" xr3:uid="{4D6092AD-3E65-45C2-928A-B04C060184A5}" name="Column10315"/>
    <tableColumn id="10347" xr3:uid="{52E7EB64-76A7-4AA6-89B0-85529D0133DA}" name="Column10316"/>
    <tableColumn id="10348" xr3:uid="{D9EA6C5E-4FD6-4388-A8A7-BD185ED9AC4A}" name="Column10317"/>
    <tableColumn id="10349" xr3:uid="{12A9144B-780D-489F-A4A4-E1811277E211}" name="Column10318"/>
    <tableColumn id="10350" xr3:uid="{16328333-9C31-4614-A6E5-285E8D4BC101}" name="Column10319"/>
    <tableColumn id="10351" xr3:uid="{3F739FD6-68DB-46B7-82ED-ABB43482E26F}" name="Column10320"/>
    <tableColumn id="10352" xr3:uid="{68087947-C75A-46C1-961E-DF68560B1C73}" name="Column10321"/>
    <tableColumn id="10353" xr3:uid="{EF25BEB3-8EDB-4C87-A297-2600B1ECAC19}" name="Column10322"/>
    <tableColumn id="10354" xr3:uid="{33E51736-95AE-4E20-98CE-67FB344F9857}" name="Column10323"/>
    <tableColumn id="10355" xr3:uid="{B7C7E3A1-A638-48E0-94D1-9894E1EDCDD2}" name="Column10324"/>
    <tableColumn id="10356" xr3:uid="{3A535B8D-73E4-4F33-A6E0-E26252C84644}" name="Column10325"/>
    <tableColumn id="10357" xr3:uid="{9383561C-6512-4FA4-914D-C82DC1216095}" name="Column10326"/>
    <tableColumn id="10358" xr3:uid="{B698CE7F-9EDD-465D-B665-8E3E66520E92}" name="Column10327"/>
    <tableColumn id="10359" xr3:uid="{6369CE5D-0F68-41B5-9AA5-DA73F73AD380}" name="Column10328"/>
    <tableColumn id="10360" xr3:uid="{28D6824B-DAA7-4B52-A63A-FC8F1BE9C1D3}" name="Column10329"/>
    <tableColumn id="10361" xr3:uid="{087BAF45-20D6-4185-BBDC-A7D3089C606B}" name="Column10330"/>
    <tableColumn id="10362" xr3:uid="{2490D54E-9D78-480F-B7D4-FB6BD6C1D694}" name="Column10331"/>
    <tableColumn id="10363" xr3:uid="{2FF4CF41-977E-46F2-A3C8-1D6D7133480E}" name="Column10332"/>
    <tableColumn id="10364" xr3:uid="{BEC4317A-606F-441C-B908-B76DC47436BC}" name="Column10333"/>
    <tableColumn id="10365" xr3:uid="{FE923AA4-0426-4A06-9DE2-AAE04CCEDC12}" name="Column10334"/>
    <tableColumn id="10366" xr3:uid="{9587E00D-3559-462F-9B17-DF623EE045BF}" name="Column10335"/>
    <tableColumn id="10367" xr3:uid="{951D08DF-9EFE-4394-BAD2-7014EC22B023}" name="Column10336"/>
    <tableColumn id="10368" xr3:uid="{EED780A4-A719-4BB0-89F5-AFEE17E1EE67}" name="Column10337"/>
    <tableColumn id="10369" xr3:uid="{5B05B691-0D04-4DC6-8CA9-A0CD424A6F24}" name="Column10338"/>
    <tableColumn id="10370" xr3:uid="{4B0DBBA1-40C9-44FA-AB85-A27540870BFA}" name="Column10339"/>
    <tableColumn id="10371" xr3:uid="{79E6CBF8-F576-4AB6-B6EA-B2AA0E8B1498}" name="Column10340"/>
    <tableColumn id="10372" xr3:uid="{061DB4A9-1EB5-4786-AFC5-2B9AB4BBFDA5}" name="Column10341"/>
    <tableColumn id="10373" xr3:uid="{D5414A93-28B4-45DE-8A0D-4BE7AE0883DF}" name="Column10342"/>
    <tableColumn id="10374" xr3:uid="{659F5C22-1AF9-435D-91E5-FB9847DC8D82}" name="Column10343"/>
    <tableColumn id="10375" xr3:uid="{CBB00BD1-0FB1-41C2-85E9-739991A4D922}" name="Column10344"/>
    <tableColumn id="10376" xr3:uid="{273C754E-555E-43F5-BAC3-42E50842DC6C}" name="Column10345"/>
    <tableColumn id="10377" xr3:uid="{3BE1FAE2-E988-42A5-80E9-DE48E9597B5F}" name="Column10346"/>
    <tableColumn id="10378" xr3:uid="{7F5040C0-CD42-4374-ACC8-545ED2B28F1A}" name="Column10347"/>
    <tableColumn id="10379" xr3:uid="{A4E089FC-1825-43B9-B30A-1AA5D3875A63}" name="Column10348"/>
    <tableColumn id="10380" xr3:uid="{9F7AE80A-7E55-4DD0-823B-C75281495295}" name="Column10349"/>
    <tableColumn id="10381" xr3:uid="{75631EAA-8599-4FD0-BCEA-AC6FAC7F3FA3}" name="Column10350"/>
    <tableColumn id="10382" xr3:uid="{3203ACAB-86C0-413C-8BB4-C299E73D3AA9}" name="Column10351"/>
    <tableColumn id="10383" xr3:uid="{D3E1C7D7-1491-4EDD-BDC0-6DA015C79705}" name="Column10352"/>
    <tableColumn id="10384" xr3:uid="{9F9FAC62-37D7-4E11-A614-3488DD6FF330}" name="Column10353"/>
    <tableColumn id="10385" xr3:uid="{F36EAF9B-09D7-4434-B4B0-65124BA2789C}" name="Column10354"/>
    <tableColumn id="10386" xr3:uid="{9A9C2027-845B-4136-BF1A-C290A2B135AF}" name="Column10355"/>
    <tableColumn id="10387" xr3:uid="{BE457CA4-7BAF-4746-B27D-E7DBFA9A12C8}" name="Column10356"/>
    <tableColumn id="10388" xr3:uid="{A77EC3F1-9200-4599-AA75-7FEF6C42A722}" name="Column10357"/>
    <tableColumn id="10389" xr3:uid="{C37C58EE-5061-45CE-BA34-C15AD3839E0D}" name="Column10358"/>
    <tableColumn id="10390" xr3:uid="{2DC9E0DF-2278-479D-9159-3D7730B5E644}" name="Column10359"/>
    <tableColumn id="10391" xr3:uid="{3D7ABDC1-566C-4AC1-AD66-C9112E4BBD8D}" name="Column10360"/>
    <tableColumn id="10392" xr3:uid="{EEDC64E9-4880-4A85-8844-01A2A49EDD41}" name="Column10361"/>
    <tableColumn id="10393" xr3:uid="{8856E18D-B88F-4FE7-80BB-055140809630}" name="Column10362"/>
    <tableColumn id="10394" xr3:uid="{72B12A52-F0CA-4BBC-BD29-1D4E465DB385}" name="Column10363"/>
    <tableColumn id="10395" xr3:uid="{20957E5F-06D0-4B37-9159-354D92840ACB}" name="Column10364"/>
    <tableColumn id="10396" xr3:uid="{C5597BA1-EC59-407E-8DF7-217CCCBC8A00}" name="Column10365"/>
    <tableColumn id="10397" xr3:uid="{83827554-5558-4E38-969E-60F15C22A354}" name="Column10366"/>
    <tableColumn id="10398" xr3:uid="{08D814E5-24D5-49AE-808F-7B3F827A755D}" name="Column10367"/>
    <tableColumn id="10399" xr3:uid="{E1433A8C-F32A-465D-89F7-5D21FDC4A0ED}" name="Column10368"/>
    <tableColumn id="10400" xr3:uid="{B29C3BA2-DBFA-4510-9566-88B35478C7AC}" name="Column10369"/>
    <tableColumn id="10401" xr3:uid="{63422162-18D8-4303-8DC4-80235944A1C2}" name="Column10370"/>
    <tableColumn id="10402" xr3:uid="{6312EB53-BE37-4A8C-91A4-D734C629EB37}" name="Column10371"/>
    <tableColumn id="10403" xr3:uid="{85163C45-6C81-48E2-B831-404ACA99B0F4}" name="Column10372"/>
    <tableColumn id="10404" xr3:uid="{4825F41F-4DBE-47A3-89E8-1CB5E8676700}" name="Column10373"/>
    <tableColumn id="10405" xr3:uid="{D7F969BC-6B82-4A9E-BD07-6B0FB1069948}" name="Column10374"/>
    <tableColumn id="10406" xr3:uid="{2C9B958A-882D-4C98-9CE8-77F0BF0E80A9}" name="Column10375"/>
    <tableColumn id="10407" xr3:uid="{838AB0D9-BE2D-460A-9D7B-8B0188C3DC66}" name="Column10376"/>
    <tableColumn id="10408" xr3:uid="{72E93DCD-5DA3-4FD1-B42B-1BA3A95D7A64}" name="Column10377"/>
    <tableColumn id="10409" xr3:uid="{57BDDF44-014D-443A-98A9-974492EDB788}" name="Column10378"/>
    <tableColumn id="10410" xr3:uid="{DFB03553-D606-4C67-A4A0-4A7E665C9674}" name="Column10379"/>
    <tableColumn id="10411" xr3:uid="{E32A341D-6EB9-4631-8C1D-7637E30C4FF5}" name="Column10380"/>
    <tableColumn id="10412" xr3:uid="{507AE1DE-0C03-455D-B250-732B65ACD8C5}" name="Column10381"/>
    <tableColumn id="10413" xr3:uid="{63DEE36E-6B1F-4D90-B971-6F023AE3F050}" name="Column10382"/>
    <tableColumn id="10414" xr3:uid="{2525C78C-6B1E-413A-A32F-51C173051349}" name="Column10383"/>
    <tableColumn id="10415" xr3:uid="{64FD6ADD-7D6A-4736-A741-C75DC7070342}" name="Column10384"/>
    <tableColumn id="10416" xr3:uid="{0857614A-BDC9-4E70-9854-AEF0EBE50275}" name="Column10385"/>
    <tableColumn id="10417" xr3:uid="{9D97B528-9122-4A03-84DC-AC2A13307A67}" name="Column10386"/>
    <tableColumn id="10418" xr3:uid="{FC20DE29-8622-482D-A402-2B9C4262ED72}" name="Column10387"/>
    <tableColumn id="10419" xr3:uid="{5E107971-D971-4F23-9F56-105F94994418}" name="Column10388"/>
    <tableColumn id="10420" xr3:uid="{622AE7F7-1E7C-4348-AF86-92611CCDF7B5}" name="Column10389"/>
    <tableColumn id="10421" xr3:uid="{9521A96D-4D63-4278-8AC6-18CF75EBE6ED}" name="Column10390"/>
    <tableColumn id="10422" xr3:uid="{6E8BA994-3E88-40FC-8F64-9301D4887F30}" name="Column10391"/>
    <tableColumn id="10423" xr3:uid="{0BA34918-0400-4035-B6E5-3F149A7A3D95}" name="Column10392"/>
    <tableColumn id="10424" xr3:uid="{BC4AE269-EA79-4BA6-BC1F-5F2BB127DB9C}" name="Column10393"/>
    <tableColumn id="10425" xr3:uid="{DEC260CA-7929-4527-8114-F2ADB2EE2151}" name="Column10394"/>
    <tableColumn id="10426" xr3:uid="{5BA62CD6-2CA3-48BB-B1D7-F60EDF1DA0DE}" name="Column10395"/>
    <tableColumn id="10427" xr3:uid="{2F3E56C8-52B4-4145-BDBA-A5A2C6B798C4}" name="Column10396"/>
    <tableColumn id="10428" xr3:uid="{D35A2103-136F-406B-89E6-BB1B29E8ABCB}" name="Column10397"/>
    <tableColumn id="10429" xr3:uid="{7BB47A7E-EAD8-4852-912D-C8C14C25E1B9}" name="Column10398"/>
    <tableColumn id="10430" xr3:uid="{EFAA27FF-C358-45ED-8A8C-2E0F4559BB9B}" name="Column10399"/>
    <tableColumn id="10431" xr3:uid="{B6549043-22AD-4FC1-9AEF-08BBEB6FF8B8}" name="Column10400"/>
    <tableColumn id="10432" xr3:uid="{67CC4764-D615-4195-BF1F-AAB6DF16F52F}" name="Column10401"/>
    <tableColumn id="10433" xr3:uid="{E91783D1-99F0-4D04-ADEB-34F37D43B62B}" name="Column10402"/>
    <tableColumn id="10434" xr3:uid="{A100E45F-0B82-48AE-9178-336FDF94AFF9}" name="Column10403"/>
    <tableColumn id="10435" xr3:uid="{0A2613B5-66C9-4833-BD4D-A67B673F7B8C}" name="Column10404"/>
    <tableColumn id="10436" xr3:uid="{B7840CA4-44B2-4EDF-9FFD-A5DB2EE7F99B}" name="Column10405"/>
    <tableColumn id="10437" xr3:uid="{486D290B-49EA-4000-8018-038A545308A8}" name="Column10406"/>
    <tableColumn id="10438" xr3:uid="{3458FF21-D4B1-4547-A0DB-AF7EE6CAB3DB}" name="Column10407"/>
    <tableColumn id="10439" xr3:uid="{D360D1A1-D26C-47CD-B1E3-17942E02E210}" name="Column10408"/>
    <tableColumn id="10440" xr3:uid="{AD3A7938-92AF-493A-B589-3D44F4B37AA3}" name="Column10409"/>
    <tableColumn id="10441" xr3:uid="{E2A81804-8B3F-4C95-B881-1BE607463338}" name="Column10410"/>
    <tableColumn id="10442" xr3:uid="{C360E465-CA9A-4BA0-B730-D86877C48DC5}" name="Column10411"/>
    <tableColumn id="10443" xr3:uid="{FB221243-CA09-4357-9098-16ABEC9AF14B}" name="Column10412"/>
    <tableColumn id="10444" xr3:uid="{5BA2D09D-C12B-4D22-992D-2B47F45CBFD3}" name="Column10413"/>
    <tableColumn id="10445" xr3:uid="{EAB3C443-7FBE-4C5B-9BCD-0ED730ED6A98}" name="Column10414"/>
    <tableColumn id="10446" xr3:uid="{38539669-8060-4EFC-AE07-83C150319771}" name="Column10415"/>
    <tableColumn id="10447" xr3:uid="{B73096E4-0659-49D3-906C-1BC6C67B2DA8}" name="Column10416"/>
    <tableColumn id="10448" xr3:uid="{7AB349BB-25A0-4420-855D-3EDD2CBA23E8}" name="Column10417"/>
    <tableColumn id="10449" xr3:uid="{2D2E6993-30E8-441C-9737-C24B3E49AA67}" name="Column10418"/>
    <tableColumn id="10450" xr3:uid="{C750EF53-A4D9-4FC0-90B9-23CA19DE948A}" name="Column10419"/>
    <tableColumn id="10451" xr3:uid="{AEB64F27-3462-424D-9EFD-83ED76451295}" name="Column10420"/>
    <tableColumn id="10452" xr3:uid="{5004F476-7036-47FB-80F2-0EE86C0C681E}" name="Column10421"/>
    <tableColumn id="10453" xr3:uid="{83241B57-78D1-4CEB-9844-3CE61A35CA86}" name="Column10422"/>
    <tableColumn id="10454" xr3:uid="{4166F555-F162-48C9-9527-4520DF1A451F}" name="Column10423"/>
    <tableColumn id="10455" xr3:uid="{B5F49A8C-FF45-4BD6-900A-E13F44E70FAA}" name="Column10424"/>
    <tableColumn id="10456" xr3:uid="{BEEDF6E9-B460-4F6E-B0D2-0BA30FA9C94C}" name="Column10425"/>
    <tableColumn id="10457" xr3:uid="{121C2A46-2D0C-4A6D-99BD-614CBFFC3BBC}" name="Column10426"/>
    <tableColumn id="10458" xr3:uid="{5E3D5C7B-D465-4E6A-9FA6-7338FF8148BC}" name="Column10427"/>
    <tableColumn id="10459" xr3:uid="{24DFA92F-C544-41D2-A1BF-0FD0ED6FA874}" name="Column10428"/>
    <tableColumn id="10460" xr3:uid="{629D6131-2E7C-483F-AF92-641441A585E1}" name="Column10429"/>
    <tableColumn id="10461" xr3:uid="{49787661-AF53-4408-854E-70ADDBD80EC5}" name="Column10430"/>
    <tableColumn id="10462" xr3:uid="{175F031A-CE27-4C35-BB0A-0570D465D4AB}" name="Column10431"/>
    <tableColumn id="10463" xr3:uid="{CE61F4A5-B793-4072-92D3-EEF845EEAF34}" name="Column10432"/>
    <tableColumn id="10464" xr3:uid="{B2F30248-6996-4210-A765-6A0C2575C581}" name="Column10433"/>
    <tableColumn id="10465" xr3:uid="{6262A3B4-1720-49D0-A3DA-E68CA8AA9812}" name="Column10434"/>
    <tableColumn id="10466" xr3:uid="{8FC36989-3B2A-4808-B0C2-8359A489C413}" name="Column10435"/>
    <tableColumn id="10467" xr3:uid="{2FA2D5F5-01C0-492E-8950-C4B1F8077034}" name="Column10436"/>
    <tableColumn id="10468" xr3:uid="{5F5107B1-3957-4F28-B7C9-FF71F70574FA}" name="Column10437"/>
    <tableColumn id="10469" xr3:uid="{0DF04305-11ED-497E-A75F-079096AD45AB}" name="Column10438"/>
    <tableColumn id="10470" xr3:uid="{2E3D7399-A152-4E4B-801C-127E3C973E89}" name="Column10439"/>
    <tableColumn id="10471" xr3:uid="{067C7C1D-967A-47D7-AECD-97D7D5058417}" name="Column10440"/>
    <tableColumn id="10472" xr3:uid="{A9CB5F4C-0D04-4B00-B3D4-21009BD06B76}" name="Column10441"/>
    <tableColumn id="10473" xr3:uid="{83E045EB-2372-4D5D-AD75-4051BCC07881}" name="Column10442"/>
    <tableColumn id="10474" xr3:uid="{1C85D82E-1E16-4296-A68D-8D4FA85ABB0D}" name="Column10443"/>
    <tableColumn id="10475" xr3:uid="{9CFEC7EB-D757-473D-B515-E5A49227F333}" name="Column10444"/>
    <tableColumn id="10476" xr3:uid="{5EEAFC8F-A56D-489F-BCCD-769289173E43}" name="Column10445"/>
    <tableColumn id="10477" xr3:uid="{1F59504B-164C-4BD1-92AF-646B8769CC03}" name="Column10446"/>
    <tableColumn id="10478" xr3:uid="{3368210C-557D-41E1-B7CD-3DD97C3B103F}" name="Column10447"/>
    <tableColumn id="10479" xr3:uid="{CD50145C-5D27-495B-9952-A83C5D5EFA5A}" name="Column10448"/>
    <tableColumn id="10480" xr3:uid="{744B038C-A4FF-46DE-8422-0A3C1689C9AB}" name="Column10449"/>
    <tableColumn id="10481" xr3:uid="{8373DA94-98ED-4E95-AAD5-AA6922A09866}" name="Column10450"/>
    <tableColumn id="10482" xr3:uid="{8D7CBEC6-B32F-4A5F-AA58-CD1A14B826AC}" name="Column10451"/>
    <tableColumn id="10483" xr3:uid="{84A96CE5-B7AB-47FA-8D16-F673981EA402}" name="Column10452"/>
    <tableColumn id="10484" xr3:uid="{3EE01FD8-D27E-4CF8-BD8B-2D31E292DD6E}" name="Column10453"/>
    <tableColumn id="10485" xr3:uid="{AAA8DCF9-FBF1-45E5-8324-87E35C719676}" name="Column10454"/>
    <tableColumn id="10486" xr3:uid="{E4EE248F-CDF8-448A-93E4-1AE885982DF9}" name="Column10455"/>
    <tableColumn id="10487" xr3:uid="{0AD1ABA4-1100-42F5-AA74-1D6C5F8DB442}" name="Column10456"/>
    <tableColumn id="10488" xr3:uid="{D5DFA2DA-46D8-4DF4-9B3E-87E1515E6F37}" name="Column10457"/>
    <tableColumn id="10489" xr3:uid="{BB0E8059-8A42-42B1-B945-6455D6F57F18}" name="Column10458"/>
    <tableColumn id="10490" xr3:uid="{495835E0-4000-4AC3-8899-773A2154EE6B}" name="Column10459"/>
    <tableColumn id="10491" xr3:uid="{D9BAAD20-293E-492E-9D90-935DFBBDDF41}" name="Column10460"/>
    <tableColumn id="10492" xr3:uid="{21646EAE-3B29-47AC-9ED1-AEDD79D8DDAB}" name="Column10461"/>
    <tableColumn id="10493" xr3:uid="{A64B9CBF-63A8-499B-88AE-E966871DC7B5}" name="Column10462"/>
    <tableColumn id="10494" xr3:uid="{7BA15BC0-7F13-463E-8D7B-83CB8DC51352}" name="Column10463"/>
    <tableColumn id="10495" xr3:uid="{AF44D133-30CA-464F-9882-833B4B81C3D9}" name="Column10464"/>
    <tableColumn id="10496" xr3:uid="{85EF56D0-4E26-4E13-872E-5ECE5D7611A8}" name="Column10465"/>
    <tableColumn id="10497" xr3:uid="{5093D91B-F688-4843-B5CF-41CE20089093}" name="Column10466"/>
    <tableColumn id="10498" xr3:uid="{8540A04E-80DD-4E8B-BE31-4276134C6E44}" name="Column10467"/>
    <tableColumn id="10499" xr3:uid="{E1006634-6344-4DCD-9ACA-B6B7D0F547CE}" name="Column10468"/>
    <tableColumn id="10500" xr3:uid="{6282860E-80B5-4085-93BB-E886CA312E12}" name="Column10469"/>
    <tableColumn id="10501" xr3:uid="{24F6D8E9-7614-4094-A508-568A7AB101FC}" name="Column10470"/>
    <tableColumn id="10502" xr3:uid="{01482CB4-6D43-46BC-86FB-5D194FD8ACFA}" name="Column10471"/>
    <tableColumn id="10503" xr3:uid="{D1FCFDD3-0BDB-4F9C-9808-AD15CE238000}" name="Column10472"/>
    <tableColumn id="10504" xr3:uid="{955CB839-0800-414F-825E-5E7F800B9061}" name="Column10473"/>
    <tableColumn id="10505" xr3:uid="{ABDAA6F7-0620-4BFF-AB6F-871BC4C80383}" name="Column10474"/>
    <tableColumn id="10506" xr3:uid="{AB6AFB5F-CF92-4F03-A4BC-2CC40257A1F4}" name="Column10475"/>
    <tableColumn id="10507" xr3:uid="{DD99BFE6-9390-4231-B2D6-19F562E92775}" name="Column10476"/>
    <tableColumn id="10508" xr3:uid="{1DD3F4A2-BF75-4BDC-8D15-797C7D959E77}" name="Column10477"/>
    <tableColumn id="10509" xr3:uid="{D7D50C77-12D5-4EF1-82F8-0EA51DCBAEBD}" name="Column10478"/>
    <tableColumn id="10510" xr3:uid="{519D6C68-41BE-4B05-ADA2-5ADE086BDC5A}" name="Column10479"/>
    <tableColumn id="10511" xr3:uid="{AC17EDC5-6A4E-4B17-A98E-01C542559948}" name="Column10480"/>
    <tableColumn id="10512" xr3:uid="{72EC87ED-2EA1-435E-874C-DB99D3A9903D}" name="Column10481"/>
    <tableColumn id="10513" xr3:uid="{75B6FEC8-1B08-403C-BF6E-CF1BD4573999}" name="Column10482"/>
    <tableColumn id="10514" xr3:uid="{22A0854A-D2A4-49DF-BCA0-788E19C814C1}" name="Column10483"/>
    <tableColumn id="10515" xr3:uid="{9BE68425-902E-4919-B0C9-79C675CC14EE}" name="Column10484"/>
    <tableColumn id="10516" xr3:uid="{1BDDDD47-CCA0-43C3-A84C-31A9FA109909}" name="Column10485"/>
    <tableColumn id="10517" xr3:uid="{B7DB35A8-F04E-43CF-9E59-79217876BF87}" name="Column10486"/>
    <tableColumn id="10518" xr3:uid="{F03348AE-D70A-4240-87D5-9579759A69D7}" name="Column10487"/>
    <tableColumn id="10519" xr3:uid="{D9AB49EE-85C9-4E16-BA2D-32C7EFF4C7F4}" name="Column10488"/>
    <tableColumn id="10520" xr3:uid="{69176581-BF6F-4F44-83A9-C329F6433222}" name="Column10489"/>
    <tableColumn id="10521" xr3:uid="{97A08997-6B5D-49B6-A658-5AC766C95F97}" name="Column10490"/>
    <tableColumn id="10522" xr3:uid="{1C162A81-21AC-4148-9CCE-8D7F03B8C11D}" name="Column10491"/>
    <tableColumn id="10523" xr3:uid="{F9CAC6E4-C9A1-4DCB-BD71-B39CB1BE7B6B}" name="Column10492"/>
    <tableColumn id="10524" xr3:uid="{3700B2CD-4502-447C-AAEF-2F17D1E3C182}" name="Column10493"/>
    <tableColumn id="10525" xr3:uid="{0D46F202-A2A3-44B7-BF05-B1ECEC42604D}" name="Column10494"/>
    <tableColumn id="10526" xr3:uid="{4ED90868-A69B-4AA5-BDA9-018AA624489C}" name="Column10495"/>
    <tableColumn id="10527" xr3:uid="{C6AF0A9F-22B8-4540-9DE4-BDB1741DD8A9}" name="Column10496"/>
    <tableColumn id="10528" xr3:uid="{B4695003-F5B0-487D-9D05-6E86D972FAAD}" name="Column10497"/>
    <tableColumn id="10529" xr3:uid="{8003AE2E-30D6-47FD-8CFA-76A5BBF33341}" name="Column10498"/>
    <tableColumn id="10530" xr3:uid="{23595FEC-0E75-460E-B3CE-C07D16298B9B}" name="Column10499"/>
    <tableColumn id="10531" xr3:uid="{29AA47FD-4F2E-4905-9811-8D8F7296E688}" name="Column10500"/>
    <tableColumn id="10532" xr3:uid="{95F4DAD7-1849-4168-8371-143472749086}" name="Column10501"/>
    <tableColumn id="10533" xr3:uid="{E59A45C4-2DEA-474D-9205-85CEA9649DA4}" name="Column10502"/>
    <tableColumn id="10534" xr3:uid="{2C1EE1F2-C95F-47F1-B7F4-858DCDE3983D}" name="Column10503"/>
    <tableColumn id="10535" xr3:uid="{F74D1EA8-DBC4-4FCE-8B87-9714D43058C8}" name="Column10504"/>
    <tableColumn id="10536" xr3:uid="{B9341792-B45D-4049-BB9F-78D7F4BA5306}" name="Column10505"/>
    <tableColumn id="10537" xr3:uid="{5860ECEF-EFD2-46D2-A160-F3EF382CB388}" name="Column10506"/>
    <tableColumn id="10538" xr3:uid="{F01C7E68-CF27-410D-B3D9-886E920983B2}" name="Column10507"/>
    <tableColumn id="10539" xr3:uid="{592EADB9-E721-4B40-8ACC-E8FF138C101B}" name="Column10508"/>
    <tableColumn id="10540" xr3:uid="{A79176FB-A6F5-4CB4-890F-7D4D72496DE9}" name="Column10509"/>
    <tableColumn id="10541" xr3:uid="{DA8DBF15-B66A-40E2-AAF2-D87E8BD21474}" name="Column10510"/>
    <tableColumn id="10542" xr3:uid="{A0209FCA-44D5-4976-AAD5-8FA21AB20A82}" name="Column10511"/>
    <tableColumn id="10543" xr3:uid="{529280CC-D940-4EF8-9DE8-62C8D19977A1}" name="Column10512"/>
    <tableColumn id="10544" xr3:uid="{8E4AD8B4-CE1E-478F-8979-DBC709A27043}" name="Column10513"/>
    <tableColumn id="10545" xr3:uid="{F63FF981-C48C-486E-9932-62DBA3FD20E6}" name="Column10514"/>
    <tableColumn id="10546" xr3:uid="{797883EA-9733-4DF1-A83C-800044410141}" name="Column10515"/>
    <tableColumn id="10547" xr3:uid="{6272EC52-9A85-424B-882D-4BE2254B619C}" name="Column10516"/>
    <tableColumn id="10548" xr3:uid="{F6878004-F5CF-4758-B03A-0E5284E840F8}" name="Column10517"/>
    <tableColumn id="10549" xr3:uid="{7C3EE8D3-2983-4BE4-BBD6-7F4751A77E5E}" name="Column10518"/>
    <tableColumn id="10550" xr3:uid="{B6CE69D7-345D-4414-8A73-1DF9C9722755}" name="Column10519"/>
    <tableColumn id="10551" xr3:uid="{3781FCAC-BAEA-4745-B9D4-778F440B68C1}" name="Column10520"/>
    <tableColumn id="10552" xr3:uid="{36E388CB-3EC8-4C09-AA3A-95E61D2458E8}" name="Column10521"/>
    <tableColumn id="10553" xr3:uid="{4C9C0FA2-71F3-4833-9388-7D86C712D8AB}" name="Column10522"/>
    <tableColumn id="10554" xr3:uid="{DA71357B-064E-4EA0-826C-697F80565512}" name="Column10523"/>
    <tableColumn id="10555" xr3:uid="{48357BB2-319A-442B-B1DF-3315083264E8}" name="Column10524"/>
    <tableColumn id="10556" xr3:uid="{EC7A6F82-8B3D-43F4-8364-421DBC0C3FBD}" name="Column10525"/>
    <tableColumn id="10557" xr3:uid="{A2D3B288-7F30-45FA-B4FE-5282F77DEA5C}" name="Column10526"/>
    <tableColumn id="10558" xr3:uid="{A7896E80-362B-481B-BD01-A4B89FCCF094}" name="Column10527"/>
    <tableColumn id="10559" xr3:uid="{1CB00F3A-BE13-437E-8EC4-6A01ECBA3C89}" name="Column10528"/>
    <tableColumn id="10560" xr3:uid="{45CD0201-4E7A-4876-B682-B1421CA4427F}" name="Column10529"/>
    <tableColumn id="10561" xr3:uid="{4498B76A-DDEA-4F0E-96F1-254A5FB9E21E}" name="Column10530"/>
    <tableColumn id="10562" xr3:uid="{11090C74-2A7A-456E-8FCB-0C5ADE742509}" name="Column10531"/>
    <tableColumn id="10563" xr3:uid="{692E6243-24DB-4923-B79B-9E810DEDCB6A}" name="Column10532"/>
    <tableColumn id="10564" xr3:uid="{F6F3E1FA-2DCC-47B4-8118-F00FEAC79B9F}" name="Column10533"/>
    <tableColumn id="10565" xr3:uid="{691454B5-CE4F-4D08-BD91-8EFD02D4B714}" name="Column10534"/>
    <tableColumn id="10566" xr3:uid="{965AECB3-00BC-4D37-86E6-9ED6A464BF8A}" name="Column10535"/>
    <tableColumn id="10567" xr3:uid="{C62B54A6-9093-499F-90FC-55D773801DFE}" name="Column10536"/>
    <tableColumn id="10568" xr3:uid="{855A3B7F-B0EE-464F-ACD3-A460D24D78DB}" name="Column10537"/>
    <tableColumn id="10569" xr3:uid="{7746EA0E-C091-4EDA-933C-D9CD5C22B916}" name="Column10538"/>
    <tableColumn id="10570" xr3:uid="{5010D4E5-A241-4796-B638-C31CDA8BEF53}" name="Column10539"/>
    <tableColumn id="10571" xr3:uid="{489C623B-DFF7-4A43-80A5-105F2AA790E8}" name="Column10540"/>
    <tableColumn id="10572" xr3:uid="{CDA496B6-DC5B-44FC-AC72-B69C959C05D8}" name="Column10541"/>
    <tableColumn id="10573" xr3:uid="{31830C68-96E0-44FD-AA26-64BA9BCBA08A}" name="Column10542"/>
    <tableColumn id="10574" xr3:uid="{D9B48E68-FE49-4674-B641-058824FBD837}" name="Column10543"/>
    <tableColumn id="10575" xr3:uid="{06168087-0699-4D30-BC1A-1AC44A9490FB}" name="Column10544"/>
    <tableColumn id="10576" xr3:uid="{405D874B-5CF3-4044-9845-48E0D6CB15FB}" name="Column10545"/>
    <tableColumn id="10577" xr3:uid="{D9EC282C-817A-4DA7-8989-7B1F83E660E8}" name="Column10546"/>
    <tableColumn id="10578" xr3:uid="{606CC5EC-E00C-405F-9753-C9C3E05A53D8}" name="Column10547"/>
    <tableColumn id="10579" xr3:uid="{BC94283B-EECE-419A-A6D3-C576B376AF80}" name="Column10548"/>
    <tableColumn id="10580" xr3:uid="{F87C00D5-4771-47ED-B583-BA38C913E341}" name="Column10549"/>
    <tableColumn id="10581" xr3:uid="{35B2E6B3-263D-49E7-9005-40A56D79B960}" name="Column10550"/>
    <tableColumn id="10582" xr3:uid="{6A0F0751-0F1F-4B62-8D7E-CEF481EEFFCC}" name="Column10551"/>
    <tableColumn id="10583" xr3:uid="{B4784C1C-7518-4BD9-847D-4837B6496167}" name="Column10552"/>
    <tableColumn id="10584" xr3:uid="{B96E66F3-B1A1-4BD6-AF2D-AD0F19FEC305}" name="Column10553"/>
    <tableColumn id="10585" xr3:uid="{B962CB49-6D46-4A46-AB71-6B85A100F09D}" name="Column10554"/>
    <tableColumn id="10586" xr3:uid="{8CE5175E-0B1E-46E6-85E1-BD4164A384D9}" name="Column10555"/>
    <tableColumn id="10587" xr3:uid="{FC14794D-DDFE-44CA-83D5-E085062B043D}" name="Column10556"/>
    <tableColumn id="10588" xr3:uid="{9C7ABDE6-AF8F-4B42-9D28-143378D5C928}" name="Column10557"/>
    <tableColumn id="10589" xr3:uid="{6E7A9163-203D-40D9-942B-3484807BD8C4}" name="Column10558"/>
    <tableColumn id="10590" xr3:uid="{D1208056-5D39-4466-8EBC-19B3FFFFC1AD}" name="Column10559"/>
    <tableColumn id="10591" xr3:uid="{54971E06-933E-4455-8F42-3B5A440AC036}" name="Column10560"/>
    <tableColumn id="10592" xr3:uid="{FBAC4453-CB96-4166-A932-BDBBD859BE80}" name="Column10561"/>
    <tableColumn id="10593" xr3:uid="{08A5D863-A23C-48F3-B0B4-AD6D6534159B}" name="Column10562"/>
    <tableColumn id="10594" xr3:uid="{D7BA5173-BE60-48B2-AB64-EE9A1053AC27}" name="Column10563"/>
    <tableColumn id="10595" xr3:uid="{AE80E2D2-6726-48E7-9C29-73E7AD2CCE57}" name="Column10564"/>
    <tableColumn id="10596" xr3:uid="{E84AD85F-D1EE-449F-8334-821186FBA181}" name="Column10565"/>
    <tableColumn id="10597" xr3:uid="{32591D6F-16B9-43DD-87DA-7430EDC09DD2}" name="Column10566"/>
    <tableColumn id="10598" xr3:uid="{F0A74F1D-2C12-47C2-BBF4-A90987E222C0}" name="Column10567"/>
    <tableColumn id="10599" xr3:uid="{7B2ECF3A-C49E-4C5F-A485-F38E69988E83}" name="Column10568"/>
    <tableColumn id="10600" xr3:uid="{9884ECDB-3CD6-4B6B-B030-687F19FFE34E}" name="Column10569"/>
    <tableColumn id="10601" xr3:uid="{F267EA92-9D2A-4390-9FB7-C33A017C64E7}" name="Column10570"/>
    <tableColumn id="10602" xr3:uid="{300D7B1A-FF75-4A6F-8AE4-20C508172462}" name="Column10571"/>
    <tableColumn id="10603" xr3:uid="{D3FFEC5C-E582-4BDD-9998-69578A3AA90B}" name="Column10572"/>
    <tableColumn id="10604" xr3:uid="{D2D895C0-F77A-479C-A5CE-26DF4101E061}" name="Column10573"/>
    <tableColumn id="10605" xr3:uid="{627368FF-1C27-4687-99AE-A162EABB7BEE}" name="Column10574"/>
    <tableColumn id="10606" xr3:uid="{97445BFF-0EDD-4016-97FA-136DE3588362}" name="Column10575"/>
    <tableColumn id="10607" xr3:uid="{EC59FE22-84D8-4451-BD59-1E4BA5C221AD}" name="Column10576"/>
    <tableColumn id="10608" xr3:uid="{4C5D0B32-E149-41B4-AA14-7DC17904CBD5}" name="Column10577"/>
    <tableColumn id="10609" xr3:uid="{04D3A546-45CE-4F09-907C-A0290A3F13B2}" name="Column10578"/>
    <tableColumn id="10610" xr3:uid="{E712D525-FF19-47A5-A781-345BE50A9C5A}" name="Column10579"/>
    <tableColumn id="10611" xr3:uid="{AE96487B-BA8D-47F8-93E4-138F1AC149B8}" name="Column10580"/>
    <tableColumn id="10612" xr3:uid="{7324E5B0-9B8A-4071-9FBA-692C1DBAB13C}" name="Column10581"/>
    <tableColumn id="10613" xr3:uid="{EBDC62CE-D1F3-4B6E-8A06-8A4338D503F4}" name="Column10582"/>
    <tableColumn id="10614" xr3:uid="{B611229A-6912-4CC6-B004-770C7E7C2236}" name="Column10583"/>
    <tableColumn id="10615" xr3:uid="{4E2865E8-9B3B-4942-90AB-2B8A0DE07A12}" name="Column10584"/>
    <tableColumn id="10616" xr3:uid="{5846416D-A1BC-48D8-9ABE-407E3EC77378}" name="Column10585"/>
    <tableColumn id="10617" xr3:uid="{E78447BA-8014-4A94-95FD-1E07D2C2613A}" name="Column10586"/>
    <tableColumn id="10618" xr3:uid="{77B8FC88-5D03-4B41-8253-F904A22D01A0}" name="Column10587"/>
    <tableColumn id="10619" xr3:uid="{78E634BD-8BE3-4B57-8C71-3596B013B202}" name="Column10588"/>
    <tableColumn id="10620" xr3:uid="{F2430928-F3B9-488F-889E-B4A29DAC8807}" name="Column10589"/>
    <tableColumn id="10621" xr3:uid="{426F346A-B581-48B7-B0BF-6E93F35D9FDA}" name="Column10590"/>
    <tableColumn id="10622" xr3:uid="{BFC348C8-0F3C-4BE0-9C25-2DA3CE507FE7}" name="Column10591"/>
    <tableColumn id="10623" xr3:uid="{9D912A02-9D47-4EAF-A8FE-3342F8016569}" name="Column10592"/>
    <tableColumn id="10624" xr3:uid="{428CE79F-8E60-43D9-9899-577E2D058158}" name="Column10593"/>
    <tableColumn id="10625" xr3:uid="{AB26B50B-F6AF-491A-B7DF-BDED4361C158}" name="Column10594"/>
    <tableColumn id="10626" xr3:uid="{AE7555CA-7286-4B03-A972-C3C4527B6E29}" name="Column10595"/>
    <tableColumn id="10627" xr3:uid="{2AA9B88C-E1D3-4925-91D7-BFB8B088B2F2}" name="Column10596"/>
    <tableColumn id="10628" xr3:uid="{D5EF727C-1621-4BAC-87AD-F16B1CD7CAF7}" name="Column10597"/>
    <tableColumn id="10629" xr3:uid="{116F2F76-1EDF-4D37-B7DE-3281DC9B9490}" name="Column10598"/>
    <tableColumn id="10630" xr3:uid="{FFCA994E-437A-4BEF-B673-C2B7CAF9720D}" name="Column10599"/>
    <tableColumn id="10631" xr3:uid="{933F6AAD-9165-4892-92C7-7DD58D753C4A}" name="Column10600"/>
    <tableColumn id="10632" xr3:uid="{A9364253-C68A-4534-8BBD-923D02C358EE}" name="Column10601"/>
    <tableColumn id="10633" xr3:uid="{4140C537-890A-44AB-9938-5A398086EBB6}" name="Column10602"/>
    <tableColumn id="10634" xr3:uid="{CAD9C054-FC76-4CE0-8155-98DF872733EE}" name="Column10603"/>
    <tableColumn id="10635" xr3:uid="{2641BDB9-AD44-41D2-847C-12530F600996}" name="Column10604"/>
    <tableColumn id="10636" xr3:uid="{FA9B1B54-F27B-4750-9BBD-11EC1D3F7427}" name="Column10605"/>
    <tableColumn id="10637" xr3:uid="{FC3CEDCF-18C9-41C1-B81E-28F3F63078C2}" name="Column10606"/>
    <tableColumn id="10638" xr3:uid="{B486E3D1-7757-4CE2-907C-6BA4F831CC3F}" name="Column10607"/>
    <tableColumn id="10639" xr3:uid="{094902A1-370A-478B-946D-FD6E4A422F9B}" name="Column10608"/>
    <tableColumn id="10640" xr3:uid="{32DD21C5-C742-46C0-AA07-6FA2C146EC92}" name="Column10609"/>
    <tableColumn id="10641" xr3:uid="{BCD3EDFD-2670-4098-98DF-14CCA9ADA327}" name="Column10610"/>
    <tableColumn id="10642" xr3:uid="{DDF6E172-9D30-4A5F-BB21-886B788379A4}" name="Column10611"/>
    <tableColumn id="10643" xr3:uid="{687401A5-4676-4F4B-999B-27E78D001DDD}" name="Column10612"/>
    <tableColumn id="10644" xr3:uid="{F9214B7B-A335-4423-98B9-D22F9AE27BE9}" name="Column10613"/>
    <tableColumn id="10645" xr3:uid="{BA852605-EEED-47DF-9E7F-DB98C8AC1A35}" name="Column10614"/>
    <tableColumn id="10646" xr3:uid="{F1688141-CA11-4D71-B3D0-CD4B687A74A4}" name="Column10615"/>
    <tableColumn id="10647" xr3:uid="{952C9402-FA9B-4903-A3BD-2DB2928C7476}" name="Column10616"/>
    <tableColumn id="10648" xr3:uid="{E7BE07F0-7DA2-4362-8E13-41B79677C018}" name="Column10617"/>
    <tableColumn id="10649" xr3:uid="{3DC17385-2882-4A40-AA10-466DC54CD1E7}" name="Column10618"/>
    <tableColumn id="10650" xr3:uid="{FDB45198-1E33-4BEF-AEE6-B6A1DCE8875F}" name="Column10619"/>
    <tableColumn id="10651" xr3:uid="{136B16FD-2F4B-43A0-A906-8555148FFA89}" name="Column10620"/>
    <tableColumn id="10652" xr3:uid="{276551A7-552F-4425-9588-5350F548C34C}" name="Column10621"/>
    <tableColumn id="10653" xr3:uid="{D8815F55-6618-4949-BB04-08A17D1036CE}" name="Column10622"/>
    <tableColumn id="10654" xr3:uid="{A477599B-68B4-4434-88A5-4C15260E7A27}" name="Column10623"/>
    <tableColumn id="10655" xr3:uid="{63967A53-06ED-4AB1-ADC2-B890ADAF1E54}" name="Column10624"/>
    <tableColumn id="10656" xr3:uid="{6576F3DF-38A7-4B27-B82F-8473E68E405A}" name="Column10625"/>
    <tableColumn id="10657" xr3:uid="{04194523-3639-4FF4-BC45-BE9967CE921A}" name="Column10626"/>
    <tableColumn id="10658" xr3:uid="{A0406C19-0777-4CF9-A7DA-E6D847CF38A8}" name="Column10627"/>
    <tableColumn id="10659" xr3:uid="{03BA9274-3705-464D-851A-6908351F53B0}" name="Column10628"/>
    <tableColumn id="10660" xr3:uid="{71BCA9A1-4633-4E92-900E-98DD30E5CF5F}" name="Column10629"/>
    <tableColumn id="10661" xr3:uid="{A23705EE-467F-4131-9687-68009CFEBC78}" name="Column10630"/>
    <tableColumn id="10662" xr3:uid="{48ED779B-0366-4038-B671-F04761699582}" name="Column10631"/>
    <tableColumn id="10663" xr3:uid="{D6F1FC5E-6369-4FCA-A344-069BEA666DCA}" name="Column10632"/>
    <tableColumn id="10664" xr3:uid="{C8E86B15-1B85-4F9E-BEC4-04CC29863F82}" name="Column10633"/>
    <tableColumn id="10665" xr3:uid="{DC2A8A66-D85D-4915-8D59-10F0577EF0C0}" name="Column10634"/>
    <tableColumn id="10666" xr3:uid="{8278FA5E-3045-49C5-BA4E-26F1F3369563}" name="Column10635"/>
    <tableColumn id="10667" xr3:uid="{7296CE88-0125-402A-9E90-BB29BB186D04}" name="Column10636"/>
    <tableColumn id="10668" xr3:uid="{E593F946-7705-4CBC-8506-AF516F2D5913}" name="Column10637"/>
    <tableColumn id="10669" xr3:uid="{61A5495E-05FF-4A0A-B6EE-90A81B07A056}" name="Column10638"/>
    <tableColumn id="10670" xr3:uid="{41E13CB8-F9ED-4A84-B190-02266BED9516}" name="Column10639"/>
    <tableColumn id="10671" xr3:uid="{BBC6B851-B7E6-46A5-ADBB-3E94F140BD0F}" name="Column10640"/>
    <tableColumn id="10672" xr3:uid="{B7C3D3A9-9985-44D6-BC92-0E720C9ECBEC}" name="Column10641"/>
    <tableColumn id="10673" xr3:uid="{101185B4-D673-421C-978F-09F4800349E0}" name="Column10642"/>
    <tableColumn id="10674" xr3:uid="{C5CEBF75-2CF2-4A9D-9635-BC11C7E9B8E2}" name="Column10643"/>
    <tableColumn id="10675" xr3:uid="{5BFBD857-08DC-47E9-B1F3-019A86ABC31C}" name="Column10644"/>
    <tableColumn id="10676" xr3:uid="{A740B9C9-64A3-48AF-9AE4-943C0927FB5D}" name="Column10645"/>
    <tableColumn id="10677" xr3:uid="{8A3597CC-644E-41D1-84E1-7215FD24F657}" name="Column10646"/>
    <tableColumn id="10678" xr3:uid="{596AEA93-76CB-46F3-99AD-D7C8A287DD81}" name="Column10647"/>
    <tableColumn id="10679" xr3:uid="{FBE5BBF7-2CEF-4E66-B1EF-93F1ABC99318}" name="Column10648"/>
    <tableColumn id="10680" xr3:uid="{CC49224F-D7C6-47DA-A369-F5681649A0CC}" name="Column10649"/>
    <tableColumn id="10681" xr3:uid="{FFA853DF-52CA-43B6-BD29-77D1CBBB28A2}" name="Column10650"/>
    <tableColumn id="10682" xr3:uid="{9B28F09B-864B-4A60-BF52-CBD1BAD6C871}" name="Column10651"/>
    <tableColumn id="10683" xr3:uid="{FA05D574-FB21-4424-87B2-C35B0A23A46C}" name="Column10652"/>
    <tableColumn id="10684" xr3:uid="{4D701502-C1EE-42AA-B51A-D54E2E28B9CC}" name="Column10653"/>
    <tableColumn id="10685" xr3:uid="{6EBB2A50-783A-4288-8478-5447C36AAF51}" name="Column10654"/>
    <tableColumn id="10686" xr3:uid="{7F3B388F-A440-42FF-962C-7562E62B1C7C}" name="Column10655"/>
    <tableColumn id="10687" xr3:uid="{9FC5E79A-878D-46A7-BC54-FA22685DBE4B}" name="Column10656"/>
    <tableColumn id="10688" xr3:uid="{84264233-DD3F-4BE5-BCE5-5139C2790F37}" name="Column10657"/>
    <tableColumn id="10689" xr3:uid="{38885AFE-B726-4793-A8B8-38D032E9F5F7}" name="Column10658"/>
    <tableColumn id="10690" xr3:uid="{F2666D04-B7F8-44AA-931C-DB850E7A0FD1}" name="Column10659"/>
    <tableColumn id="10691" xr3:uid="{DE85FC6F-8E12-46E1-83DA-C43834DE1AF9}" name="Column10660"/>
    <tableColumn id="10692" xr3:uid="{4C1DF1ED-4A08-4200-BC61-CC6505A47C73}" name="Column10661"/>
    <tableColumn id="10693" xr3:uid="{41D9B4E6-41C2-4EF3-8278-49168BF34C4D}" name="Column10662"/>
    <tableColumn id="10694" xr3:uid="{3505B05F-89B3-4ADC-81B5-CB8EE1B07711}" name="Column10663"/>
    <tableColumn id="10695" xr3:uid="{4C7B7009-0C25-41D1-894D-03238CF61DCF}" name="Column10664"/>
    <tableColumn id="10696" xr3:uid="{FA8CF1A3-67BC-4DD2-B69D-A9606EB6F7D2}" name="Column10665"/>
    <tableColumn id="10697" xr3:uid="{F96CBA76-6025-4A2E-9855-FFCA4FFC2700}" name="Column10666"/>
    <tableColumn id="10698" xr3:uid="{7F288E4A-00CB-4918-872F-B172D6F46090}" name="Column10667"/>
    <tableColumn id="10699" xr3:uid="{AFB8186C-D76C-4BFE-9AE9-57020E3FD1A0}" name="Column10668"/>
    <tableColumn id="10700" xr3:uid="{5BD0F9B5-A8F5-43CB-9136-F2A90D6FB9FC}" name="Column10669"/>
    <tableColumn id="10701" xr3:uid="{4EF8B5F0-24F6-45EA-873F-9EB8CD3E8415}" name="Column10670"/>
    <tableColumn id="10702" xr3:uid="{C3CE3DCC-7457-4EEC-8A28-3537442B7344}" name="Column10671"/>
    <tableColumn id="10703" xr3:uid="{BBE9048F-F220-484D-BF38-E4832AB1502B}" name="Column10672"/>
    <tableColumn id="10704" xr3:uid="{52CC085B-1713-460B-8503-9C09ADDB3BA3}" name="Column10673"/>
    <tableColumn id="10705" xr3:uid="{BBC45A6B-6395-43EE-BC4A-AF116C336093}" name="Column10674"/>
    <tableColumn id="10706" xr3:uid="{CAA081A8-83B5-4D7C-BB94-F9EDC765510A}" name="Column10675"/>
    <tableColumn id="10707" xr3:uid="{877B33C8-D367-4CE9-8405-04778AFC6B7F}" name="Column10676"/>
    <tableColumn id="10708" xr3:uid="{E400317E-1182-442D-B06C-209664617F7B}" name="Column10677"/>
    <tableColumn id="10709" xr3:uid="{5FD7A950-0A74-46ED-9EBB-7A15F28198AE}" name="Column10678"/>
    <tableColumn id="10710" xr3:uid="{F25ABDEA-FB50-46B9-BFDA-8D2D54C5C1A2}" name="Column10679"/>
    <tableColumn id="10711" xr3:uid="{DAE6256B-7638-4D39-AB51-58213E449E02}" name="Column10680"/>
    <tableColumn id="10712" xr3:uid="{963A5661-69A6-4D8E-89D5-7FD5C11B671E}" name="Column10681"/>
    <tableColumn id="10713" xr3:uid="{37583C87-BDD9-4BF0-9027-18458D80FE64}" name="Column10682"/>
    <tableColumn id="10714" xr3:uid="{B2B5EFA3-BCB9-4FCC-A024-C15E94E0F322}" name="Column10683"/>
    <tableColumn id="10715" xr3:uid="{D2867341-EA55-412D-BF46-0307B404AE96}" name="Column10684"/>
    <tableColumn id="10716" xr3:uid="{7DB0A4EE-2D52-49EE-8A46-9306E0E3244A}" name="Column10685"/>
    <tableColumn id="10717" xr3:uid="{8A0C00E0-EE94-4D96-880F-EB75C0A721C6}" name="Column10686"/>
    <tableColumn id="10718" xr3:uid="{CEDE187F-ECBC-4D60-B45F-3972F65E8C9B}" name="Column10687"/>
    <tableColumn id="10719" xr3:uid="{BCB8D849-405C-457C-968F-1EFCFAD46F35}" name="Column10688"/>
    <tableColumn id="10720" xr3:uid="{4739FE6E-CDD7-43D9-A532-891470A0C946}" name="Column10689"/>
    <tableColumn id="10721" xr3:uid="{D6FDF0E1-7FBE-4E5F-9C19-BDED5E1550EE}" name="Column10690"/>
    <tableColumn id="10722" xr3:uid="{7D7C791B-8BA5-4C03-B9D9-C184F7697A28}" name="Column10691"/>
    <tableColumn id="10723" xr3:uid="{536EC772-EC30-4818-B23B-4F89148317CB}" name="Column10692"/>
    <tableColumn id="10724" xr3:uid="{193ACD4D-0FE4-4CED-8CCF-B427CF316A1D}" name="Column10693"/>
    <tableColumn id="10725" xr3:uid="{551653D8-6210-4399-8C61-2A9F6E724740}" name="Column10694"/>
    <tableColumn id="10726" xr3:uid="{5D4E24AA-86EF-4A85-8898-359B6D2BCFAA}" name="Column10695"/>
    <tableColumn id="10727" xr3:uid="{1CB76A2A-BA36-4FAE-AE1E-79BFDB4C72C9}" name="Column10696"/>
    <tableColumn id="10728" xr3:uid="{017DBCB4-02C6-4E66-8C42-72570100736B}" name="Column10697"/>
    <tableColumn id="10729" xr3:uid="{C0E0FA4E-3B7F-46CB-87B3-FA6AEB6C5E1F}" name="Column10698"/>
    <tableColumn id="10730" xr3:uid="{2247D774-9FEE-4C80-95A2-AA491077E5E5}" name="Column10699"/>
    <tableColumn id="10731" xr3:uid="{61D7BAF4-3B6A-4BE8-AF69-2CEEA180D2C4}" name="Column10700"/>
    <tableColumn id="10732" xr3:uid="{D2267F17-18CA-4912-8D55-52A2B4640ABC}" name="Column10701"/>
    <tableColumn id="10733" xr3:uid="{FF003815-B0BE-4790-9A0C-6D40D9B67AF2}" name="Column10702"/>
    <tableColumn id="10734" xr3:uid="{BE716613-C65A-4D1E-8DE6-D19DFA5CE45C}" name="Column10703"/>
    <tableColumn id="10735" xr3:uid="{90386ADE-3424-4D72-9B60-D56EAFE2854F}" name="Column10704"/>
    <tableColumn id="10736" xr3:uid="{B28E3B63-384E-4D42-85EF-D0ADE60B9B2F}" name="Column10705"/>
    <tableColumn id="10737" xr3:uid="{49A9E2C4-640F-4D8C-8EF5-E4640F272317}" name="Column10706"/>
    <tableColumn id="10738" xr3:uid="{DAB5BF55-81D5-4912-B829-6ABD8918E13C}" name="Column10707"/>
    <tableColumn id="10739" xr3:uid="{5B4B30E4-A291-479B-9BD1-887BC4A09CBD}" name="Column10708"/>
    <tableColumn id="10740" xr3:uid="{9FBAA1CF-4B2A-4731-812C-CB13FF2682DA}" name="Column10709"/>
    <tableColumn id="10741" xr3:uid="{72605C5A-5D5C-423E-9DD0-68CE4B12836F}" name="Column10710"/>
    <tableColumn id="10742" xr3:uid="{0F0C0639-F6C2-46C2-983A-FB4AFDAC3823}" name="Column10711"/>
    <tableColumn id="10743" xr3:uid="{B6DAB0B8-742F-45B2-A637-75AF4A69BD90}" name="Column10712"/>
    <tableColumn id="10744" xr3:uid="{1A8CDD48-657C-4755-BBC5-05786DD3DFE1}" name="Column10713"/>
    <tableColumn id="10745" xr3:uid="{CC0860A1-FFA9-41DE-B3C3-7B71F13FA532}" name="Column10714"/>
    <tableColumn id="10746" xr3:uid="{5E405602-DAA9-4B89-92B1-348E948248E7}" name="Column10715"/>
    <tableColumn id="10747" xr3:uid="{80118812-4E9A-49E4-B664-3675BE07075B}" name="Column10716"/>
    <tableColumn id="10748" xr3:uid="{C6B85E0B-E0E8-4FC5-A382-704EEB715720}" name="Column10717"/>
    <tableColumn id="10749" xr3:uid="{9215A6BE-F802-4A94-8108-B5D09C6A64C1}" name="Column10718"/>
    <tableColumn id="10750" xr3:uid="{AF34695C-6A75-4CD1-B2EB-8FF131C747CA}" name="Column10719"/>
    <tableColumn id="10751" xr3:uid="{C214AEAE-F7D8-4BF2-BD1E-B94DC35693C6}" name="Column10720"/>
    <tableColumn id="10752" xr3:uid="{33F94CFE-2328-4817-ADFA-C906ADAF996A}" name="Column10721"/>
    <tableColumn id="10753" xr3:uid="{AC6BE7FD-86E5-4822-A5FB-1877C518486E}" name="Column10722"/>
    <tableColumn id="10754" xr3:uid="{BB462C59-4B8F-4C1A-A8F0-034A06C1C2C4}" name="Column10723"/>
    <tableColumn id="10755" xr3:uid="{FD0B5F72-0152-4F82-951F-73C98E38CC79}" name="Column10724"/>
    <tableColumn id="10756" xr3:uid="{79F0DC40-A3D2-4918-8F74-2B83F5F6D66C}" name="Column10725"/>
    <tableColumn id="10757" xr3:uid="{23A86B4A-E35A-4287-8579-1D3DE1810E85}" name="Column10726"/>
    <tableColumn id="10758" xr3:uid="{36937C04-CBB4-4C96-B0BB-221DF104376D}" name="Column10727"/>
    <tableColumn id="10759" xr3:uid="{907C6276-E027-439C-A6EC-7A52F0A5B01F}" name="Column10728"/>
    <tableColumn id="10760" xr3:uid="{551663EE-7766-40F0-99DA-B471338F6144}" name="Column10729"/>
    <tableColumn id="10761" xr3:uid="{8FFCBB68-9D86-490A-84F8-9F14131537A2}" name="Column10730"/>
    <tableColumn id="10762" xr3:uid="{6F429A60-630C-4D27-8F30-F16FC5A31897}" name="Column10731"/>
    <tableColumn id="10763" xr3:uid="{92281051-038D-4333-B95C-64CE0DD43E2E}" name="Column10732"/>
    <tableColumn id="10764" xr3:uid="{673B83A0-926C-4B36-9238-7A0A69B76036}" name="Column10733"/>
    <tableColumn id="10765" xr3:uid="{0DE158F7-D560-41CF-AED0-F9CE1728CF35}" name="Column10734"/>
    <tableColumn id="10766" xr3:uid="{6BF67BE5-3485-4C3F-BDB6-DA1A0F448C29}" name="Column10735"/>
    <tableColumn id="10767" xr3:uid="{BB969DCB-1857-473C-A310-6DF58891640D}" name="Column10736"/>
    <tableColumn id="10768" xr3:uid="{C99EB921-EDB5-4EC7-829F-C6A6F53C8964}" name="Column10737"/>
    <tableColumn id="10769" xr3:uid="{8C176FF1-6E0E-408F-BD3F-C3DC52564252}" name="Column10738"/>
    <tableColumn id="10770" xr3:uid="{03E3326B-4E4B-422F-9939-128A3057334F}" name="Column10739"/>
    <tableColumn id="10771" xr3:uid="{8A618CE1-D2DD-4DC2-827E-5317E912EECC}" name="Column10740"/>
    <tableColumn id="10772" xr3:uid="{0F0806CB-1951-4AEE-9E0E-2E0765AB4FAC}" name="Column10741"/>
    <tableColumn id="10773" xr3:uid="{F4CCF355-817F-42E4-9C11-0043761C2075}" name="Column10742"/>
    <tableColumn id="10774" xr3:uid="{9FDF481A-3101-4A92-AF76-EA9E98E39C7B}" name="Column10743"/>
    <tableColumn id="10775" xr3:uid="{DAFA8B94-8345-47D7-8DC9-1F98F029CB40}" name="Column10744"/>
    <tableColumn id="10776" xr3:uid="{712D4AE2-2D51-4BDC-85F1-E42AB159CEE3}" name="Column10745"/>
    <tableColumn id="10777" xr3:uid="{2C1C2D86-8505-44F1-AE3F-8D9B3D87D31E}" name="Column10746"/>
    <tableColumn id="10778" xr3:uid="{7C01EF3B-A82A-45CA-9FD7-AF481B034FAC}" name="Column10747"/>
    <tableColumn id="10779" xr3:uid="{A0D65199-2F01-4EC2-954A-FF82FF0051BC}" name="Column10748"/>
    <tableColumn id="10780" xr3:uid="{65C4C32B-F893-4B7C-8E55-B5E38452FD88}" name="Column10749"/>
    <tableColumn id="10781" xr3:uid="{89184E86-FB88-43FC-B0AC-B38FB03CDC08}" name="Column10750"/>
    <tableColumn id="10782" xr3:uid="{FF142134-4715-4302-B6D8-0B2D41F5F292}" name="Column10751"/>
    <tableColumn id="10783" xr3:uid="{CE80AFDB-18BF-4C57-8A08-7ED08BA77E2B}" name="Column10752"/>
    <tableColumn id="10784" xr3:uid="{BC74CF41-D748-43EA-8314-DEE5809E1F29}" name="Column10753"/>
    <tableColumn id="10785" xr3:uid="{915D180D-D95F-4E18-BE49-EF5352E202F1}" name="Column10754"/>
    <tableColumn id="10786" xr3:uid="{1F4E586C-82BB-4A9C-9C5B-051AB4E46A45}" name="Column10755"/>
    <tableColumn id="10787" xr3:uid="{7F8E8A55-CBCE-4BD4-AA5B-20A0A1A211E3}" name="Column10756"/>
    <tableColumn id="10788" xr3:uid="{557C2C4A-5173-40CA-BA21-EA944EA33137}" name="Column10757"/>
    <tableColumn id="10789" xr3:uid="{93634761-8617-4C02-AF39-24A0DD916651}" name="Column10758"/>
    <tableColumn id="10790" xr3:uid="{CF90162E-0C73-46E9-A14E-6E312CEFC96E}" name="Column10759"/>
    <tableColumn id="10791" xr3:uid="{DCD319D9-D12B-467B-AFDB-5ADCA9DD58F7}" name="Column10760"/>
    <tableColumn id="10792" xr3:uid="{F3E352D4-B10D-4EAB-944D-4209BD4D1F72}" name="Column10761"/>
    <tableColumn id="10793" xr3:uid="{16C4A7EA-0F00-4A51-94A6-D2293D497F91}" name="Column10762"/>
    <tableColumn id="10794" xr3:uid="{9CD7FB6E-F4DB-452B-BB7A-05049EBF556A}" name="Column10763"/>
    <tableColumn id="10795" xr3:uid="{1E227CDC-E93E-4836-8CBA-E32175EC8657}" name="Column10764"/>
    <tableColumn id="10796" xr3:uid="{216E4FFC-191A-403C-94EC-3BC0A19FA0DB}" name="Column10765"/>
    <tableColumn id="10797" xr3:uid="{25B6E1C5-3273-4A62-BEB4-2E76283EFA0B}" name="Column10766"/>
    <tableColumn id="10798" xr3:uid="{85EE8F9A-F03B-4020-BF9B-EF69AAF17A2E}" name="Column10767"/>
    <tableColumn id="10799" xr3:uid="{DE7C75A1-4223-4F27-8BDD-49B683E544A4}" name="Column10768"/>
    <tableColumn id="10800" xr3:uid="{DC441445-9062-419A-8245-F77E4C842773}" name="Column10769"/>
    <tableColumn id="10801" xr3:uid="{91299095-742A-4322-90FA-623A95F7887E}" name="Column10770"/>
    <tableColumn id="10802" xr3:uid="{2837E79D-5879-4480-AB3E-472510A51A1A}" name="Column10771"/>
    <tableColumn id="10803" xr3:uid="{F1DE1648-6E3A-47AE-B4AE-41D95DAB7F2F}" name="Column10772"/>
    <tableColumn id="10804" xr3:uid="{DF9738FC-AA92-4865-B5E4-9C422FEE7C67}" name="Column10773"/>
    <tableColumn id="10805" xr3:uid="{56069070-D60C-45DE-A50C-BE81BE40D075}" name="Column10774"/>
    <tableColumn id="10806" xr3:uid="{D19AFF24-C9F1-4A5C-B0C3-F1AB8CE7CFA8}" name="Column10775"/>
    <tableColumn id="10807" xr3:uid="{28D12503-9FA7-4D4E-AA18-31F3BF241A9E}" name="Column10776"/>
    <tableColumn id="10808" xr3:uid="{903D8CFB-07E2-48D0-B74A-69BEE43ED99C}" name="Column10777"/>
    <tableColumn id="10809" xr3:uid="{386E4D0F-909B-4F15-BF5D-7F1914521350}" name="Column10778"/>
    <tableColumn id="10810" xr3:uid="{A9B9AA42-1195-4EE8-B324-14D97A0D9F95}" name="Column10779"/>
    <tableColumn id="10811" xr3:uid="{F99AF897-6D74-4609-A6E4-9EF2421DDFED}" name="Column10780"/>
    <tableColumn id="10812" xr3:uid="{8C18F84A-D422-4087-9C27-F72C01518C5E}" name="Column10781"/>
    <tableColumn id="10813" xr3:uid="{FC241949-C603-4AB5-9CA1-664AA4F2CD0F}" name="Column10782"/>
    <tableColumn id="10814" xr3:uid="{F72D8C2E-EED9-4E63-A421-B9C15F23AF5F}" name="Column10783"/>
    <tableColumn id="10815" xr3:uid="{A1C24F6E-2E39-442F-8991-C54FCC545F3E}" name="Column10784"/>
    <tableColumn id="10816" xr3:uid="{0F1097F8-AA03-4578-8308-244C91DFAD68}" name="Column10785"/>
    <tableColumn id="10817" xr3:uid="{19179AED-E720-4F90-B5E5-EC9F6A4EB59F}" name="Column10786"/>
    <tableColumn id="10818" xr3:uid="{81FA50BB-D221-411A-94AA-9944D88947F5}" name="Column10787"/>
    <tableColumn id="10819" xr3:uid="{035EE260-F6EA-4518-BBBA-E176D44316F5}" name="Column10788"/>
    <tableColumn id="10820" xr3:uid="{1D0F3446-51D8-4E8A-8782-24CDC0A97DC8}" name="Column10789"/>
    <tableColumn id="10821" xr3:uid="{D1E8C7A6-46B8-4E86-B64C-A7B8193771CA}" name="Column10790"/>
    <tableColumn id="10822" xr3:uid="{B5C5DECD-DC79-4637-815D-11927E77F1BC}" name="Column10791"/>
    <tableColumn id="10823" xr3:uid="{AB9B4239-1DFA-4FDD-AEB2-0A6F8F72CD2D}" name="Column10792"/>
    <tableColumn id="10824" xr3:uid="{27FEFCC3-DB4E-4AF6-AED6-E7F1987FC657}" name="Column10793"/>
    <tableColumn id="10825" xr3:uid="{D7B3DDE8-A6A1-4194-B46B-9568C7BF9FED}" name="Column10794"/>
    <tableColumn id="10826" xr3:uid="{3A2B4EC8-A5B6-447E-8AB5-C918A653B710}" name="Column10795"/>
    <tableColumn id="10827" xr3:uid="{B28458A1-5901-45CF-9E57-18C0CAB6B5F8}" name="Column10796"/>
    <tableColumn id="10828" xr3:uid="{05A9FE8E-58CC-4766-A053-F7D42EA519DF}" name="Column10797"/>
    <tableColumn id="10829" xr3:uid="{0CB4D393-E1E0-429C-BDF1-5C70CE2BE14A}" name="Column10798"/>
    <tableColumn id="10830" xr3:uid="{E43292CD-DFC2-4A66-90AF-1702CBBB1130}" name="Column10799"/>
    <tableColumn id="10831" xr3:uid="{9C2ED899-4A71-4495-B94D-AA725AC57C4A}" name="Column10800"/>
    <tableColumn id="10832" xr3:uid="{C8378503-9B99-4B55-877D-965C87C0E51B}" name="Column10801"/>
    <tableColumn id="10833" xr3:uid="{AEDCF605-DB5F-4981-B9BE-3B0BA8CCAAD6}" name="Column10802"/>
    <tableColumn id="10834" xr3:uid="{9576E428-2CF8-4315-B81C-CF9A57474B9B}" name="Column10803"/>
    <tableColumn id="10835" xr3:uid="{82C6594C-6F01-4B0C-83A9-B03A160D0923}" name="Column10804"/>
    <tableColumn id="10836" xr3:uid="{910BE2A5-2949-42CB-8AB7-B84B75BD3BF3}" name="Column10805"/>
    <tableColumn id="10837" xr3:uid="{9FED96F0-D464-4EFA-B5E6-FB639F0BAB29}" name="Column10806"/>
    <tableColumn id="10838" xr3:uid="{EB8AB563-0E9F-4EA6-B4EF-08B61BEDCCF5}" name="Column10807"/>
    <tableColumn id="10839" xr3:uid="{84E9825C-EDF4-4E1B-AE61-8D635E1A1A44}" name="Column10808"/>
    <tableColumn id="10840" xr3:uid="{AC89B96D-1D83-4760-928B-8588BB27B2EA}" name="Column10809"/>
    <tableColumn id="10841" xr3:uid="{F9FA78E2-D617-41E1-BAAA-24FE5563CC31}" name="Column10810"/>
    <tableColumn id="10842" xr3:uid="{406C7BC0-BEC2-49A1-8F0C-DCD950CD1AAB}" name="Column10811"/>
    <tableColumn id="10843" xr3:uid="{414D83CF-A4B9-4875-927B-6940AC421346}" name="Column10812"/>
    <tableColumn id="10844" xr3:uid="{21B5AE9B-B926-4B58-9E91-4E1FB3CD9BCA}" name="Column10813"/>
    <tableColumn id="10845" xr3:uid="{33B35E73-2076-49CB-AF6C-E532EDFEB8FA}" name="Column10814"/>
    <tableColumn id="10846" xr3:uid="{92B7856F-6152-42DD-81E4-87DCED729E12}" name="Column10815"/>
    <tableColumn id="10847" xr3:uid="{67754F5C-BF26-4508-9062-768C2A4B7ACE}" name="Column10816"/>
    <tableColumn id="10848" xr3:uid="{CFE23522-2974-4529-AE3A-DE1E7FBDD09D}" name="Column10817"/>
    <tableColumn id="10849" xr3:uid="{843F0BE8-F081-48A9-B65B-4FF30F469140}" name="Column10818"/>
    <tableColumn id="10850" xr3:uid="{D2ECF3E7-C195-4652-82CA-314483A086DE}" name="Column10819"/>
    <tableColumn id="10851" xr3:uid="{8EBFB3DA-F97A-4759-A6FD-00193707880F}" name="Column10820"/>
    <tableColumn id="10852" xr3:uid="{0F7564AE-E5A2-4017-9B2D-340DADFF5DE8}" name="Column10821"/>
    <tableColumn id="10853" xr3:uid="{DA124276-44CD-4708-9189-93DF219891B7}" name="Column10822"/>
    <tableColumn id="10854" xr3:uid="{C13583BC-A6E8-47A4-91D8-4837CC7F7758}" name="Column10823"/>
    <tableColumn id="10855" xr3:uid="{9AA76922-7629-4EF0-AA4F-327129D6B823}" name="Column10824"/>
    <tableColumn id="10856" xr3:uid="{506B47C7-C51E-4312-B184-E19EC9445155}" name="Column10825"/>
    <tableColumn id="10857" xr3:uid="{1E552302-9320-4F66-9AF7-02BBAE4418D9}" name="Column10826"/>
    <tableColumn id="10858" xr3:uid="{567CEC81-06C1-41B7-83C5-6D3CC293E610}" name="Column10827"/>
    <tableColumn id="10859" xr3:uid="{7CEE980A-4AD9-4785-A2FF-71F32D50372D}" name="Column10828"/>
    <tableColumn id="10860" xr3:uid="{B95770BE-4F59-4E9C-BE9B-3C87E882C9E8}" name="Column10829"/>
    <tableColumn id="10861" xr3:uid="{57C97BB0-A53C-450A-B04C-F2CDE01004F9}" name="Column10830"/>
    <tableColumn id="10862" xr3:uid="{1CB45155-E607-4123-825D-5D7A83D59BC2}" name="Column10831"/>
    <tableColumn id="10863" xr3:uid="{42D448D5-F33E-4F32-BF7F-C87F6B3A57E8}" name="Column10832"/>
    <tableColumn id="10864" xr3:uid="{D2BFFCEA-D2A4-4435-B6D3-D013DD4F2320}" name="Column10833"/>
    <tableColumn id="10865" xr3:uid="{D0D64033-75B9-406E-9F37-067E5BA7D2C0}" name="Column10834"/>
    <tableColumn id="10866" xr3:uid="{5D2A0D1E-9C74-4D1B-930F-CB9B5C65FC9C}" name="Column10835"/>
    <tableColumn id="10867" xr3:uid="{64DEF22B-359C-4845-97D4-600A862735A0}" name="Column10836"/>
    <tableColumn id="10868" xr3:uid="{A769BC8B-6638-4D5F-A0EB-5F9CC1AEEE32}" name="Column10837"/>
    <tableColumn id="10869" xr3:uid="{A2318D8A-C99C-42F2-9306-46C6E0C31D17}" name="Column10838"/>
    <tableColumn id="10870" xr3:uid="{3C84EC5A-77A2-4091-85A2-361DC54367B0}" name="Column10839"/>
    <tableColumn id="10871" xr3:uid="{57559290-D8A6-42ED-91E8-0DA21887D0F5}" name="Column10840"/>
    <tableColumn id="10872" xr3:uid="{D7AC22A5-24C4-4041-80D7-818F3AE0BD1E}" name="Column10841"/>
    <tableColumn id="10873" xr3:uid="{825E1132-D58A-4966-B625-D4E3F70EA145}" name="Column10842"/>
    <tableColumn id="10874" xr3:uid="{0CF8E99C-60C3-41D7-8ADA-8C4ACA1A61A0}" name="Column10843"/>
    <tableColumn id="10875" xr3:uid="{5F6339C5-237B-422F-8106-D797F60AC8DA}" name="Column10844"/>
    <tableColumn id="10876" xr3:uid="{71201C78-D694-4F5B-B1D8-8186C97777D6}" name="Column10845"/>
    <tableColumn id="10877" xr3:uid="{0A6AEF72-C18F-4411-8D21-3D7C10F35FF7}" name="Column10846"/>
    <tableColumn id="10878" xr3:uid="{49C62DDF-FFD5-474F-B9A4-E72FD77BB3D0}" name="Column10847"/>
    <tableColumn id="10879" xr3:uid="{3422A9EE-5573-423A-A7AA-01AA777329EA}" name="Column10848"/>
    <tableColumn id="10880" xr3:uid="{7FB55C8E-8095-4BDB-9CBA-F9542E690D93}" name="Column10849"/>
    <tableColumn id="10881" xr3:uid="{E3479E9C-F449-4E67-8A7F-6B4D18155FF6}" name="Column10850"/>
    <tableColumn id="10882" xr3:uid="{BFAC63E7-E2F7-4384-AFBA-F82E4A5012E5}" name="Column10851"/>
    <tableColumn id="10883" xr3:uid="{640606B5-33DE-4A4D-B385-9E16A260E6E1}" name="Column10852"/>
    <tableColumn id="10884" xr3:uid="{7560EFB8-ADE8-4B17-9507-5D1EED0BDE3A}" name="Column10853"/>
    <tableColumn id="10885" xr3:uid="{C760A6B2-5078-4C55-8343-C5516173BA6B}" name="Column10854"/>
    <tableColumn id="10886" xr3:uid="{842783F7-762C-46FA-9E71-AF74697A3E8E}" name="Column10855"/>
    <tableColumn id="10887" xr3:uid="{D6AD5868-5A9E-4848-BB1A-8FB6BBA716EF}" name="Column10856"/>
    <tableColumn id="10888" xr3:uid="{C0794BFD-1766-49A0-9488-63D6B2A6A74D}" name="Column10857"/>
    <tableColumn id="10889" xr3:uid="{BAC3E174-27C3-4B7D-8F35-464F89F57095}" name="Column10858"/>
    <tableColumn id="10890" xr3:uid="{5EEEDB3D-DB92-4CE5-8D60-F1BDFC58D7A4}" name="Column10859"/>
    <tableColumn id="10891" xr3:uid="{9A6430CD-A5E2-4186-8BDC-6E4953DA59B2}" name="Column10860"/>
    <tableColumn id="10892" xr3:uid="{F8074563-CF3D-4A86-AF70-AF45CD17E87C}" name="Column10861"/>
    <tableColumn id="10893" xr3:uid="{ABE2D167-7865-4BDC-B5FA-0847B21AF9E3}" name="Column10862"/>
    <tableColumn id="10894" xr3:uid="{12956BF5-816E-491C-A74C-8D25DF20F1AF}" name="Column10863"/>
    <tableColumn id="10895" xr3:uid="{22E2EFC9-81BC-40DF-9824-80EBF8E58C33}" name="Column10864"/>
    <tableColumn id="10896" xr3:uid="{CF0A5FE8-2DA1-48C0-8226-AA900497E08E}" name="Column10865"/>
    <tableColumn id="10897" xr3:uid="{80B1993C-FFD6-4078-A50D-D4821B410FD6}" name="Column10866"/>
    <tableColumn id="10898" xr3:uid="{4376D0C0-B782-4D0E-8535-F8E9202D5C78}" name="Column10867"/>
    <tableColumn id="10899" xr3:uid="{E6420E6E-2E8F-4659-9DD2-296B615431DA}" name="Column10868"/>
    <tableColumn id="10900" xr3:uid="{709A83B5-B492-42CC-AA2F-20311AEE49F3}" name="Column10869"/>
    <tableColumn id="10901" xr3:uid="{729F9979-5B28-40E9-B047-540B677116E4}" name="Column10870"/>
    <tableColumn id="10902" xr3:uid="{45F021E9-597A-48AA-AEEF-E1DD60C62004}" name="Column10871"/>
    <tableColumn id="10903" xr3:uid="{DE6C9962-56B3-4223-9A5B-943D5D9C0CB7}" name="Column10872"/>
    <tableColumn id="10904" xr3:uid="{85271522-1299-4FF1-967E-1B9308070252}" name="Column10873"/>
    <tableColumn id="10905" xr3:uid="{115191FD-84D8-44E1-8CDB-3BB8B5D644A6}" name="Column10874"/>
    <tableColumn id="10906" xr3:uid="{927F1135-2D96-4381-B916-FFF239F9C32D}" name="Column10875"/>
    <tableColumn id="10907" xr3:uid="{3B89D441-9AD0-4355-B827-0AEC2EB8B6E9}" name="Column10876"/>
    <tableColumn id="10908" xr3:uid="{29DCF971-C7C3-4D48-B69F-75D73469E9C4}" name="Column10877"/>
    <tableColumn id="10909" xr3:uid="{37A7AA46-7CFA-4655-9DD8-2B225E0CCD08}" name="Column10878"/>
    <tableColumn id="10910" xr3:uid="{BD7B37E5-3833-4352-8823-06D620A0F7B2}" name="Column10879"/>
    <tableColumn id="10911" xr3:uid="{9E70ED17-F20A-48F3-BF1C-847605006F9C}" name="Column10880"/>
    <tableColumn id="10912" xr3:uid="{5395E88F-151B-4A93-8604-BA92666A88CA}" name="Column10881"/>
    <tableColumn id="10913" xr3:uid="{F566DE0D-6BE0-46B1-B7AA-10ECF343EA2E}" name="Column10882"/>
    <tableColumn id="10914" xr3:uid="{AB4578C5-D7F2-4A98-98F7-9F8AE95B4404}" name="Column10883"/>
    <tableColumn id="10915" xr3:uid="{F8C4BBB5-D9F1-40B1-BE3C-D536D7864911}" name="Column10884"/>
    <tableColumn id="10916" xr3:uid="{94A9AE7B-0875-4EA5-AFFA-B22744C52CA1}" name="Column10885"/>
    <tableColumn id="10917" xr3:uid="{43F72999-DF81-4539-A6DB-D29764BAC18A}" name="Column10886"/>
    <tableColumn id="10918" xr3:uid="{AFE09337-7E55-4C1C-8996-2D468AF0D143}" name="Column10887"/>
    <tableColumn id="10919" xr3:uid="{3F9AF59F-A147-42FD-96B2-BD6B6EE8F86E}" name="Column10888"/>
    <tableColumn id="10920" xr3:uid="{1706D489-3F29-46FF-8BDF-F803640E68CB}" name="Column10889"/>
    <tableColumn id="10921" xr3:uid="{39B7BBB6-096B-4BEF-8D6C-D90E7ED04B9D}" name="Column10890"/>
    <tableColumn id="10922" xr3:uid="{0CC9EE26-EF72-43C9-B393-46EDD3826C98}" name="Column10891"/>
    <tableColumn id="10923" xr3:uid="{6BCBA10C-0A4C-43C1-88E7-771FEF24903C}" name="Column10892"/>
    <tableColumn id="10924" xr3:uid="{9083ADC0-9760-45A0-B615-54F7B28A0459}" name="Column10893"/>
    <tableColumn id="10925" xr3:uid="{7115B65E-150E-4473-9FE5-2BC53D7041AF}" name="Column10894"/>
    <tableColumn id="10926" xr3:uid="{3A2C08B2-91A3-4A4A-A66E-3C7AD28BF0EC}" name="Column10895"/>
    <tableColumn id="10927" xr3:uid="{F72AD89C-1FD9-435C-A167-6917AFA0075E}" name="Column10896"/>
    <tableColumn id="10928" xr3:uid="{E9405025-3FB4-4F0D-92AD-FD2976089A53}" name="Column10897"/>
    <tableColumn id="10929" xr3:uid="{D8783B23-37D6-4F65-8C0E-4EED43BA8CE6}" name="Column10898"/>
    <tableColumn id="10930" xr3:uid="{2EC7EBA1-BB51-4A07-AEDB-B586D18A5097}" name="Column10899"/>
    <tableColumn id="10931" xr3:uid="{1ADB9C72-813D-4A1F-8737-ED2C661E3D6F}" name="Column10900"/>
    <tableColumn id="10932" xr3:uid="{E1F0E141-A02E-4E1C-9DDE-F3380786EE4A}" name="Column10901"/>
    <tableColumn id="10933" xr3:uid="{4B2BC5DC-C06F-4BD9-95E0-25337670F4F9}" name="Column10902"/>
    <tableColumn id="10934" xr3:uid="{19C26675-ADEB-4BAD-ADBE-8D4768657D1D}" name="Column10903"/>
    <tableColumn id="10935" xr3:uid="{F1AE9CD0-EF9D-4A05-A808-B6EE916F5C19}" name="Column10904"/>
    <tableColumn id="10936" xr3:uid="{DC76E77C-0B17-45D8-A207-3B02108C851F}" name="Column10905"/>
    <tableColumn id="10937" xr3:uid="{C6313E61-3879-4700-8CC1-9DEAF4174609}" name="Column10906"/>
    <tableColumn id="10938" xr3:uid="{754A95F7-8057-46ED-B1AE-145AEFA66A08}" name="Column10907"/>
    <tableColumn id="10939" xr3:uid="{4A48DC9F-375E-4938-9CF1-DBB3CC59F5CE}" name="Column10908"/>
    <tableColumn id="10940" xr3:uid="{4C41673C-9B4A-42A1-B4DA-EA7C25DB0CCF}" name="Column10909"/>
    <tableColumn id="10941" xr3:uid="{C98CAE25-4E51-443F-9D40-DE60C82BC497}" name="Column10910"/>
    <tableColumn id="10942" xr3:uid="{E882CB74-8F03-4DB0-A650-2C14961C9E65}" name="Column10911"/>
    <tableColumn id="10943" xr3:uid="{F460BC38-E7AE-4AAB-AF69-F8603F9FBE7E}" name="Column10912"/>
    <tableColumn id="10944" xr3:uid="{D07C7CA5-45CF-4682-87AF-71AF8736166C}" name="Column10913"/>
    <tableColumn id="10945" xr3:uid="{11281A0D-EF49-4D83-9CDA-53897701A8A9}" name="Column10914"/>
    <tableColumn id="10946" xr3:uid="{30628668-7D1E-4417-806D-DCEF8F19228C}" name="Column10915"/>
    <tableColumn id="10947" xr3:uid="{0E766711-79CE-448A-BACB-46F11CC41F2D}" name="Column10916"/>
    <tableColumn id="10948" xr3:uid="{0C9C275C-2258-4050-95EC-81630FEDD0DA}" name="Column10917"/>
    <tableColumn id="10949" xr3:uid="{F8EE8F35-0F01-453C-AE6A-E2748EC81866}" name="Column10918"/>
    <tableColumn id="10950" xr3:uid="{62894802-F8F4-42CA-B45D-0BD24B0EA4FE}" name="Column10919"/>
    <tableColumn id="10951" xr3:uid="{6460214B-012C-4211-920C-33601DE04D1F}" name="Column10920"/>
    <tableColumn id="10952" xr3:uid="{B0032227-0923-4C64-A44A-F635CBEC7D49}" name="Column10921"/>
    <tableColumn id="10953" xr3:uid="{3E19FFA0-7B7F-4E22-AE46-EC616923E7A2}" name="Column10922"/>
    <tableColumn id="10954" xr3:uid="{75123CD7-2517-429F-8D2A-04F768AACC6C}" name="Column10923"/>
    <tableColumn id="10955" xr3:uid="{E1AD17FD-632A-4B51-8986-227554FC538C}" name="Column10924"/>
    <tableColumn id="10956" xr3:uid="{7FF15560-1F02-48C1-910C-0D5B9EDAD85D}" name="Column10925"/>
    <tableColumn id="10957" xr3:uid="{19FEAB7D-979E-4DC2-8D23-EFD0399D5FE5}" name="Column10926"/>
    <tableColumn id="10958" xr3:uid="{1CFDB751-B196-497D-AA43-7EE93FA664C4}" name="Column10927"/>
    <tableColumn id="10959" xr3:uid="{A39B81DB-D0DF-4272-B6B6-848F92A0069E}" name="Column10928"/>
    <tableColumn id="10960" xr3:uid="{F455EAC4-8980-475F-80F6-CDF8C1DF6E8B}" name="Column10929"/>
    <tableColumn id="10961" xr3:uid="{03F65A66-12F6-46BD-83B9-0CA1049AA368}" name="Column10930"/>
    <tableColumn id="10962" xr3:uid="{6F455298-164B-4C4F-8D9F-8F7802910D66}" name="Column10931"/>
    <tableColumn id="10963" xr3:uid="{A42DFC33-C186-4C15-881D-E2182AC0C1BA}" name="Column10932"/>
    <tableColumn id="10964" xr3:uid="{07101960-2F5A-4706-AA26-77A2975FF840}" name="Column10933"/>
    <tableColumn id="10965" xr3:uid="{488FEEB9-D094-4A6C-AF10-7E992EAC6EDE}" name="Column10934"/>
    <tableColumn id="10966" xr3:uid="{1DBDF822-BDF5-4720-828E-E66C4AFABD64}" name="Column10935"/>
    <tableColumn id="10967" xr3:uid="{E82FB84E-FC4F-4F2F-BF99-E8EE97E83DE5}" name="Column10936"/>
    <tableColumn id="10968" xr3:uid="{27A4F256-3F5A-4B31-9CD5-F6AA6DC876F1}" name="Column10937"/>
    <tableColumn id="10969" xr3:uid="{64D3448D-E285-4225-AAB7-B9B428446CC3}" name="Column10938"/>
    <tableColumn id="10970" xr3:uid="{B4638391-63D8-42B3-8C8C-4D0E731B9AF6}" name="Column10939"/>
    <tableColumn id="10971" xr3:uid="{6DD7B70A-BBC7-4F2C-980C-AB2704EF2477}" name="Column10940"/>
    <tableColumn id="10972" xr3:uid="{C74C8329-585C-4F21-821B-84F0F1AD682B}" name="Column10941"/>
    <tableColumn id="10973" xr3:uid="{CF815EFB-75BC-463B-AA8F-667D78565750}" name="Column10942"/>
    <tableColumn id="10974" xr3:uid="{7D32CE4E-4AA3-456B-88C3-46BD859EE65C}" name="Column10943"/>
    <tableColumn id="10975" xr3:uid="{4F023D13-A5E5-4EBA-ADD5-7BB6BB7A2504}" name="Column10944"/>
    <tableColumn id="10976" xr3:uid="{943FC76D-28C7-476B-9C58-95EAA10917FF}" name="Column10945"/>
    <tableColumn id="10977" xr3:uid="{C69A9C8C-DA86-4B4E-B3F7-0427E8832CAC}" name="Column10946"/>
    <tableColumn id="10978" xr3:uid="{7B342C49-4EBB-482C-B521-FA99A3931590}" name="Column10947"/>
    <tableColumn id="10979" xr3:uid="{A064D2B4-53C6-4D02-8C59-19E9B75D0B3A}" name="Column10948"/>
    <tableColumn id="10980" xr3:uid="{17AC296D-C0CD-4384-8946-7BECDBA6AD9A}" name="Column10949"/>
    <tableColumn id="10981" xr3:uid="{DE7B6B58-6EC3-4192-9EAF-3B763D2936E6}" name="Column10950"/>
    <tableColumn id="10982" xr3:uid="{DC42D718-ADB9-4E3D-9029-63D2E8E1632E}" name="Column10951"/>
    <tableColumn id="10983" xr3:uid="{5E614808-CE35-4464-BADF-36B68E7C49E0}" name="Column10952"/>
    <tableColumn id="10984" xr3:uid="{51881E61-0312-4086-876C-E014F500801C}" name="Column10953"/>
    <tableColumn id="10985" xr3:uid="{E3265E9F-6432-414F-8011-771B3C7991E1}" name="Column10954"/>
    <tableColumn id="10986" xr3:uid="{2C1BF7F1-8090-43F0-AA86-D1D7E2AB6EEC}" name="Column10955"/>
    <tableColumn id="10987" xr3:uid="{365E4C71-7EDE-4E93-A109-4358D291EEAE}" name="Column10956"/>
    <tableColumn id="10988" xr3:uid="{58C9F9D4-50DF-49DE-B341-84679218190C}" name="Column10957"/>
    <tableColumn id="10989" xr3:uid="{9193FBC7-E132-4862-9BBC-FA8D56DDD639}" name="Column10958"/>
    <tableColumn id="10990" xr3:uid="{AE2E6E14-8088-4080-A160-507E09917A1E}" name="Column10959"/>
    <tableColumn id="10991" xr3:uid="{2A25FA32-6D89-4EC8-9E57-E7EF21213C0E}" name="Column10960"/>
    <tableColumn id="10992" xr3:uid="{61946264-D07F-4D9B-A056-1AC89FC062E5}" name="Column10961"/>
    <tableColumn id="10993" xr3:uid="{3940B9AE-06F6-435F-9CCD-0AAC0CF4E0F8}" name="Column10962"/>
    <tableColumn id="10994" xr3:uid="{16464751-8E06-49B0-AAFD-DF9198E7749D}" name="Column10963"/>
    <tableColumn id="10995" xr3:uid="{246FAE2E-6164-4AFD-A069-27929D139C02}" name="Column10964"/>
    <tableColumn id="10996" xr3:uid="{AA0C2FB6-90AC-4A91-B26E-62F90EDA6491}" name="Column10965"/>
    <tableColumn id="10997" xr3:uid="{839EEE1D-3576-402E-8532-B159DEDDAC79}" name="Column10966"/>
    <tableColumn id="10998" xr3:uid="{9B1D548B-2E61-4AE4-813E-D677880D4F57}" name="Column10967"/>
    <tableColumn id="10999" xr3:uid="{F40BA82C-92F6-4FD2-885E-3CF42858230C}" name="Column10968"/>
    <tableColumn id="11000" xr3:uid="{D446A054-49F7-4C74-BF1A-06E51543F3A0}" name="Column10969"/>
    <tableColumn id="11001" xr3:uid="{D50D1AA6-2ADA-4659-AB9B-057A594BFC81}" name="Column10970"/>
    <tableColumn id="11002" xr3:uid="{18F8FA41-C5AA-4E43-AC8C-A0B73B745377}" name="Column10971"/>
    <tableColumn id="11003" xr3:uid="{1FBB9A0F-699F-4EF9-A48F-875F40584ECB}" name="Column10972"/>
    <tableColumn id="11004" xr3:uid="{45EDB171-ACDA-43A1-8C98-27A69B6BED0A}" name="Column10973"/>
    <tableColumn id="11005" xr3:uid="{38D610B9-40B4-4EED-B6F5-06CC184AF2C9}" name="Column10974"/>
    <tableColumn id="11006" xr3:uid="{ABC2F336-1905-40FF-9EB5-750D9A148F9C}" name="Column10975"/>
    <tableColumn id="11007" xr3:uid="{85F18169-4B4D-4527-B8EB-5056753E7EA4}" name="Column10976"/>
    <tableColumn id="11008" xr3:uid="{3AFA539D-E71A-4F6F-A481-1A251F08ABA1}" name="Column10977"/>
    <tableColumn id="11009" xr3:uid="{AFDA7277-C685-4FA5-A209-EDADC7FFA6CD}" name="Column10978"/>
    <tableColumn id="11010" xr3:uid="{3E2CCD22-155D-41D9-B004-058FD4140EAB}" name="Column10979"/>
    <tableColumn id="11011" xr3:uid="{85A583EC-0571-407C-A4EE-75F1F75665BA}" name="Column10980"/>
    <tableColumn id="11012" xr3:uid="{E2AE356D-2530-472F-A362-8FBE20C5E9A3}" name="Column10981"/>
    <tableColumn id="11013" xr3:uid="{B4D1BB89-C350-492E-AF42-6A95802F7082}" name="Column10982"/>
    <tableColumn id="11014" xr3:uid="{53A8AA59-4D8F-4605-9DDF-C457D85E6583}" name="Column10983"/>
    <tableColumn id="11015" xr3:uid="{A5A0B118-80F7-4BF0-88E9-1B5B6D7BE553}" name="Column10984"/>
    <tableColumn id="11016" xr3:uid="{0A474912-07CE-4BD9-9A7A-9109289EDFC8}" name="Column10985"/>
    <tableColumn id="11017" xr3:uid="{7611F49D-D660-495B-87C4-8221DD0E1736}" name="Column10986"/>
    <tableColumn id="11018" xr3:uid="{1C0C3A6D-D183-40EE-A59E-0DBF32D219C1}" name="Column10987"/>
    <tableColumn id="11019" xr3:uid="{2B7073FE-200A-4DB6-B686-956A3AFF2938}" name="Column10988"/>
    <tableColumn id="11020" xr3:uid="{C9475596-E95F-4BF0-951F-4A16AE2AB4F2}" name="Column10989"/>
    <tableColumn id="11021" xr3:uid="{C97ABB0D-E2EB-4CF3-A635-C60348B231F5}" name="Column10990"/>
    <tableColumn id="11022" xr3:uid="{0714081E-4335-4B49-8036-453ADC618780}" name="Column10991"/>
    <tableColumn id="11023" xr3:uid="{95FD226E-B515-4A12-B8F8-F68305942A87}" name="Column10992"/>
    <tableColumn id="11024" xr3:uid="{DA87A9A5-D120-4D27-81B2-672A4B219DC2}" name="Column10993"/>
    <tableColumn id="11025" xr3:uid="{C0E62770-9065-497E-A1D4-CAC8A3E1EFE0}" name="Column10994"/>
    <tableColumn id="11026" xr3:uid="{995C788C-F23A-4279-BD81-66D679C68172}" name="Column10995"/>
    <tableColumn id="11027" xr3:uid="{7559FF7A-0F67-4D48-8FE8-9ABA7CBA8629}" name="Column10996"/>
    <tableColumn id="11028" xr3:uid="{A3F9C728-5A25-4B99-91B3-04344C7943A2}" name="Column10997"/>
    <tableColumn id="11029" xr3:uid="{C15C59AF-18A8-45E6-B096-E77850731FFF}" name="Column10998"/>
    <tableColumn id="11030" xr3:uid="{EE3FA645-C5A3-4014-9D1F-34E6824AAD10}" name="Column10999"/>
    <tableColumn id="11031" xr3:uid="{4B294BAA-F62B-4A98-BF40-875D6F201324}" name="Column11000"/>
    <tableColumn id="11032" xr3:uid="{F8E3F691-F49D-4FB8-908E-1E8491453595}" name="Column11001"/>
    <tableColumn id="11033" xr3:uid="{764868AC-34B4-4565-9FF5-9617C43726D8}" name="Column11002"/>
    <tableColumn id="11034" xr3:uid="{17A1EC0F-BE8C-4569-BF1D-8B89265A2D5A}" name="Column11003"/>
    <tableColumn id="11035" xr3:uid="{CDBEF3C9-742E-43EC-A302-02E1F7DEF699}" name="Column11004"/>
    <tableColumn id="11036" xr3:uid="{E9056B13-8E4B-48F1-BD7B-7E3830CDC36F}" name="Column11005"/>
    <tableColumn id="11037" xr3:uid="{60D97315-3B5D-476D-A783-457E9B8F3BC4}" name="Column11006"/>
    <tableColumn id="11038" xr3:uid="{4AB38BEC-313D-4710-8DE0-62A884EA81C8}" name="Column11007"/>
    <tableColumn id="11039" xr3:uid="{8DEC9C76-6BF5-42B5-84E8-5B7D81CC3D58}" name="Column11008"/>
    <tableColumn id="11040" xr3:uid="{6F47856A-CB14-40E1-A83E-DDB33E9349DA}" name="Column11009"/>
    <tableColumn id="11041" xr3:uid="{759ED119-3ED5-474A-BF4A-99FCB63B66B3}" name="Column11010"/>
    <tableColumn id="11042" xr3:uid="{2370F883-506D-4E09-9485-4C3D2DEB516C}" name="Column11011"/>
    <tableColumn id="11043" xr3:uid="{25C90C96-8269-4A10-9C0F-3E7553621606}" name="Column11012"/>
    <tableColumn id="11044" xr3:uid="{5F2AD51E-A1A3-4747-8D2C-BAAC14811E34}" name="Column11013"/>
    <tableColumn id="11045" xr3:uid="{14531BC2-EEDE-4778-96D0-28D76B326597}" name="Column11014"/>
    <tableColumn id="11046" xr3:uid="{C3ADB6E8-E07D-46D8-B7F7-A3EAE2DD5A87}" name="Column11015"/>
    <tableColumn id="11047" xr3:uid="{F5E28198-7E86-42F6-91CB-E2D272811395}" name="Column11016"/>
    <tableColumn id="11048" xr3:uid="{110AD71A-12FD-46FE-A9A2-73B88E79B4A3}" name="Column11017"/>
    <tableColumn id="11049" xr3:uid="{621749DC-A188-4AE8-89F5-761C44A02B27}" name="Column11018"/>
    <tableColumn id="11050" xr3:uid="{562C6145-2906-445C-8873-E1B2ADE64B23}" name="Column11019"/>
    <tableColumn id="11051" xr3:uid="{21F3DD9A-07F0-4CF7-B146-2BE0E78A5923}" name="Column11020"/>
    <tableColumn id="11052" xr3:uid="{19ADB62A-DEC7-4170-8894-68E8845E093A}" name="Column11021"/>
    <tableColumn id="11053" xr3:uid="{165BDC20-AC29-4B31-AF86-F0DF7D39DD53}" name="Column11022"/>
    <tableColumn id="11054" xr3:uid="{46155EC3-CDEF-4EE0-88FF-C706A7A81A70}" name="Column11023"/>
    <tableColumn id="11055" xr3:uid="{6E4505F0-9515-42C6-A3E1-AF335142EA7D}" name="Column11024"/>
    <tableColumn id="11056" xr3:uid="{C58F0F60-F8E7-4090-95DC-B1126D310BC4}" name="Column11025"/>
    <tableColumn id="11057" xr3:uid="{E909EA95-AA5A-4D0F-A824-5F79D4F71576}" name="Column11026"/>
    <tableColumn id="11058" xr3:uid="{2818EF6A-0661-4589-98DF-82DF4A776DEC}" name="Column11027"/>
    <tableColumn id="11059" xr3:uid="{FE817506-4E5A-4428-9AD4-E00337BC8768}" name="Column11028"/>
    <tableColumn id="11060" xr3:uid="{4FDC887E-E4DC-42BC-971B-FBCF67151E64}" name="Column11029"/>
    <tableColumn id="11061" xr3:uid="{53287808-CBD2-45CD-B7A0-78F6E6AF8F91}" name="Column11030"/>
    <tableColumn id="11062" xr3:uid="{6264B696-0C45-4C4A-913C-76D85C449C93}" name="Column11031"/>
    <tableColumn id="11063" xr3:uid="{8D432D48-39AF-460B-AFFB-46107EDDC034}" name="Column11032"/>
    <tableColumn id="11064" xr3:uid="{7BA066F6-A41B-47D0-8A0F-68A65FB346A6}" name="Column11033"/>
    <tableColumn id="11065" xr3:uid="{75C58267-A75B-4A0A-BF93-0FD906ED4BEE}" name="Column11034"/>
    <tableColumn id="11066" xr3:uid="{889688BC-FCD6-4F53-BA32-3C4549A254F6}" name="Column11035"/>
    <tableColumn id="11067" xr3:uid="{AEBB0342-D7B9-4D60-8533-150886F4C1C2}" name="Column11036"/>
    <tableColumn id="11068" xr3:uid="{E45AF56C-D7F4-4937-B90A-1E3932AD4159}" name="Column11037"/>
    <tableColumn id="11069" xr3:uid="{FBE95951-F96E-408D-ABE9-E318CA5B292A}" name="Column11038"/>
    <tableColumn id="11070" xr3:uid="{C8B8569C-6C56-4D95-8F50-723B8CDF15D2}" name="Column11039"/>
    <tableColumn id="11071" xr3:uid="{3C667B2B-04A4-40B2-B8EA-D52B1021924C}" name="Column11040"/>
    <tableColumn id="11072" xr3:uid="{B0981C6B-7F57-4899-9BD7-88259B8E135B}" name="Column11041"/>
    <tableColumn id="11073" xr3:uid="{C67CD993-A543-4E68-8E40-DFC11DD666D8}" name="Column11042"/>
    <tableColumn id="11074" xr3:uid="{6AF5762E-77B9-4C87-A1BB-E6EFCB9D8B39}" name="Column11043"/>
    <tableColumn id="11075" xr3:uid="{D25E4155-6F34-4424-B617-189C98733E13}" name="Column11044"/>
    <tableColumn id="11076" xr3:uid="{5C848A83-12CC-428E-9173-9CDA1650A609}" name="Column11045"/>
    <tableColumn id="11077" xr3:uid="{62AB08DC-CC05-4680-9982-539238D705A6}" name="Column11046"/>
    <tableColumn id="11078" xr3:uid="{33CE16D5-5337-4314-9B35-4782880AD715}" name="Column11047"/>
    <tableColumn id="11079" xr3:uid="{58FC7C88-FA6B-4D66-B6DA-8DB408D63A2F}" name="Column11048"/>
    <tableColumn id="11080" xr3:uid="{66A569B8-E39F-4EEF-BE9E-614029F92EAC}" name="Column11049"/>
    <tableColumn id="11081" xr3:uid="{6E50C11F-6E56-4CE2-8EC9-E7F3C5DA03ED}" name="Column11050"/>
    <tableColumn id="11082" xr3:uid="{316E5FFA-A15F-4EB6-95B9-651803BB1883}" name="Column11051"/>
    <tableColumn id="11083" xr3:uid="{F842CCBC-8947-45B8-8B69-F724A9E5526A}" name="Column11052"/>
    <tableColumn id="11084" xr3:uid="{9F637A57-5533-432D-8E21-CA82D67E45F9}" name="Column11053"/>
    <tableColumn id="11085" xr3:uid="{B518A802-A77A-4B2A-BA70-135D7FFB6BEA}" name="Column11054"/>
    <tableColumn id="11086" xr3:uid="{9E1F60DB-D216-4A71-A22A-B58A93D3504B}" name="Column11055"/>
    <tableColumn id="11087" xr3:uid="{2E1EE5CA-8A6A-439F-A5D0-5D7B5BE63EE8}" name="Column11056"/>
    <tableColumn id="11088" xr3:uid="{108A9707-E952-486D-9664-AFD8E40D9CB1}" name="Column11057"/>
    <tableColumn id="11089" xr3:uid="{1B7CE07C-C5E3-4893-A4D2-32D7098F71CD}" name="Column11058"/>
    <tableColumn id="11090" xr3:uid="{12956E33-BCF3-443F-942B-2BF5D9CE8641}" name="Column11059"/>
    <tableColumn id="11091" xr3:uid="{E83C1733-9FC5-4FEA-9B40-864193BB3FC0}" name="Column11060"/>
    <tableColumn id="11092" xr3:uid="{C3F6F1AB-2462-4716-A84D-E7E14481EA82}" name="Column11061"/>
    <tableColumn id="11093" xr3:uid="{520C0961-40C2-47A7-AB63-55DF68B40B1E}" name="Column11062"/>
    <tableColumn id="11094" xr3:uid="{496200A5-E409-426C-A7A3-797AA5F6FB19}" name="Column11063"/>
    <tableColumn id="11095" xr3:uid="{02ADA513-2D14-40F5-AD5E-A8F8BB003A3D}" name="Column11064"/>
    <tableColumn id="11096" xr3:uid="{6D2512A7-4D92-4649-A10D-2F5F249623C1}" name="Column11065"/>
    <tableColumn id="11097" xr3:uid="{2A4CEBE2-B5F8-4137-8195-B5C4684ABDA0}" name="Column11066"/>
    <tableColumn id="11098" xr3:uid="{45635AEC-1EBC-4A97-A896-DFB7820D3EED}" name="Column11067"/>
    <tableColumn id="11099" xr3:uid="{AC50D464-DF8F-4F30-85CC-BDE50EED4F71}" name="Column11068"/>
    <tableColumn id="11100" xr3:uid="{BC49CA44-B2F9-4F2A-80D9-2F465B1C5EBA}" name="Column11069"/>
    <tableColumn id="11101" xr3:uid="{0AB8BE24-0DB7-40D3-A417-38D60BE77AA3}" name="Column11070"/>
    <tableColumn id="11102" xr3:uid="{B527B2D9-4ED9-4F02-A71C-AC97964B8DDD}" name="Column11071"/>
    <tableColumn id="11103" xr3:uid="{E97D1FB4-3E43-4D4B-BBC5-921AC618CE09}" name="Column11072"/>
    <tableColumn id="11104" xr3:uid="{3FD7E00B-7234-48FC-AE77-5C650A5FE082}" name="Column11073"/>
    <tableColumn id="11105" xr3:uid="{5019C0BC-7385-4A5E-BD87-07748A818DDC}" name="Column11074"/>
    <tableColumn id="11106" xr3:uid="{1CFA813E-17CB-42F6-97D8-5B3F8DC824DC}" name="Column11075"/>
    <tableColumn id="11107" xr3:uid="{FB5E05E1-2881-4C14-8F49-182990DB08CC}" name="Column11076"/>
    <tableColumn id="11108" xr3:uid="{415D90FE-61C8-4154-BF3C-F9D1780353B1}" name="Column11077"/>
    <tableColumn id="11109" xr3:uid="{B7B4556B-9536-4F01-96B4-712BE9F26E39}" name="Column11078"/>
    <tableColumn id="11110" xr3:uid="{BC546AB9-EE47-4213-AC23-C9C04EA82023}" name="Column11079"/>
    <tableColumn id="11111" xr3:uid="{E124E6AB-36FD-45B3-ADAC-B35D4FCDD20C}" name="Column11080"/>
    <tableColumn id="11112" xr3:uid="{01CB537B-02E7-43CF-9FC5-D15C1BDBCB8D}" name="Column11081"/>
    <tableColumn id="11113" xr3:uid="{A4830307-A920-4B82-9C60-9270D053140A}" name="Column11082"/>
    <tableColumn id="11114" xr3:uid="{309AF352-7D31-49EE-9EBA-4976D020C612}" name="Column11083"/>
    <tableColumn id="11115" xr3:uid="{AF176568-B30F-433F-AE91-A98416A84C2C}" name="Column11084"/>
    <tableColumn id="11116" xr3:uid="{92CE6C1D-20C2-4279-BB00-0A2AC8C33E6C}" name="Column11085"/>
    <tableColumn id="11117" xr3:uid="{CBCD8DE5-D3DD-45ED-9903-2538C5960BF6}" name="Column11086"/>
    <tableColumn id="11118" xr3:uid="{0BB05DAC-30E5-4BF7-9BFC-16A7AAFD191E}" name="Column11087"/>
    <tableColumn id="11119" xr3:uid="{638D256B-253B-4DC8-92D6-84EC1E4D540A}" name="Column11088"/>
    <tableColumn id="11120" xr3:uid="{4ECC5AA9-71F6-40C8-907C-876480891215}" name="Column11089"/>
    <tableColumn id="11121" xr3:uid="{4E56E070-EB8B-4CFE-831E-E7B501206EB4}" name="Column11090"/>
    <tableColumn id="11122" xr3:uid="{C938EB59-B3F9-4C3E-9EE6-DC1C897FEC2F}" name="Column11091"/>
    <tableColumn id="11123" xr3:uid="{989CB1BA-CE12-472F-B720-60BAED89DEDD}" name="Column11092"/>
    <tableColumn id="11124" xr3:uid="{FC16D48A-E128-40CF-8A29-BA42E8D7F89D}" name="Column11093"/>
    <tableColumn id="11125" xr3:uid="{C1DC0E38-E646-4E32-B1A6-9708672D815E}" name="Column11094"/>
    <tableColumn id="11126" xr3:uid="{193676E6-6F59-4E3E-84F5-94721B824505}" name="Column11095"/>
    <tableColumn id="11127" xr3:uid="{F015C292-58C4-4EC3-8FCD-47F8BCC1E88F}" name="Column11096"/>
    <tableColumn id="11128" xr3:uid="{0CEBC48E-C2BF-49F0-A705-EECB1DBB95BA}" name="Column11097"/>
    <tableColumn id="11129" xr3:uid="{1EDA86D8-4EB8-46C8-B75A-A18A008BB746}" name="Column11098"/>
    <tableColumn id="11130" xr3:uid="{D0AFBEBA-8F37-47AD-802F-DEB19C9537BD}" name="Column11099"/>
    <tableColumn id="11131" xr3:uid="{3E1B299E-C63F-447F-91C3-8736BBED4195}" name="Column11100"/>
    <tableColumn id="11132" xr3:uid="{37873D6A-65F5-401A-AA42-BAC0478C6D02}" name="Column11101"/>
    <tableColumn id="11133" xr3:uid="{5E04D87B-4D21-48A8-86CB-F0E7D5D45116}" name="Column11102"/>
    <tableColumn id="11134" xr3:uid="{62C58BEF-5AEB-47BC-8940-E7BFD0911B9F}" name="Column11103"/>
    <tableColumn id="11135" xr3:uid="{1601E68E-C4B6-4C92-8396-79AF0D8DCF46}" name="Column11104"/>
    <tableColumn id="11136" xr3:uid="{32FDDD8F-CAF3-409B-BEB3-7F56CE4E25DE}" name="Column11105"/>
    <tableColumn id="11137" xr3:uid="{CB89D080-C554-4255-8CCF-65A878F9EC38}" name="Column11106"/>
    <tableColumn id="11138" xr3:uid="{B759F5E8-B63D-4230-B71E-7BF82E022DE7}" name="Column11107"/>
    <tableColumn id="11139" xr3:uid="{EEC3F350-AFD1-4EA5-B928-13F1C8E3CFD1}" name="Column11108"/>
    <tableColumn id="11140" xr3:uid="{4D025C7E-CC2F-4837-865F-3E071CC1F25A}" name="Column11109"/>
    <tableColumn id="11141" xr3:uid="{45B4F72A-87E4-4773-AC00-89AF8974C16F}" name="Column11110"/>
    <tableColumn id="11142" xr3:uid="{17F2099A-758C-4452-BC60-ED9C26DAE358}" name="Column11111"/>
    <tableColumn id="11143" xr3:uid="{96C6F682-FA70-410E-9926-8DFA6FFDF8BE}" name="Column11112"/>
    <tableColumn id="11144" xr3:uid="{29027920-9A37-4BEE-B566-6C34CF29A1BA}" name="Column11113"/>
    <tableColumn id="11145" xr3:uid="{C67A03C2-96EE-4FB2-BA04-5419374BD741}" name="Column11114"/>
    <tableColumn id="11146" xr3:uid="{D3D9A2AD-51CE-46E5-B149-331677473289}" name="Column11115"/>
    <tableColumn id="11147" xr3:uid="{6F723800-A6AD-4E75-8C9E-1C03B276966C}" name="Column11116"/>
    <tableColumn id="11148" xr3:uid="{AD90A286-6556-40B2-BECC-561DF054121B}" name="Column11117"/>
    <tableColumn id="11149" xr3:uid="{8F0291C5-6BC2-4738-AFE3-163ECE86EDFB}" name="Column11118"/>
    <tableColumn id="11150" xr3:uid="{AF79EC3D-1FE0-4184-865E-83FD3B49EF87}" name="Column11119"/>
    <tableColumn id="11151" xr3:uid="{C6C70029-C607-4C5D-A92F-075789630A77}" name="Column11120"/>
    <tableColumn id="11152" xr3:uid="{AD21F6A1-7E89-46AD-9AF2-D69B7656DD80}" name="Column11121"/>
    <tableColumn id="11153" xr3:uid="{61A13459-D7B5-4D3F-82F4-E1120ADEF045}" name="Column11122"/>
    <tableColumn id="11154" xr3:uid="{F2D83C9E-A0B3-47BB-9E3E-F94E11AB81EC}" name="Column11123"/>
    <tableColumn id="11155" xr3:uid="{D051C8CC-B2EB-4C6C-8F13-3A17716366C8}" name="Column11124"/>
    <tableColumn id="11156" xr3:uid="{6D054228-761A-416F-A1C8-AD678F22AA57}" name="Column11125"/>
    <tableColumn id="11157" xr3:uid="{A222AEB9-E654-4375-B59B-37477CD4389D}" name="Column11126"/>
    <tableColumn id="11158" xr3:uid="{D77CB01B-9CDD-480E-BAD1-804CE571595C}" name="Column11127"/>
    <tableColumn id="11159" xr3:uid="{60F575B4-A3D4-4423-A61D-EC9D62C6B963}" name="Column11128"/>
    <tableColumn id="11160" xr3:uid="{81D71645-358D-4566-8BC7-9C428BA95EE9}" name="Column11129"/>
    <tableColumn id="11161" xr3:uid="{0DADF150-040A-4575-99D6-C81241EDAB02}" name="Column11130"/>
    <tableColumn id="11162" xr3:uid="{07B01477-2D20-4689-BA6E-C03A962B354A}" name="Column11131"/>
    <tableColumn id="11163" xr3:uid="{E826AD04-7652-4226-A1FC-635B196905D0}" name="Column11132"/>
    <tableColumn id="11164" xr3:uid="{34DB4B40-BBCD-4B63-A072-B39EBDA7C700}" name="Column11133"/>
    <tableColumn id="11165" xr3:uid="{0E76A331-FB4E-4194-92F1-453CA62667A6}" name="Column11134"/>
    <tableColumn id="11166" xr3:uid="{304D9DCF-E862-4B74-950B-58B6DF249544}" name="Column11135"/>
    <tableColumn id="11167" xr3:uid="{B5FBAB22-64D8-4281-B4FD-ACAD03611193}" name="Column11136"/>
    <tableColumn id="11168" xr3:uid="{A3B60934-F148-4335-83B6-533D7A5BBC75}" name="Column11137"/>
    <tableColumn id="11169" xr3:uid="{C80D6985-3532-4013-B3E2-DA2AF028B405}" name="Column11138"/>
    <tableColumn id="11170" xr3:uid="{42082295-5E8F-469F-8377-F3E6401E8DD2}" name="Column11139"/>
    <tableColumn id="11171" xr3:uid="{C1B0AB58-882C-49F6-BA70-2EF8AF553792}" name="Column11140"/>
    <tableColumn id="11172" xr3:uid="{B1B79ECD-E3CE-4FAA-9B46-E6DF236B4833}" name="Column11141"/>
    <tableColumn id="11173" xr3:uid="{5E7788D4-EA1F-4260-8169-946929FD2527}" name="Column11142"/>
    <tableColumn id="11174" xr3:uid="{9B9CF26B-4C9B-4C4D-B6E9-50AF60858716}" name="Column11143"/>
    <tableColumn id="11175" xr3:uid="{35C13959-CA31-4804-AE5C-FF74A44FEF24}" name="Column11144"/>
    <tableColumn id="11176" xr3:uid="{445E38A7-F18E-4D08-BE86-3D13002C5C2B}" name="Column11145"/>
    <tableColumn id="11177" xr3:uid="{BD80AEA3-48EF-401C-935D-0FE3F41CDBE9}" name="Column11146"/>
    <tableColumn id="11178" xr3:uid="{DBA4FF7D-428A-445F-8AA2-2AB48E21B528}" name="Column11147"/>
    <tableColumn id="11179" xr3:uid="{9877819A-1EF1-4481-8E49-9873DAB1DC8F}" name="Column11148"/>
    <tableColumn id="11180" xr3:uid="{6CF098AF-43F7-405F-AA53-28DF7B369DF7}" name="Column11149"/>
    <tableColumn id="11181" xr3:uid="{5FC337E8-8C3F-4F55-82B5-31EE7BB2A4D0}" name="Column11150"/>
    <tableColumn id="11182" xr3:uid="{11F9E6EC-83AA-490E-BB53-8A3C646595CE}" name="Column11151"/>
    <tableColumn id="11183" xr3:uid="{12F79C4F-E7EA-4198-A728-A77F226325E7}" name="Column11152"/>
    <tableColumn id="11184" xr3:uid="{9F73A9CE-B966-4055-9980-B9CCC909DDDA}" name="Column11153"/>
    <tableColumn id="11185" xr3:uid="{D9717E2C-E3BD-4DA2-AC65-D9D8F132CD6E}" name="Column11154"/>
    <tableColumn id="11186" xr3:uid="{8478EB8E-3963-4622-B675-09CEA4D20789}" name="Column11155"/>
    <tableColumn id="11187" xr3:uid="{84FBD3BE-C886-454D-A004-87ABF5E3296D}" name="Column11156"/>
    <tableColumn id="11188" xr3:uid="{F2AF2FA3-A8A7-433F-82E4-C5472B019B22}" name="Column11157"/>
    <tableColumn id="11189" xr3:uid="{99B3050C-52B8-4B6A-9A68-914B569E49E4}" name="Column11158"/>
    <tableColumn id="11190" xr3:uid="{5BDF837E-2A5E-4E5A-AE92-7E22632DB5D9}" name="Column11159"/>
    <tableColumn id="11191" xr3:uid="{9FC97758-79DF-4A45-AA08-E88AC0500519}" name="Column11160"/>
    <tableColumn id="11192" xr3:uid="{198BAF27-CA50-4817-A586-397A233F697A}" name="Column11161"/>
    <tableColumn id="11193" xr3:uid="{2858C13F-BA69-4D6C-9AB1-6046F6EA0246}" name="Column11162"/>
    <tableColumn id="11194" xr3:uid="{9383F6D1-6B1A-4650-8639-23D23F41F661}" name="Column11163"/>
    <tableColumn id="11195" xr3:uid="{51C56482-AFC7-4470-A508-0E13203B2E9F}" name="Column11164"/>
    <tableColumn id="11196" xr3:uid="{D62D984F-8418-4CCB-B25B-BEDFD763580F}" name="Column11165"/>
    <tableColumn id="11197" xr3:uid="{6A07FCFB-D05F-4AA9-BBBA-F27BA11964D8}" name="Column11166"/>
    <tableColumn id="11198" xr3:uid="{4DD13876-3AAF-4F28-9F24-C03BCD1DD718}" name="Column11167"/>
    <tableColumn id="11199" xr3:uid="{7A299786-C8EE-4C8C-BAF9-0F5FD3C67362}" name="Column11168"/>
    <tableColumn id="11200" xr3:uid="{77FC4979-EC8F-45C7-B59F-F481DE2DEBC1}" name="Column11169"/>
    <tableColumn id="11201" xr3:uid="{D65020FE-EF4F-4321-B950-BC189B9568EF}" name="Column11170"/>
    <tableColumn id="11202" xr3:uid="{86FD9AF3-1809-4EDD-8C89-FC3832937DCB}" name="Column11171"/>
    <tableColumn id="11203" xr3:uid="{51A4F40F-8B03-433F-9B50-AC658607C18A}" name="Column11172"/>
    <tableColumn id="11204" xr3:uid="{610E6F98-A15F-418B-82ED-C2D0DB969697}" name="Column11173"/>
    <tableColumn id="11205" xr3:uid="{22C88423-9DDE-4DEF-BCEC-28203A9AEF37}" name="Column11174"/>
    <tableColumn id="11206" xr3:uid="{0C926C47-0958-4D67-9966-4C5D6F2C558A}" name="Column11175"/>
    <tableColumn id="11207" xr3:uid="{CD06CA82-1A4C-455E-9D10-086BC41F3C27}" name="Column11176"/>
    <tableColumn id="11208" xr3:uid="{08CE426C-F045-49BE-A88B-9F24209635A4}" name="Column11177"/>
    <tableColumn id="11209" xr3:uid="{64B24FD3-2634-4EE1-9209-00040BD96A0C}" name="Column11178"/>
    <tableColumn id="11210" xr3:uid="{FB45B921-9BC8-4905-BCC1-012D8394C84C}" name="Column11179"/>
    <tableColumn id="11211" xr3:uid="{E8978EA8-7ACD-4A27-BD4E-CB6B2F405EB1}" name="Column11180"/>
    <tableColumn id="11212" xr3:uid="{CC9B6601-6392-4591-9354-6D607D482A1D}" name="Column11181"/>
    <tableColumn id="11213" xr3:uid="{59C10FE0-23BD-4775-8328-61274225767B}" name="Column11182"/>
    <tableColumn id="11214" xr3:uid="{D45DBAD1-B625-47CE-B7AC-BACA4ECC4DD2}" name="Column11183"/>
    <tableColumn id="11215" xr3:uid="{B84D2A42-4C3C-4CCC-A6D5-1081151DE455}" name="Column11184"/>
    <tableColumn id="11216" xr3:uid="{FE92350E-CAB0-40EB-9EE1-BF383D3624C0}" name="Column11185"/>
    <tableColumn id="11217" xr3:uid="{EE1A4236-25D6-404B-8022-7568AB3E6B3B}" name="Column11186"/>
    <tableColumn id="11218" xr3:uid="{937F523E-A2CE-4476-9E46-6593A6CDAF70}" name="Column11187"/>
    <tableColumn id="11219" xr3:uid="{18FAFAF3-76F2-44A7-8761-5549DA1920C6}" name="Column11188"/>
    <tableColumn id="11220" xr3:uid="{FBD41CDC-3119-4EAB-B176-B6B3A58A6872}" name="Column11189"/>
    <tableColumn id="11221" xr3:uid="{E81913D3-FAAE-4D47-9B88-4DEC1085FBCE}" name="Column11190"/>
    <tableColumn id="11222" xr3:uid="{C646C7DB-71DF-4E25-9F52-B96057CF7D79}" name="Column11191"/>
    <tableColumn id="11223" xr3:uid="{9250A6E4-12E5-4241-9230-EFDA249B84D9}" name="Column11192"/>
    <tableColumn id="11224" xr3:uid="{E1CFC61C-E12F-4D1D-A879-1E0923565F33}" name="Column11193"/>
    <tableColumn id="11225" xr3:uid="{4B43F322-E7A9-4627-BDE8-4434AB294F34}" name="Column11194"/>
    <tableColumn id="11226" xr3:uid="{672450F9-1A47-4BE1-9F0F-B2D415608965}" name="Column11195"/>
    <tableColumn id="11227" xr3:uid="{480D72EA-09DD-4A11-8CDD-A1EC5737C8AC}" name="Column11196"/>
    <tableColumn id="11228" xr3:uid="{B3594141-C24C-4F98-8608-306BD4160609}" name="Column11197"/>
    <tableColumn id="11229" xr3:uid="{DF8DD4A4-DF63-4C13-9A8C-FD65B88B2CDE}" name="Column11198"/>
    <tableColumn id="11230" xr3:uid="{1F39BF46-6741-4EAD-BA7C-DAE3D26F127B}" name="Column11199"/>
    <tableColumn id="11231" xr3:uid="{9046BFCE-FCDE-4A8B-8164-3593477DEE0B}" name="Column11200"/>
    <tableColumn id="11232" xr3:uid="{5501C10D-9B9C-466B-9A1E-11DB21B7FF70}" name="Column11201"/>
    <tableColumn id="11233" xr3:uid="{06FA92A6-10F4-4145-98B8-F83E9BAF5F25}" name="Column11202"/>
    <tableColumn id="11234" xr3:uid="{ED9267AC-D9E4-4B1E-A3B4-2DE8BC139D5C}" name="Column11203"/>
    <tableColumn id="11235" xr3:uid="{AEC839CC-0277-4B9A-AC98-EE4BF7D443E6}" name="Column11204"/>
    <tableColumn id="11236" xr3:uid="{4235006E-CCDA-4403-AB73-B409191AD190}" name="Column11205"/>
    <tableColumn id="11237" xr3:uid="{C82A1148-56AB-4EE8-85D8-10563B4F5067}" name="Column11206"/>
    <tableColumn id="11238" xr3:uid="{DB7E2650-6371-474F-BC42-03781A65F060}" name="Column11207"/>
    <tableColumn id="11239" xr3:uid="{F5A72737-DA56-4540-AFD8-DAF15A318CF4}" name="Column11208"/>
    <tableColumn id="11240" xr3:uid="{311E62EB-0F8A-44E3-9E26-999F3AA8C7C6}" name="Column11209"/>
    <tableColumn id="11241" xr3:uid="{2A016275-B9E1-45B0-9487-8D76F761D905}" name="Column11210"/>
    <tableColumn id="11242" xr3:uid="{D517C853-5FAA-4B06-B2F8-752998B70829}" name="Column11211"/>
    <tableColumn id="11243" xr3:uid="{081EDD03-F638-4407-A9E6-84FC3871AB03}" name="Column11212"/>
    <tableColumn id="11244" xr3:uid="{02B6B0C6-DD37-4590-B808-29C10D307ACC}" name="Column11213"/>
    <tableColumn id="11245" xr3:uid="{0BDA54A5-915C-4FE7-8DD0-642F69497865}" name="Column11214"/>
    <tableColumn id="11246" xr3:uid="{1806837F-C1D1-403F-B565-A46D9E7BB00E}" name="Column11215"/>
    <tableColumn id="11247" xr3:uid="{85887509-243B-4782-8A77-41BAC03679CD}" name="Column11216"/>
    <tableColumn id="11248" xr3:uid="{04640622-DE9F-4D31-88AA-3540508F8729}" name="Column11217"/>
    <tableColumn id="11249" xr3:uid="{9FEB00B6-DB43-41C2-ABDA-02E7DC4BF050}" name="Column11218"/>
    <tableColumn id="11250" xr3:uid="{C1029567-100F-46F4-9384-06E0EBDDE0D9}" name="Column11219"/>
    <tableColumn id="11251" xr3:uid="{50F22C13-D7FA-4B4A-A291-2D5C751FEEE4}" name="Column11220"/>
    <tableColumn id="11252" xr3:uid="{C1C10329-53B9-4002-8FEA-31E7788CE61E}" name="Column11221"/>
    <tableColumn id="11253" xr3:uid="{EEE75CF5-9429-43B0-A2E8-91FB0B9D8AB9}" name="Column11222"/>
    <tableColumn id="11254" xr3:uid="{09206030-6E7B-4798-B74A-9AD0323C539B}" name="Column11223"/>
    <tableColumn id="11255" xr3:uid="{7F1370CE-1160-4B89-B06E-2DA2924EB027}" name="Column11224"/>
    <tableColumn id="11256" xr3:uid="{0FA811AD-AE04-40BB-B7AB-074E634F478D}" name="Column11225"/>
    <tableColumn id="11257" xr3:uid="{65600B12-6410-4C61-878C-96F6B031EAE9}" name="Column11226"/>
    <tableColumn id="11258" xr3:uid="{BC83B1D2-1CE8-4305-8135-499D1E4642ED}" name="Column11227"/>
    <tableColumn id="11259" xr3:uid="{3CDBE646-7DA7-46B0-ACF5-59B6426E78F4}" name="Column11228"/>
    <tableColumn id="11260" xr3:uid="{DDB83D42-40C8-4D09-B4A7-7D252CC2DCCF}" name="Column11229"/>
    <tableColumn id="11261" xr3:uid="{D7184A0F-3991-4A92-BA4B-A68258FA9CD6}" name="Column11230"/>
    <tableColumn id="11262" xr3:uid="{8CB22787-965E-4B2A-89E1-776743D2D2D1}" name="Column11231"/>
    <tableColumn id="11263" xr3:uid="{C73DBCE7-E74A-447A-8F69-E71A20AEBC65}" name="Column11232"/>
    <tableColumn id="11264" xr3:uid="{B40A9A2F-6330-4FD4-ACBD-9158854FBC89}" name="Column11233"/>
    <tableColumn id="11265" xr3:uid="{0821F92A-D026-4C9B-8458-0394E9C37432}" name="Column11234"/>
    <tableColumn id="11266" xr3:uid="{3E9E45C6-82A3-4274-B34E-0230960DD3D1}" name="Column11235"/>
    <tableColumn id="11267" xr3:uid="{247C1F65-A686-4B2F-815A-EB4894A35DE3}" name="Column11236"/>
    <tableColumn id="11268" xr3:uid="{D8A9F7DD-6506-45B9-A865-3A967B74B627}" name="Column11237"/>
    <tableColumn id="11269" xr3:uid="{E4FE0F0C-E1F1-43D1-B762-3A4BE15D0E9D}" name="Column11238"/>
    <tableColumn id="11270" xr3:uid="{50BBDCED-6931-4B0E-9AB6-44CE645EA0C1}" name="Column11239"/>
    <tableColumn id="11271" xr3:uid="{EC9175C3-AA8F-4CC6-947B-2D967064829C}" name="Column11240"/>
    <tableColumn id="11272" xr3:uid="{F3E6025F-6ABD-4740-AF6D-80624EA710E8}" name="Column11241"/>
    <tableColumn id="11273" xr3:uid="{A2B868DC-53A2-45D1-9262-F03D6A11D6C3}" name="Column11242"/>
    <tableColumn id="11274" xr3:uid="{598AD14A-CE42-4081-BD8F-1AF466844614}" name="Column11243"/>
    <tableColumn id="11275" xr3:uid="{5AC9FB6A-0F90-481E-A373-2C58E847B602}" name="Column11244"/>
    <tableColumn id="11276" xr3:uid="{D99F573C-0740-4E10-B73D-959D33293884}" name="Column11245"/>
    <tableColumn id="11277" xr3:uid="{B0A3FD9E-7296-45EC-92BC-FC6FB1903EB1}" name="Column11246"/>
    <tableColumn id="11278" xr3:uid="{2193EF22-0C71-4ADC-9722-D63F966FF1E7}" name="Column11247"/>
    <tableColumn id="11279" xr3:uid="{FBBCB447-CFB8-41A3-A91B-46758D4DABE9}" name="Column11248"/>
    <tableColumn id="11280" xr3:uid="{C7770456-6FE6-400E-949D-1EA6B4FB3689}" name="Column11249"/>
    <tableColumn id="11281" xr3:uid="{B4F25D09-4002-4ED6-AA0F-6F95090AE003}" name="Column11250"/>
    <tableColumn id="11282" xr3:uid="{2642B2E2-BF61-48E1-A451-1B4498308F88}" name="Column11251"/>
    <tableColumn id="11283" xr3:uid="{4665889C-E541-4117-86CF-8F978A7FDF99}" name="Column11252"/>
    <tableColumn id="11284" xr3:uid="{79833457-7FEA-4EE6-BE33-6F39F56B2B79}" name="Column11253"/>
    <tableColumn id="11285" xr3:uid="{FD60BE86-53B3-4D23-AF27-181B4F2CBC58}" name="Column11254"/>
    <tableColumn id="11286" xr3:uid="{64011797-BF58-4EC8-A002-B74C099BA712}" name="Column11255"/>
    <tableColumn id="11287" xr3:uid="{07736D32-3184-499A-B52E-F104F502413E}" name="Column11256"/>
    <tableColumn id="11288" xr3:uid="{E8DB0F7C-7C57-41EA-8D5D-F88AE972E4B5}" name="Column11257"/>
    <tableColumn id="11289" xr3:uid="{052241A7-306E-405A-81DD-4A741A44C244}" name="Column11258"/>
    <tableColumn id="11290" xr3:uid="{1FABC781-CF9A-443A-A3AE-9A7D3075C068}" name="Column11259"/>
    <tableColumn id="11291" xr3:uid="{9CA81BC4-D2DD-442C-9E20-E57A5088C4A5}" name="Column11260"/>
    <tableColumn id="11292" xr3:uid="{AE59F503-E577-472C-977B-305C196BB0F0}" name="Column11261"/>
    <tableColumn id="11293" xr3:uid="{81D2DDD3-551C-4BFA-BFDF-AE981D36DF87}" name="Column11262"/>
    <tableColumn id="11294" xr3:uid="{78025B3E-F091-4DEF-81F7-CCEE47A1B923}" name="Column11263"/>
    <tableColumn id="11295" xr3:uid="{1FC66377-8AD8-48A5-91C6-92C65A19093C}" name="Column11264"/>
    <tableColumn id="11296" xr3:uid="{18F41E8A-C8E6-4AB1-B4FC-73D89C2B6536}" name="Column11265"/>
    <tableColumn id="11297" xr3:uid="{3770F9D4-40D2-42DB-B35E-244415EFC542}" name="Column11266"/>
    <tableColumn id="11298" xr3:uid="{90217362-F7F2-4612-B88C-89E6B1FB2615}" name="Column11267"/>
    <tableColumn id="11299" xr3:uid="{CACB689C-595F-42BF-A7F8-DFADCF888C93}" name="Column11268"/>
    <tableColumn id="11300" xr3:uid="{8FAD2D08-0C4D-4C44-8318-3F99FAFF6DE2}" name="Column11269"/>
    <tableColumn id="11301" xr3:uid="{C8C81AE0-3A6D-45EA-9238-444F6CE27F01}" name="Column11270"/>
    <tableColumn id="11302" xr3:uid="{07CCCBFE-C7A8-4FA0-9E01-627E0F0AAC9A}" name="Column11271"/>
    <tableColumn id="11303" xr3:uid="{FEFB5083-7F27-48E2-A8C7-9BA7CE88EEB2}" name="Column11272"/>
    <tableColumn id="11304" xr3:uid="{8846C1F4-081F-46B7-A21E-DBE3B5BC5249}" name="Column11273"/>
    <tableColumn id="11305" xr3:uid="{6B5AE77F-7FAE-4DCF-AFD6-83EE0DBFA8E8}" name="Column11274"/>
    <tableColumn id="11306" xr3:uid="{036CF08C-E0E9-429C-987C-492E2075B13E}" name="Column11275"/>
    <tableColumn id="11307" xr3:uid="{2FE3DFC5-F33B-470D-80BF-74100A9E53AA}" name="Column11276"/>
    <tableColumn id="11308" xr3:uid="{059BD9CC-2F4C-4852-A5B6-ACFD8C778641}" name="Column11277"/>
    <tableColumn id="11309" xr3:uid="{1B9B2369-2F9E-4E11-A4BC-565681742653}" name="Column11278"/>
    <tableColumn id="11310" xr3:uid="{02B1D6A5-3B27-4F87-AFFE-AEB605A8063F}" name="Column11279"/>
    <tableColumn id="11311" xr3:uid="{9451869A-BC0B-4232-85D7-C52D81E67766}" name="Column11280"/>
    <tableColumn id="11312" xr3:uid="{00163C8B-BE51-4680-8057-6A7B6D58007C}" name="Column11281"/>
    <tableColumn id="11313" xr3:uid="{57178B62-F434-4284-9CF8-3B43EE874F16}" name="Column11282"/>
    <tableColumn id="11314" xr3:uid="{12B3A23D-A045-42D6-9E79-79A985D2D9D6}" name="Column11283"/>
    <tableColumn id="11315" xr3:uid="{2B2F82CE-E4D6-4879-A5C9-A711011D9E89}" name="Column11284"/>
    <tableColumn id="11316" xr3:uid="{127D6EF1-5184-4DC5-A559-E8433697EF89}" name="Column11285"/>
    <tableColumn id="11317" xr3:uid="{DFB51854-C5F3-4253-A2E6-0501287AA8A1}" name="Column11286"/>
    <tableColumn id="11318" xr3:uid="{274AA349-9B62-44EA-93F6-BD5DD963CDB2}" name="Column11287"/>
    <tableColumn id="11319" xr3:uid="{B202ED6D-B0DF-4056-91CA-B6D8E38958FF}" name="Column11288"/>
    <tableColumn id="11320" xr3:uid="{DDDCFEEF-F6C5-4E1D-BCB7-A5023FF3E5D9}" name="Column11289"/>
    <tableColumn id="11321" xr3:uid="{22654F1D-A6AD-4CA2-A634-28CBB3DF499B}" name="Column11290"/>
    <tableColumn id="11322" xr3:uid="{5D3F113D-C53D-4F52-A09D-646A6F90F8F5}" name="Column11291"/>
    <tableColumn id="11323" xr3:uid="{7EC58B67-D991-42C9-90D0-3A2B27A1F04A}" name="Column11292"/>
    <tableColumn id="11324" xr3:uid="{82B928AA-991C-47AC-8A47-72442434C910}" name="Column11293"/>
    <tableColumn id="11325" xr3:uid="{6C24CB04-88A8-4599-90F5-0AB0052DEA26}" name="Column11294"/>
    <tableColumn id="11326" xr3:uid="{41825D91-CC46-470B-BB69-1216042CEE3C}" name="Column11295"/>
    <tableColumn id="11327" xr3:uid="{10CCD0B4-EDAE-45CC-AE13-70683FA1D9ED}" name="Column11296"/>
    <tableColumn id="11328" xr3:uid="{9D7C5CDB-6DA8-4E86-9B69-FA27374653DE}" name="Column11297"/>
    <tableColumn id="11329" xr3:uid="{79C70979-8A71-4BC9-B287-A77E9DB5CE79}" name="Column11298"/>
    <tableColumn id="11330" xr3:uid="{6972C48B-4937-4C99-90A0-FDFB488A68F2}" name="Column11299"/>
    <tableColumn id="11331" xr3:uid="{FA5B4C2E-04EF-452C-B772-DD3525B71005}" name="Column11300"/>
    <tableColumn id="11332" xr3:uid="{9CA4FA89-2B5B-4D89-97C2-C440608D6FF2}" name="Column11301"/>
    <tableColumn id="11333" xr3:uid="{9E2D21DC-B64E-4B17-B514-FC73C07C5F70}" name="Column11302"/>
    <tableColumn id="11334" xr3:uid="{E2451ADA-EF1A-4FA4-9145-405BA32503CB}" name="Column11303"/>
    <tableColumn id="11335" xr3:uid="{CD5615B8-C23C-4992-B1D0-FB652F0C1B50}" name="Column11304"/>
    <tableColumn id="11336" xr3:uid="{4CA041E7-548A-400E-B046-B4F1214724DF}" name="Column11305"/>
    <tableColumn id="11337" xr3:uid="{D361F897-CFF7-40FD-A9A1-651DDB8B5B3D}" name="Column11306"/>
    <tableColumn id="11338" xr3:uid="{1ABC422A-F7AF-48A0-A7B4-BD824247D7DA}" name="Column11307"/>
    <tableColumn id="11339" xr3:uid="{EBD573A6-540B-44F6-882E-752921F23B6E}" name="Column11308"/>
    <tableColumn id="11340" xr3:uid="{61ACCD24-CE24-413A-9BB6-899B6339EA12}" name="Column11309"/>
    <tableColumn id="11341" xr3:uid="{99DD4B9B-5ED2-4DD7-896E-B18DDDE3BFD1}" name="Column11310"/>
    <tableColumn id="11342" xr3:uid="{66A6F21D-2E81-44F0-A14F-5FC6014F4CDF}" name="Column11311"/>
    <tableColumn id="11343" xr3:uid="{7700B76C-81B9-4C38-A05D-3761726D2414}" name="Column11312"/>
    <tableColumn id="11344" xr3:uid="{93D8CFDF-3FE4-4CDF-90B1-3CBD07FA05FE}" name="Column11313"/>
    <tableColumn id="11345" xr3:uid="{E244C0A6-1E2D-43AA-AA9D-79037AF97EF1}" name="Column11314"/>
    <tableColumn id="11346" xr3:uid="{6F862153-B6ED-4ADF-8CD5-7EC7F431440D}" name="Column11315"/>
    <tableColumn id="11347" xr3:uid="{33B0F60E-B30B-411A-AD47-B3A59B859EE7}" name="Column11316"/>
    <tableColumn id="11348" xr3:uid="{8D59B298-4D7B-475D-8C37-06619C0141F5}" name="Column11317"/>
    <tableColumn id="11349" xr3:uid="{1670F9ED-7977-4F99-9AAC-6BDF8427F9CC}" name="Column11318"/>
    <tableColumn id="11350" xr3:uid="{88FBBB37-3E9E-4563-86AB-1A56CC02D9CE}" name="Column11319"/>
    <tableColumn id="11351" xr3:uid="{3D861415-B6DC-41B2-999E-6690E9B7FBA5}" name="Column11320"/>
    <tableColumn id="11352" xr3:uid="{06808D55-FB7A-4018-B314-751A853EF456}" name="Column11321"/>
    <tableColumn id="11353" xr3:uid="{F0860D43-6435-4C74-80EB-A594B5BE6D0A}" name="Column11322"/>
    <tableColumn id="11354" xr3:uid="{82529A84-55AC-4271-A5EC-8078D5445397}" name="Column11323"/>
    <tableColumn id="11355" xr3:uid="{4C35E35E-251F-4594-9F4F-F40805C76FFC}" name="Column11324"/>
    <tableColumn id="11356" xr3:uid="{2E3D10A2-91D7-4C77-977F-F9003806E092}" name="Column11325"/>
    <tableColumn id="11357" xr3:uid="{70539175-2768-4630-BC54-AFADDE8DF531}" name="Column11326"/>
    <tableColumn id="11358" xr3:uid="{8625D5DC-7AD0-4668-8D65-8DFDE2FCEC89}" name="Column11327"/>
    <tableColumn id="11359" xr3:uid="{B1B4A72A-E551-40CC-BC87-BDC7AD8C0E42}" name="Column11328"/>
    <tableColumn id="11360" xr3:uid="{4F78CDC7-84CA-4C7F-B71C-DA1443EFB048}" name="Column11329"/>
    <tableColumn id="11361" xr3:uid="{1B4A3A3B-B79D-46B6-9936-F70543CC0488}" name="Column11330"/>
    <tableColumn id="11362" xr3:uid="{DBCAB379-5322-44E1-BB57-6982A3F2CF26}" name="Column11331"/>
    <tableColumn id="11363" xr3:uid="{B256F9A5-8562-4203-8562-F69E8AA8DA91}" name="Column11332"/>
    <tableColumn id="11364" xr3:uid="{0D19C300-FB0E-4B3F-A0F0-196886042AF5}" name="Column11333"/>
    <tableColumn id="11365" xr3:uid="{BA6ADA21-1C6E-43EF-AA2E-42C108FC8349}" name="Column11334"/>
    <tableColumn id="11366" xr3:uid="{806B181C-D0C4-4948-9DE9-F77DCA6042E2}" name="Column11335"/>
    <tableColumn id="11367" xr3:uid="{20CF1ECC-5E00-45CC-AA15-8DB16292159E}" name="Column11336"/>
    <tableColumn id="11368" xr3:uid="{4B78A9A1-DB63-47C4-9593-4A920CD3F498}" name="Column11337"/>
    <tableColumn id="11369" xr3:uid="{1FF2211A-0E4D-4281-B90D-311D779C28DF}" name="Column11338"/>
    <tableColumn id="11370" xr3:uid="{96B1E784-8DC8-4E10-97D1-A6BD6061ECFC}" name="Column11339"/>
    <tableColumn id="11371" xr3:uid="{A7BE36A9-61F8-4F67-8349-F6300045B62C}" name="Column11340"/>
    <tableColumn id="11372" xr3:uid="{CF5089FD-7807-42A9-A612-0DA4397F1A35}" name="Column11341"/>
    <tableColumn id="11373" xr3:uid="{8E6AB288-A514-470B-BFF3-C3451BF00603}" name="Column11342"/>
    <tableColumn id="11374" xr3:uid="{534E4373-4ACD-441D-B887-52851B1D48A2}" name="Column11343"/>
    <tableColumn id="11375" xr3:uid="{F582801A-F98B-4784-AD29-99EB7E2C1CE8}" name="Column11344"/>
    <tableColumn id="11376" xr3:uid="{E79989DB-7C42-4586-831C-68FA2F5A452F}" name="Column11345"/>
    <tableColumn id="11377" xr3:uid="{D4B1FCE2-640E-437E-9832-36CA1815A129}" name="Column11346"/>
    <tableColumn id="11378" xr3:uid="{538C3FFD-776E-48FD-8E5F-D4E5A868E162}" name="Column11347"/>
    <tableColumn id="11379" xr3:uid="{B1498F0D-EBED-42A8-B75C-A0920711165C}" name="Column11348"/>
    <tableColumn id="11380" xr3:uid="{307DA4AB-5315-4297-B2E6-746C1EB971BC}" name="Column11349"/>
    <tableColumn id="11381" xr3:uid="{C3C1AC83-46AB-4ADB-9626-6D5FEE75B46B}" name="Column11350"/>
    <tableColumn id="11382" xr3:uid="{CF73144D-E64B-43FB-871F-4C7D64730C00}" name="Column11351"/>
    <tableColumn id="11383" xr3:uid="{F4E7B158-7503-481A-8295-C78172AF872C}" name="Column11352"/>
    <tableColumn id="11384" xr3:uid="{6D6670BF-1A75-416F-867F-CFB919E56EAC}" name="Column11353"/>
    <tableColumn id="11385" xr3:uid="{8C9057C7-DAAA-43DB-8528-1EDF5C60CC84}" name="Column11354"/>
    <tableColumn id="11386" xr3:uid="{E9F56AEF-CAF2-4A8B-8653-0F0489C2A182}" name="Column11355"/>
    <tableColumn id="11387" xr3:uid="{04A94F5C-E7F9-4CE3-9628-56B74149C7B3}" name="Column11356"/>
    <tableColumn id="11388" xr3:uid="{8B97F515-1887-42FA-93F2-4C4D0CA4BC0C}" name="Column11357"/>
    <tableColumn id="11389" xr3:uid="{CB1152AF-22B0-4199-8C48-A512C63951D8}" name="Column11358"/>
    <tableColumn id="11390" xr3:uid="{A7A5ED66-548B-4BFA-91D1-EBACDF5F239D}" name="Column11359"/>
    <tableColumn id="11391" xr3:uid="{F4752F5C-8299-4B43-8E8A-F89D9DDEFA90}" name="Column11360"/>
    <tableColumn id="11392" xr3:uid="{39D304D3-0034-4F25-B464-DBF35817CCD8}" name="Column11361"/>
    <tableColumn id="11393" xr3:uid="{2A9998D1-3A14-4B42-A35C-C1F5543E6FB9}" name="Column11362"/>
    <tableColumn id="11394" xr3:uid="{DDEF3097-3A61-4F7C-BDA5-82D5CC739B18}" name="Column11363"/>
    <tableColumn id="11395" xr3:uid="{E788EE5C-58E3-42E4-9FBE-655AE4D8A299}" name="Column11364"/>
    <tableColumn id="11396" xr3:uid="{0CBCBB52-B0B0-46FC-ADAB-90658748A4BA}" name="Column11365"/>
    <tableColumn id="11397" xr3:uid="{37F98CF3-CA87-4FA9-9EBE-229EFFA43791}" name="Column11366"/>
    <tableColumn id="11398" xr3:uid="{96420204-59D3-4767-9A73-EAE47C521986}" name="Column11367"/>
    <tableColumn id="11399" xr3:uid="{A7B5CE60-8187-4390-9B2E-D11794532E26}" name="Column11368"/>
    <tableColumn id="11400" xr3:uid="{27D7425D-A44B-4AC5-A8E8-63A452829EDF}" name="Column11369"/>
    <tableColumn id="11401" xr3:uid="{8A08CDB9-1694-4A08-A61A-2C025E2056AB}" name="Column11370"/>
    <tableColumn id="11402" xr3:uid="{C609E469-1860-486C-B48D-BB7A2974B9C2}" name="Column11371"/>
    <tableColumn id="11403" xr3:uid="{818D0BC0-1F63-40F4-89B8-F2AA4F7D32C2}" name="Column11372"/>
    <tableColumn id="11404" xr3:uid="{6480470D-CABF-458E-A250-69B498503C8D}" name="Column11373"/>
    <tableColumn id="11405" xr3:uid="{D18B2310-B596-46CE-8CFD-C852B5916C5C}" name="Column11374"/>
    <tableColumn id="11406" xr3:uid="{B236C462-3821-4244-A423-8C916123FD94}" name="Column11375"/>
    <tableColumn id="11407" xr3:uid="{9E20C42C-1237-4191-AA31-E9ABEBE019FD}" name="Column11376"/>
    <tableColumn id="11408" xr3:uid="{C244B0F4-CF0D-4FDE-A298-06027C9FA04E}" name="Column11377"/>
    <tableColumn id="11409" xr3:uid="{4BABAFB4-5A35-4001-9BB3-5C076F4C30DF}" name="Column11378"/>
    <tableColumn id="11410" xr3:uid="{871FC788-50B6-467D-80B3-D6AC50696B03}" name="Column11379"/>
    <tableColumn id="11411" xr3:uid="{0185FBE8-4178-4026-82D5-6E32A7417E73}" name="Column11380"/>
    <tableColumn id="11412" xr3:uid="{59184252-C876-4D81-944C-D353186234E2}" name="Column11381"/>
    <tableColumn id="11413" xr3:uid="{306789BD-FA6A-4F46-B47E-33B8A65452A2}" name="Column11382"/>
    <tableColumn id="11414" xr3:uid="{EB3EF7EC-9021-470A-A703-97A612AE2D7B}" name="Column11383"/>
    <tableColumn id="11415" xr3:uid="{AFCC0E83-9489-46E6-B88A-9981DF74FEDD}" name="Column11384"/>
    <tableColumn id="11416" xr3:uid="{5414BF0F-1BE9-48E4-B340-08D001460EF3}" name="Column11385"/>
    <tableColumn id="11417" xr3:uid="{69235124-263D-4CA0-BDB0-54861B9E76CB}" name="Column11386"/>
    <tableColumn id="11418" xr3:uid="{98CB29C6-D0B5-4356-828A-105EDD99A315}" name="Column11387"/>
    <tableColumn id="11419" xr3:uid="{0C446D3B-6DE1-4956-8936-BCA9E749469F}" name="Column11388"/>
    <tableColumn id="11420" xr3:uid="{0BF91F26-9ECD-4C46-8173-10C15BB462A0}" name="Column11389"/>
    <tableColumn id="11421" xr3:uid="{DFBE9F74-9854-437F-8EA5-DEA1D48F56E9}" name="Column11390"/>
    <tableColumn id="11422" xr3:uid="{48AEE4AE-32D7-4C5F-AE1D-83A9BBFAA132}" name="Column11391"/>
    <tableColumn id="11423" xr3:uid="{825EBD23-F195-4626-BE94-224886FF242D}" name="Column11392"/>
    <tableColumn id="11424" xr3:uid="{61693A19-39A8-474F-B893-9712C399A4D6}" name="Column11393"/>
    <tableColumn id="11425" xr3:uid="{F5B7B1CC-E183-487C-BC39-EABFE5D45911}" name="Column11394"/>
    <tableColumn id="11426" xr3:uid="{E0AC26F3-246F-4FE4-AB8F-E80465E49B4C}" name="Column11395"/>
    <tableColumn id="11427" xr3:uid="{610B3C10-C496-4209-B02E-F80305D1AD14}" name="Column11396"/>
    <tableColumn id="11428" xr3:uid="{163B6487-0FBA-4BAF-A765-94C0752636D6}" name="Column11397"/>
    <tableColumn id="11429" xr3:uid="{DC44C1B7-98AD-4063-88D6-4730E54812EE}" name="Column11398"/>
    <tableColumn id="11430" xr3:uid="{84BAF920-311A-4AD7-ABCF-C15ED6394390}" name="Column11399"/>
    <tableColumn id="11431" xr3:uid="{7766ECFE-4D39-48C0-AB3A-97D54AF4D8EC}" name="Column11400"/>
    <tableColumn id="11432" xr3:uid="{60137968-7496-420F-9A63-AA7A08A81916}" name="Column11401"/>
    <tableColumn id="11433" xr3:uid="{4955A289-BA8D-49ED-880B-8161C6AD6B6D}" name="Column11402"/>
    <tableColumn id="11434" xr3:uid="{D3036CFD-542C-432B-9E2B-B68B2D7133B5}" name="Column11403"/>
    <tableColumn id="11435" xr3:uid="{7D4F08B5-493F-4E70-95E4-88681006BC32}" name="Column11404"/>
    <tableColumn id="11436" xr3:uid="{9E55064E-5FC0-4DA5-8F51-DA90019B66F2}" name="Column11405"/>
    <tableColumn id="11437" xr3:uid="{3D9D0B2B-6B66-441B-8196-07E35E6FABDB}" name="Column11406"/>
    <tableColumn id="11438" xr3:uid="{BE4F4D70-6856-4720-91EA-35108D2FE1B0}" name="Column11407"/>
    <tableColumn id="11439" xr3:uid="{D22192A0-CC88-4259-9465-BA117FD114A9}" name="Column11408"/>
    <tableColumn id="11440" xr3:uid="{728259F1-38E3-4228-A9B1-3105E3B7A34C}" name="Column11409"/>
    <tableColumn id="11441" xr3:uid="{AAED9642-ECBB-465F-8469-E52E1D8BF19C}" name="Column11410"/>
    <tableColumn id="11442" xr3:uid="{1B15CF63-B5E7-4A74-891E-44C3EF3CA27C}" name="Column11411"/>
    <tableColumn id="11443" xr3:uid="{72F0E21B-8B28-4300-A9E4-CD9FEE2B32FA}" name="Column11412"/>
    <tableColumn id="11444" xr3:uid="{13EFBC5F-3AC9-44AB-9BB2-12A25CDF69B4}" name="Column11413"/>
    <tableColumn id="11445" xr3:uid="{D54D4C2F-9B6F-423D-A586-759DDF573E54}" name="Column11414"/>
    <tableColumn id="11446" xr3:uid="{D133EC41-922E-4546-8463-FE6E3C2B3BA0}" name="Column11415"/>
    <tableColumn id="11447" xr3:uid="{692095AB-0D07-4527-B64A-F8D720779044}" name="Column11416"/>
    <tableColumn id="11448" xr3:uid="{C9A701ED-E06D-48CC-AB18-E39B31C2BA35}" name="Column11417"/>
    <tableColumn id="11449" xr3:uid="{A7AD4AF3-A176-49AB-A1C7-AF0DD1786C36}" name="Column11418"/>
    <tableColumn id="11450" xr3:uid="{134D411D-6A62-43BF-A0EF-135160256383}" name="Column11419"/>
    <tableColumn id="11451" xr3:uid="{686E36A2-304E-4514-AF55-DD4EE865823A}" name="Column11420"/>
    <tableColumn id="11452" xr3:uid="{01B7D304-EBFE-49BC-9625-CAED6F0D49C7}" name="Column11421"/>
    <tableColumn id="11453" xr3:uid="{1F3A8A19-88B5-4724-BB6D-3C71D709E26E}" name="Column11422"/>
    <tableColumn id="11454" xr3:uid="{9E8BF0D9-0BE4-499F-973C-EF7435B8CC26}" name="Column11423"/>
    <tableColumn id="11455" xr3:uid="{F0F89256-D311-4E17-9BC7-B31F1A96A533}" name="Column11424"/>
    <tableColumn id="11456" xr3:uid="{4B4915FE-F5E6-4EB5-B75D-C500F1905E2B}" name="Column11425"/>
    <tableColumn id="11457" xr3:uid="{53FB7A63-D0CE-41B6-AC7B-C314AAC3E871}" name="Column11426"/>
    <tableColumn id="11458" xr3:uid="{11CE38B8-066F-46F4-8A25-E8899F5ADC15}" name="Column11427"/>
    <tableColumn id="11459" xr3:uid="{90B988ED-7CF6-4C19-B1AE-0DBC1408E1CB}" name="Column11428"/>
    <tableColumn id="11460" xr3:uid="{6C88D1FD-C208-4D92-8D0C-9EAE80172EB2}" name="Column11429"/>
    <tableColumn id="11461" xr3:uid="{2D251775-4515-40D2-BA48-B625863A2250}" name="Column11430"/>
    <tableColumn id="11462" xr3:uid="{8E83F761-BFDA-4685-A240-B737AD162E4C}" name="Column11431"/>
    <tableColumn id="11463" xr3:uid="{C8EED346-4ED7-4EC8-9864-CA14B7DBB570}" name="Column11432"/>
    <tableColumn id="11464" xr3:uid="{B9A5F9E5-575F-4EB1-A04A-DA5573737183}" name="Column11433"/>
    <tableColumn id="11465" xr3:uid="{996276F3-0F24-4B05-B44F-5F16367387D1}" name="Column11434"/>
    <tableColumn id="11466" xr3:uid="{CE8FDF2B-924A-43C0-9731-6EB3736489BB}" name="Column11435"/>
    <tableColumn id="11467" xr3:uid="{65263CFC-EE9D-4420-A338-C5B00BBF4BEC}" name="Column11436"/>
    <tableColumn id="11468" xr3:uid="{A2461985-A10E-4284-A28F-9F00E369199F}" name="Column11437"/>
    <tableColumn id="11469" xr3:uid="{0D895215-3F5A-479F-A0FA-0FD0EC8A5045}" name="Column11438"/>
    <tableColumn id="11470" xr3:uid="{032A061A-9A47-46AC-963F-24091E345E1E}" name="Column11439"/>
    <tableColumn id="11471" xr3:uid="{78B3B792-FE9D-4C4A-86AB-2A30B582EBA8}" name="Column11440"/>
    <tableColumn id="11472" xr3:uid="{B026749B-41ED-4D2C-AE66-B4371D62FB86}" name="Column11441"/>
    <tableColumn id="11473" xr3:uid="{5D19A3B4-F6BA-4818-BF5A-F298DDE20D7D}" name="Column11442"/>
    <tableColumn id="11474" xr3:uid="{6DFD5CC1-4B42-46C7-83E0-B490C28D3B66}" name="Column11443"/>
    <tableColumn id="11475" xr3:uid="{6F0A4B1F-CADE-4AED-A079-49431907D8CC}" name="Column11444"/>
    <tableColumn id="11476" xr3:uid="{5BCF7328-7C43-47AF-A5B3-E9F48F46C1BB}" name="Column11445"/>
    <tableColumn id="11477" xr3:uid="{B2D7C260-A2FA-4738-A0EE-3AC9B697A065}" name="Column11446"/>
    <tableColumn id="11478" xr3:uid="{396B5139-67EF-4167-9D02-C7C7BB7B1551}" name="Column11447"/>
    <tableColumn id="11479" xr3:uid="{5F886997-9887-4AD8-B9D9-76A19B456C9B}" name="Column11448"/>
    <tableColumn id="11480" xr3:uid="{7E560260-5B81-4AD0-A83B-456CA7571B32}" name="Column11449"/>
    <tableColumn id="11481" xr3:uid="{7817A3CD-E8F7-4E4C-A88D-E11A91655685}" name="Column11450"/>
    <tableColumn id="11482" xr3:uid="{98C5EC73-772B-4092-BE43-CA6883DE8954}" name="Column11451"/>
    <tableColumn id="11483" xr3:uid="{DAB66A29-7E01-4F25-854C-305173720D09}" name="Column11452"/>
    <tableColumn id="11484" xr3:uid="{322605D4-160A-49B6-AD40-BCB6E77F34D7}" name="Column11453"/>
    <tableColumn id="11485" xr3:uid="{FE8D17A1-BC19-46A7-A2AD-9B4F99F14B3F}" name="Column11454"/>
    <tableColumn id="11486" xr3:uid="{DBF3C5FC-1955-4A85-8650-BB79960164C0}" name="Column11455"/>
    <tableColumn id="11487" xr3:uid="{FF004B02-C4D1-45FF-9C0F-1E787CC6885D}" name="Column11456"/>
    <tableColumn id="11488" xr3:uid="{EFD96E61-A79A-42BB-A7E7-B12784FD4F45}" name="Column11457"/>
    <tableColumn id="11489" xr3:uid="{7F838422-B6B2-4DCA-A98B-037BCAA77046}" name="Column11458"/>
    <tableColumn id="11490" xr3:uid="{AABB533E-4FC8-486E-9D51-09E9674F759F}" name="Column11459"/>
    <tableColumn id="11491" xr3:uid="{482CA2F3-B0A3-4FD6-BD5F-85C1E3F841DF}" name="Column11460"/>
    <tableColumn id="11492" xr3:uid="{C395EB09-7892-4B72-831A-8B25F4C3FE42}" name="Column11461"/>
    <tableColumn id="11493" xr3:uid="{6F964797-1058-4088-B9D1-BE76162E92D4}" name="Column11462"/>
    <tableColumn id="11494" xr3:uid="{9BE236CA-221F-4AAA-9563-25512D882B0D}" name="Column11463"/>
    <tableColumn id="11495" xr3:uid="{55A657F1-31F0-4ED4-A8F9-6A3DC30D1D59}" name="Column11464"/>
    <tableColumn id="11496" xr3:uid="{76EE6CEF-5DC1-4EAA-95AD-27D6C2CD3947}" name="Column11465"/>
    <tableColumn id="11497" xr3:uid="{9D0457E1-B7DE-456A-BC3B-8BFD014A4FED}" name="Column11466"/>
    <tableColumn id="11498" xr3:uid="{395F6310-D7A3-44F0-87B6-59133FFDB615}" name="Column11467"/>
    <tableColumn id="11499" xr3:uid="{4AF22235-1084-43D8-8C49-A714C8EB85DF}" name="Column11468"/>
    <tableColumn id="11500" xr3:uid="{15EA6EAF-3E6F-4331-9C0A-C928C79AEA0C}" name="Column11469"/>
    <tableColumn id="11501" xr3:uid="{B4DBB068-8165-4EE1-A548-F8D43318CBB2}" name="Column11470"/>
    <tableColumn id="11502" xr3:uid="{91CFE24B-8759-4D3B-90A0-6C76E88FDE85}" name="Column11471"/>
    <tableColumn id="11503" xr3:uid="{2598F4EF-3D99-4123-8135-A8545A342ED6}" name="Column11472"/>
    <tableColumn id="11504" xr3:uid="{41AE614B-3C28-413F-9F7B-2854337B8FA4}" name="Column11473"/>
    <tableColumn id="11505" xr3:uid="{E9BA647E-8C18-4617-B1DE-27FAC3154FBA}" name="Column11474"/>
    <tableColumn id="11506" xr3:uid="{8D0BF971-FCB2-43A3-B13C-E6DB1FB304A0}" name="Column11475"/>
    <tableColumn id="11507" xr3:uid="{F9DFCD59-0DF7-45A1-8645-C8AE4AB34301}" name="Column11476"/>
    <tableColumn id="11508" xr3:uid="{57D46773-EACB-4929-8560-1D57C3A911B4}" name="Column11477"/>
    <tableColumn id="11509" xr3:uid="{2C05C39C-1CCF-408D-968C-68BBBF26521E}" name="Column11478"/>
    <tableColumn id="11510" xr3:uid="{5F4B0BAA-748E-4875-90C0-9F44EB3923BD}" name="Column11479"/>
    <tableColumn id="11511" xr3:uid="{BE9A0018-2ACF-4BB7-887B-D0E851924C41}" name="Column11480"/>
    <tableColumn id="11512" xr3:uid="{FD689B6A-ABF1-460A-8DCF-E472959D25D1}" name="Column11481"/>
    <tableColumn id="11513" xr3:uid="{F748975F-5FD7-49C0-9518-EB9899797613}" name="Column11482"/>
    <tableColumn id="11514" xr3:uid="{3EAE56CF-378F-4BEF-88EC-E17DEF4E9E8E}" name="Column11483"/>
    <tableColumn id="11515" xr3:uid="{85C6596F-D434-4D3A-B03F-EA13CE586B2E}" name="Column11484"/>
    <tableColumn id="11516" xr3:uid="{38358046-3EFD-4150-9D31-1F428EB3D271}" name="Column11485"/>
    <tableColumn id="11517" xr3:uid="{EB5DF051-8164-4A41-AD4F-35EB9315BA08}" name="Column11486"/>
    <tableColumn id="11518" xr3:uid="{AB944796-4251-46CB-911D-D89F9593B252}" name="Column11487"/>
    <tableColumn id="11519" xr3:uid="{BD84B376-E0C9-46FD-BDD0-D1A900439BCB}" name="Column11488"/>
    <tableColumn id="11520" xr3:uid="{9FCEF4CB-30E1-4CAA-ABE4-6EBAECAD3877}" name="Column11489"/>
    <tableColumn id="11521" xr3:uid="{1AB501F4-06CC-43CD-9435-CB8826936909}" name="Column11490"/>
    <tableColumn id="11522" xr3:uid="{6B6FBC35-AFAB-44AE-8E10-53B4C32ECBEE}" name="Column11491"/>
    <tableColumn id="11523" xr3:uid="{EB6DA425-58EA-401E-AEC9-117A5187B586}" name="Column11492"/>
    <tableColumn id="11524" xr3:uid="{643F6700-664A-4C8E-903D-7A4B6F7690F4}" name="Column11493"/>
    <tableColumn id="11525" xr3:uid="{911C2898-6CD9-4B74-8CE7-809E80113E0D}" name="Column11494"/>
    <tableColumn id="11526" xr3:uid="{51916B9B-ECDE-4578-B445-7B84C9EE065F}" name="Column11495"/>
    <tableColumn id="11527" xr3:uid="{6E3A92D4-EA02-4599-9521-1EE1A3344F9C}" name="Column11496"/>
    <tableColumn id="11528" xr3:uid="{B0D047C3-8E80-48A8-88CD-34D03C05975E}" name="Column11497"/>
    <tableColumn id="11529" xr3:uid="{4527B96E-691A-44EF-B5A2-4DB217EDBC3E}" name="Column11498"/>
    <tableColumn id="11530" xr3:uid="{37A92213-78CC-42BE-B3B2-B04068F54F30}" name="Column11499"/>
    <tableColumn id="11531" xr3:uid="{5076AF6D-6050-41D1-8BC2-C142FFB31947}" name="Column11500"/>
    <tableColumn id="11532" xr3:uid="{44A63751-9D9B-48A8-9D21-6C31958B6610}" name="Column11501"/>
    <tableColumn id="11533" xr3:uid="{F82C718C-46D2-4E1E-A7CC-C18C13720488}" name="Column11502"/>
    <tableColumn id="11534" xr3:uid="{B350BB1A-961F-4F72-8DC0-5842BC12C244}" name="Column11503"/>
    <tableColumn id="11535" xr3:uid="{9F35CA32-9D30-4328-806B-1D6DBF3830C5}" name="Column11504"/>
    <tableColumn id="11536" xr3:uid="{6B189DA7-A5C9-4E9A-AED9-5306F77E8FD2}" name="Column11505"/>
    <tableColumn id="11537" xr3:uid="{405DE94F-B6DE-4B2A-945B-E7CF71A026E2}" name="Column11506"/>
    <tableColumn id="11538" xr3:uid="{926A085B-29F9-4A8F-A3BA-FC580777BCCA}" name="Column11507"/>
    <tableColumn id="11539" xr3:uid="{E3FE6796-88FF-4965-B87B-FE062E1B17E5}" name="Column11508"/>
    <tableColumn id="11540" xr3:uid="{9D0824F4-71C6-4FBD-9F6B-5A67B778D702}" name="Column11509"/>
    <tableColumn id="11541" xr3:uid="{08AD5B4F-1F78-4678-991C-AD6BAF9E2535}" name="Column11510"/>
    <tableColumn id="11542" xr3:uid="{6F7DF56C-12F3-444E-83D2-FE4AAB2499A9}" name="Column11511"/>
    <tableColumn id="11543" xr3:uid="{5F36C30A-608A-4539-9BB2-2D7C0AA759F8}" name="Column11512"/>
    <tableColumn id="11544" xr3:uid="{ED9EE23A-15F0-4BBA-8C11-358AE2A7FC76}" name="Column11513"/>
    <tableColumn id="11545" xr3:uid="{537669EF-91A2-42D0-BCFD-66DFE6EDCE3B}" name="Column11514"/>
    <tableColumn id="11546" xr3:uid="{35469C09-39D4-4F3E-8B04-F9A3FD910904}" name="Column11515"/>
    <tableColumn id="11547" xr3:uid="{E0223BC7-DB66-4A32-8512-4FF722C906F2}" name="Column11516"/>
    <tableColumn id="11548" xr3:uid="{490A33F8-BAB1-4EF9-9572-8CF0CE9F329C}" name="Column11517"/>
    <tableColumn id="11549" xr3:uid="{6D92A31B-8907-44AF-B7B1-634ED088ED43}" name="Column11518"/>
    <tableColumn id="11550" xr3:uid="{EB3D16BB-37DD-4338-996E-A3FE7819F39F}" name="Column11519"/>
    <tableColumn id="11551" xr3:uid="{226C92AD-32BA-4410-B179-5D76F6B3CFBF}" name="Column11520"/>
    <tableColumn id="11552" xr3:uid="{26A8A033-F90F-473B-A468-35EF0D5589CE}" name="Column11521"/>
    <tableColumn id="11553" xr3:uid="{F0D7D066-F3FA-4CAD-920A-DFDBA8D24A95}" name="Column11522"/>
    <tableColumn id="11554" xr3:uid="{D5179FA0-C17F-45BE-8ED3-DF3C8EF74394}" name="Column11523"/>
    <tableColumn id="11555" xr3:uid="{C52A15A2-E4B3-4479-95F2-7665016B66E3}" name="Column11524"/>
    <tableColumn id="11556" xr3:uid="{C369CBFB-B074-4E4A-8208-490ED0451FA7}" name="Column11525"/>
    <tableColumn id="11557" xr3:uid="{6533A71F-DC32-4437-A0B6-FBDAA961D761}" name="Column11526"/>
    <tableColumn id="11558" xr3:uid="{A4204FBA-8270-42D3-91B2-8CB19F086FB9}" name="Column11527"/>
    <tableColumn id="11559" xr3:uid="{251AA7EF-ABA3-44B4-BB4D-B838DDD1DE25}" name="Column11528"/>
    <tableColumn id="11560" xr3:uid="{73FB848E-30AE-4772-8DF5-F55FE55BE857}" name="Column11529"/>
    <tableColumn id="11561" xr3:uid="{D06405C1-48BF-4A06-87B1-A0BA79E0F376}" name="Column11530"/>
    <tableColumn id="11562" xr3:uid="{36474393-C99D-4F49-AF03-011E350FC76A}" name="Column11531"/>
    <tableColumn id="11563" xr3:uid="{EECA1365-3437-4AF1-8070-A1C336D8EEC5}" name="Column11532"/>
    <tableColumn id="11564" xr3:uid="{64EE10B9-0718-41D6-A56E-B976C157D132}" name="Column11533"/>
    <tableColumn id="11565" xr3:uid="{06E93A46-7E7F-40B4-ADCC-4D7EB71DF0AB}" name="Column11534"/>
    <tableColumn id="11566" xr3:uid="{BA9E4ED1-6E15-45EF-A3C5-9A49E6910DDB}" name="Column11535"/>
    <tableColumn id="11567" xr3:uid="{37BA2491-3722-45B1-A865-B5E7F0091CB3}" name="Column11536"/>
    <tableColumn id="11568" xr3:uid="{21F730C8-D0D1-4B54-9E14-5CA3EB9B0863}" name="Column11537"/>
    <tableColumn id="11569" xr3:uid="{96F854F0-9A89-414A-B161-0BE5E202CAE9}" name="Column11538"/>
    <tableColumn id="11570" xr3:uid="{D686DDC9-AE72-4EA0-82DF-1107D7A61812}" name="Column11539"/>
    <tableColumn id="11571" xr3:uid="{FCED9894-1CE4-4B20-8B59-C8886DA97566}" name="Column11540"/>
    <tableColumn id="11572" xr3:uid="{12F4A32B-2174-444B-B1D0-A609F64D0532}" name="Column11541"/>
    <tableColumn id="11573" xr3:uid="{A4CFAD4F-0150-425B-9137-2467CB361408}" name="Column11542"/>
    <tableColumn id="11574" xr3:uid="{5016702E-4D0F-470C-B5E3-9AC43031169C}" name="Column11543"/>
    <tableColumn id="11575" xr3:uid="{A3714DBD-B5F6-40B9-B4D2-B060228DEFD3}" name="Column11544"/>
    <tableColumn id="11576" xr3:uid="{F0F0097B-23B9-4A2E-B001-DC32F96E7C1B}" name="Column11545"/>
    <tableColumn id="11577" xr3:uid="{3222AC5F-9BA4-4B1A-90EF-76F5E84DE768}" name="Column11546"/>
    <tableColumn id="11578" xr3:uid="{58A9C155-63B7-4F15-83CA-767131E52535}" name="Column11547"/>
    <tableColumn id="11579" xr3:uid="{7172496D-DF40-4D08-8915-59DBE35865D9}" name="Column11548"/>
    <tableColumn id="11580" xr3:uid="{91A904C6-753D-4471-A999-BF19E64E8D6A}" name="Column11549"/>
    <tableColumn id="11581" xr3:uid="{9D9993AD-6068-4842-A931-91E1A40B2323}" name="Column11550"/>
    <tableColumn id="11582" xr3:uid="{B6F5281D-85DE-4678-90EE-E39A207FFDDE}" name="Column11551"/>
    <tableColumn id="11583" xr3:uid="{A8266A13-D9AB-4E0D-9FE8-DACFE1FD9C13}" name="Column11552"/>
    <tableColumn id="11584" xr3:uid="{9B753258-F613-43CB-B3E2-70079F44C63B}" name="Column11553"/>
    <tableColumn id="11585" xr3:uid="{0AA72CB9-B14B-4D41-B099-15E00569BDFA}" name="Column11554"/>
    <tableColumn id="11586" xr3:uid="{8AC2EC7D-ED1C-47BD-A70E-1629608FEC06}" name="Column11555"/>
    <tableColumn id="11587" xr3:uid="{D20174C0-69BC-4636-83A1-7C3B45709B96}" name="Column11556"/>
    <tableColumn id="11588" xr3:uid="{2EB6CB01-44FB-4148-A365-1CEF6F93E103}" name="Column11557"/>
    <tableColumn id="11589" xr3:uid="{CE0DBE44-BC60-457E-B143-5B98FFD9E453}" name="Column11558"/>
    <tableColumn id="11590" xr3:uid="{59308D9D-BADF-443A-A727-6D254B99A011}" name="Column11559"/>
    <tableColumn id="11591" xr3:uid="{BFECC075-C301-448A-B448-B656800D55EB}" name="Column11560"/>
    <tableColumn id="11592" xr3:uid="{3E2E9A09-EB59-4370-B0CF-D0CD91D6FD2F}" name="Column11561"/>
    <tableColumn id="11593" xr3:uid="{EC9ABBB6-1BD8-4DAD-AEC2-F22BEFD0BC0F}" name="Column11562"/>
    <tableColumn id="11594" xr3:uid="{72548F0B-C778-45D7-88D5-7353AB211A23}" name="Column11563"/>
    <tableColumn id="11595" xr3:uid="{1894A370-DF53-4BD4-8AC0-5A723D3E3436}" name="Column11564"/>
    <tableColumn id="11596" xr3:uid="{6640E3CF-224B-4967-94CB-C8A6F6D4AC26}" name="Column11565"/>
    <tableColumn id="11597" xr3:uid="{CB0727AC-5EF3-4BC3-8758-37909400DF5D}" name="Column11566"/>
    <tableColumn id="11598" xr3:uid="{ACC80756-C95B-4C66-B7BF-9DA5A5B9C989}" name="Column11567"/>
    <tableColumn id="11599" xr3:uid="{815CFE9B-4034-484A-ADA2-428A5D81B6E1}" name="Column11568"/>
    <tableColumn id="11600" xr3:uid="{F6CD3EC3-7143-423B-9A79-50EF8C81538A}" name="Column11569"/>
    <tableColumn id="11601" xr3:uid="{C24FAC6E-9302-47AC-8582-95664EDFF5FA}" name="Column11570"/>
    <tableColumn id="11602" xr3:uid="{6A85F60F-9D32-4D99-87C7-FC9923B4C800}" name="Column11571"/>
    <tableColumn id="11603" xr3:uid="{05723965-6DC4-4C97-969A-25127C156281}" name="Column11572"/>
    <tableColumn id="11604" xr3:uid="{C9B47F2D-0882-4027-98AE-4DCA005CA77E}" name="Column11573"/>
    <tableColumn id="11605" xr3:uid="{A4F2423E-CFB1-4C5D-B9DA-886151EA57E3}" name="Column11574"/>
    <tableColumn id="11606" xr3:uid="{DDA70765-D674-49CF-AD10-025C9A4F4B25}" name="Column11575"/>
    <tableColumn id="11607" xr3:uid="{64068171-A3E0-4FFE-8A5C-3DA0D30F89DA}" name="Column11576"/>
    <tableColumn id="11608" xr3:uid="{6B0C2DB5-BC40-4F7E-827F-80349BD10256}" name="Column11577"/>
    <tableColumn id="11609" xr3:uid="{560CB25A-26FE-4E34-B7CE-768549FF3C4E}" name="Column11578"/>
    <tableColumn id="11610" xr3:uid="{76A6D8B5-00D5-44CA-8A2F-26DD79F2109B}" name="Column11579"/>
    <tableColumn id="11611" xr3:uid="{BA1734F3-C368-49BE-8DD8-C9F9F54F395C}" name="Column11580"/>
    <tableColumn id="11612" xr3:uid="{5A1EF21F-3EB4-4811-8CEE-177C9DABEEDA}" name="Column11581"/>
    <tableColumn id="11613" xr3:uid="{87B8A61E-1463-4598-8EDF-FFADED2E8DFF}" name="Column11582"/>
    <tableColumn id="11614" xr3:uid="{B99C285C-8B1A-4B41-969E-3B1E87D0BE89}" name="Column11583"/>
    <tableColumn id="11615" xr3:uid="{BDBAA8EA-3D0E-432F-96A6-C619194BEE2E}" name="Column11584"/>
    <tableColumn id="11616" xr3:uid="{63ABCCB5-96BC-45CF-BCE6-4DAB42BA7D9F}" name="Column11585"/>
    <tableColumn id="11617" xr3:uid="{52D3143F-1BC6-46DC-BE3F-F95522BE354A}" name="Column11586"/>
    <tableColumn id="11618" xr3:uid="{D411DD95-9BC6-4213-A9A9-B1F106610523}" name="Column11587"/>
    <tableColumn id="11619" xr3:uid="{7211C190-B942-4FC7-80F3-CC011A4E13E9}" name="Column11588"/>
    <tableColumn id="11620" xr3:uid="{F07CB9C0-9394-41FB-80A7-32F39CA7591A}" name="Column11589"/>
    <tableColumn id="11621" xr3:uid="{F8415328-FD72-449F-9EA2-11A9D6393072}" name="Column11590"/>
    <tableColumn id="11622" xr3:uid="{338BBC52-C5E5-4E7E-9D36-6C346D963D28}" name="Column11591"/>
    <tableColumn id="11623" xr3:uid="{312F60D4-6861-444C-B5D2-998942DF9E44}" name="Column11592"/>
    <tableColumn id="11624" xr3:uid="{8F36E965-BD1B-42C5-BF42-C3A6A70DA66C}" name="Column11593"/>
    <tableColumn id="11625" xr3:uid="{35AF1741-06F0-4DC3-8DCE-55012A3E59EB}" name="Column11594"/>
    <tableColumn id="11626" xr3:uid="{1E10EB5B-4ABA-464A-921A-F73D134F8BEC}" name="Column11595"/>
    <tableColumn id="11627" xr3:uid="{0EC55AAE-B40B-464F-BB85-A42496C3D546}" name="Column11596"/>
    <tableColumn id="11628" xr3:uid="{D111958A-56F4-4FD4-8C62-C6D10AA7E627}" name="Column11597"/>
    <tableColumn id="11629" xr3:uid="{E2DDE274-4736-442B-9A45-88B12A841E4A}" name="Column11598"/>
    <tableColumn id="11630" xr3:uid="{FF8AD16E-6A18-42B9-AEA0-ADC67C2FC222}" name="Column11599"/>
    <tableColumn id="11631" xr3:uid="{22FD130E-94B2-4EFF-8C02-41A722C40208}" name="Column11600"/>
    <tableColumn id="11632" xr3:uid="{A3E96E71-81CF-44DF-85BC-C1366EE0AD83}" name="Column11601"/>
    <tableColumn id="11633" xr3:uid="{63DE9475-5E05-4AEC-AFAD-B2E850DB6FCA}" name="Column11602"/>
    <tableColumn id="11634" xr3:uid="{BEC2743B-80C4-484D-A0D1-1E6A107A18D2}" name="Column11603"/>
    <tableColumn id="11635" xr3:uid="{72ED67CC-F68C-42EF-89C8-0E3D5A7F9DC3}" name="Column11604"/>
    <tableColumn id="11636" xr3:uid="{19601967-B6A0-4CFF-9EFC-2E10306C20E2}" name="Column11605"/>
    <tableColumn id="11637" xr3:uid="{6D81B5D1-BB78-4957-9FEF-BF7677461F4B}" name="Column11606"/>
    <tableColumn id="11638" xr3:uid="{234A57A1-C715-4428-95F6-03DC9A19097E}" name="Column11607"/>
    <tableColumn id="11639" xr3:uid="{EA10F367-0709-4F66-A710-C9215ED60C11}" name="Column11608"/>
    <tableColumn id="11640" xr3:uid="{2DBCF487-5593-42A1-927C-9AABF7CF6E8C}" name="Column11609"/>
    <tableColumn id="11641" xr3:uid="{6179E2E8-AF55-485D-81B8-4427B584DA61}" name="Column11610"/>
    <tableColumn id="11642" xr3:uid="{A52AAED6-6266-4A71-8EF8-4F9AEB9BA4F0}" name="Column11611"/>
    <tableColumn id="11643" xr3:uid="{0513E42D-AA11-42A3-81AB-D7430F0DC771}" name="Column11612"/>
    <tableColumn id="11644" xr3:uid="{F943D0FE-F606-4EA9-B4E2-88940FF7E15B}" name="Column11613"/>
    <tableColumn id="11645" xr3:uid="{E83EEB0F-3AD6-435C-BA4B-46443386AC71}" name="Column11614"/>
    <tableColumn id="11646" xr3:uid="{1577A95F-05E6-4CD9-9E49-A63ACF147E9B}" name="Column11615"/>
    <tableColumn id="11647" xr3:uid="{98A4729B-3B80-4926-AB82-957AE9F1607F}" name="Column11616"/>
    <tableColumn id="11648" xr3:uid="{EF47DBEF-F028-44C5-83AB-7DC1DE82B660}" name="Column11617"/>
    <tableColumn id="11649" xr3:uid="{C55C7276-56A8-43EE-9469-60B0213803E0}" name="Column11618"/>
    <tableColumn id="11650" xr3:uid="{D7D3AF3C-C108-4429-8065-237E9A6F3248}" name="Column11619"/>
    <tableColumn id="11651" xr3:uid="{0AB03992-02CA-4381-B1C4-CA1709E002B8}" name="Column11620"/>
    <tableColumn id="11652" xr3:uid="{50A3CF15-E129-43E0-BA6E-F8B1F206D0EE}" name="Column11621"/>
    <tableColumn id="11653" xr3:uid="{105D545D-EDD3-44B1-BF84-2A01DBB39734}" name="Column11622"/>
    <tableColumn id="11654" xr3:uid="{0CC5B1F5-D8B8-413D-8801-6E02D287771F}" name="Column11623"/>
    <tableColumn id="11655" xr3:uid="{D27AB532-7FED-433E-9FDF-16DC35B9FDE9}" name="Column11624"/>
    <tableColumn id="11656" xr3:uid="{D1AFF50E-17F5-4459-B4E0-4B951B4A774E}" name="Column11625"/>
    <tableColumn id="11657" xr3:uid="{38B0ACB9-F2F9-44AD-B4F8-DD327361314B}" name="Column11626"/>
    <tableColumn id="11658" xr3:uid="{13062243-1F0F-4B98-A5FD-A400D56A9689}" name="Column11627"/>
    <tableColumn id="11659" xr3:uid="{17E25814-0F8D-4471-BFE9-37014AE078DD}" name="Column11628"/>
    <tableColumn id="11660" xr3:uid="{08787E5C-5FA9-4439-82F1-E3372005AFB5}" name="Column11629"/>
    <tableColumn id="11661" xr3:uid="{F82C1CCC-7C7E-4106-830E-8B0DE72B0907}" name="Column11630"/>
    <tableColumn id="11662" xr3:uid="{0C89F540-D02D-4F2C-A0C5-08B04CFFD4D8}" name="Column11631"/>
    <tableColumn id="11663" xr3:uid="{80A29D84-2EA9-4E3C-9304-2184E4B036A3}" name="Column11632"/>
    <tableColumn id="11664" xr3:uid="{DBB16412-F0FE-42AC-8520-11A52A604A46}" name="Column11633"/>
    <tableColumn id="11665" xr3:uid="{B6E3DD65-6314-42E1-8A9A-2121E508BE0D}" name="Column11634"/>
    <tableColumn id="11666" xr3:uid="{60831499-2D9A-4BF1-97F5-02A33B38E58C}" name="Column11635"/>
    <tableColumn id="11667" xr3:uid="{D451ADF4-D0FA-43E6-BD98-2C9C41386F9C}" name="Column11636"/>
    <tableColumn id="11668" xr3:uid="{2B61F741-48CA-4211-8ED1-DB6E22527F11}" name="Column11637"/>
    <tableColumn id="11669" xr3:uid="{3115A43F-4D2A-4840-9CBA-0B136DDF4102}" name="Column11638"/>
    <tableColumn id="11670" xr3:uid="{3BF66177-CACF-4256-8D69-BB6B6BE03EA9}" name="Column11639"/>
    <tableColumn id="11671" xr3:uid="{6D94B94B-D1CF-4B7B-A4E2-C2E3599B0A72}" name="Column11640"/>
    <tableColumn id="11672" xr3:uid="{7E75DBDC-8478-4668-8946-FFBA91EC340E}" name="Column11641"/>
    <tableColumn id="11673" xr3:uid="{F5B20024-A35A-4A28-9B6B-645418882AD2}" name="Column11642"/>
    <tableColumn id="11674" xr3:uid="{9E34569A-0355-4331-BD63-66B9426D9D0E}" name="Column11643"/>
    <tableColumn id="11675" xr3:uid="{B8BB9F4B-239F-4E0E-A13E-2836BBF2EFA4}" name="Column11644"/>
    <tableColumn id="11676" xr3:uid="{0B048595-4981-4FB3-A1D9-B6033D6D0DE2}" name="Column11645"/>
    <tableColumn id="11677" xr3:uid="{CB82A58C-7C62-42AC-9A16-AA65159A7482}" name="Column11646"/>
    <tableColumn id="11678" xr3:uid="{E5A31BB7-0083-475A-973C-F38582C25502}" name="Column11647"/>
    <tableColumn id="11679" xr3:uid="{7D627A2E-C962-4DF2-858F-AD2AC135A2D1}" name="Column11648"/>
    <tableColumn id="11680" xr3:uid="{5D2D9EDB-A877-49ED-86CC-1F21C41006F7}" name="Column11649"/>
    <tableColumn id="11681" xr3:uid="{9EAFB938-C18F-4DF0-B8F0-4E55884553A0}" name="Column11650"/>
    <tableColumn id="11682" xr3:uid="{A3F5EE48-E631-4791-B2D8-6793AAEFE1EE}" name="Column11651"/>
    <tableColumn id="11683" xr3:uid="{982FFE90-C231-4AC1-A604-E3371E79E7A6}" name="Column11652"/>
    <tableColumn id="11684" xr3:uid="{088CB099-9FA3-4EEF-B528-D9B657B096A0}" name="Column11653"/>
    <tableColumn id="11685" xr3:uid="{68BE8029-2027-47EF-8DAB-324FAC2F862D}" name="Column11654"/>
    <tableColumn id="11686" xr3:uid="{8691A303-49C1-4D2B-8B0C-FB99FD0395BB}" name="Column11655"/>
    <tableColumn id="11687" xr3:uid="{41FCAC90-BC08-4B62-94CD-A58A338D99AD}" name="Column11656"/>
    <tableColumn id="11688" xr3:uid="{15DD5C97-5B88-40F7-8675-6D018F4C465B}" name="Column11657"/>
    <tableColumn id="11689" xr3:uid="{0CC7F8BD-4FA3-44E0-BBFE-42D1AD380F54}" name="Column11658"/>
    <tableColumn id="11690" xr3:uid="{B419272A-B39D-4C76-B173-F99F37D42B4A}" name="Column11659"/>
    <tableColumn id="11691" xr3:uid="{6E0782F4-81F7-4D35-AE53-4DA307E7FE7A}" name="Column11660"/>
    <tableColumn id="11692" xr3:uid="{BFF406CD-C517-432E-8E9A-A6A463186908}" name="Column11661"/>
    <tableColumn id="11693" xr3:uid="{0A50DE8D-2723-43C6-9B44-0022A2787ABC}" name="Column11662"/>
    <tableColumn id="11694" xr3:uid="{2E4DF172-9B34-47B0-8191-CDC0A984E740}" name="Column11663"/>
    <tableColumn id="11695" xr3:uid="{06B57552-435F-4511-B7BD-6B9CDC26DC34}" name="Column11664"/>
    <tableColumn id="11696" xr3:uid="{E6C004AF-2E0F-4AE5-AC5B-AEBACD8AC844}" name="Column11665"/>
    <tableColumn id="11697" xr3:uid="{C88DD5AC-B5AB-4F84-B849-3515DD626F2D}" name="Column11666"/>
    <tableColumn id="11698" xr3:uid="{6A7A9C45-F154-468F-9A8A-C4012C9086CC}" name="Column11667"/>
    <tableColumn id="11699" xr3:uid="{95EE2A93-3112-4999-9986-D1E537BC2323}" name="Column11668"/>
    <tableColumn id="11700" xr3:uid="{20BE10F3-12FD-46DB-8F88-B6986FB77D27}" name="Column11669"/>
    <tableColumn id="11701" xr3:uid="{104902AB-8389-4E55-93DE-1EFC42928874}" name="Column11670"/>
    <tableColumn id="11702" xr3:uid="{9C62FF44-C23B-4D93-B4DF-D17AB664F7CF}" name="Column11671"/>
    <tableColumn id="11703" xr3:uid="{23BF954D-7FD2-463F-A610-421BD8F14CD3}" name="Column11672"/>
    <tableColumn id="11704" xr3:uid="{8785199E-65CC-4AC0-9548-61B9409ADBF4}" name="Column11673"/>
    <tableColumn id="11705" xr3:uid="{1AD9ACD0-A1BC-4B82-985C-0322F3CB29A4}" name="Column11674"/>
    <tableColumn id="11706" xr3:uid="{38FC6456-A881-4E2D-8292-9553CC5B8918}" name="Column11675"/>
    <tableColumn id="11707" xr3:uid="{3A5DCEBB-EC85-4924-A5DD-EEFB9C796275}" name="Column11676"/>
    <tableColumn id="11708" xr3:uid="{5D324AAA-28D9-4627-B234-7904957D4EC4}" name="Column11677"/>
    <tableColumn id="11709" xr3:uid="{A8935AAF-8B9D-42FC-9A3A-BA862CE5858E}" name="Column11678"/>
    <tableColumn id="11710" xr3:uid="{2192FC85-6700-4197-B5CA-B5173955C2CC}" name="Column11679"/>
    <tableColumn id="11711" xr3:uid="{87EE89DA-0DC4-4E3C-8BE2-0EB3FB5D5043}" name="Column11680"/>
    <tableColumn id="11712" xr3:uid="{013D6446-8EC9-4D5F-B576-6A4202024054}" name="Column11681"/>
    <tableColumn id="11713" xr3:uid="{D8AC6B25-E1AC-46B8-85F6-77CF7A37A32C}" name="Column11682"/>
    <tableColumn id="11714" xr3:uid="{A63FE914-365F-411B-912C-913B2619DBC9}" name="Column11683"/>
    <tableColumn id="11715" xr3:uid="{3BCA1D6D-5487-47A1-B22F-1114EDCEA109}" name="Column11684"/>
    <tableColumn id="11716" xr3:uid="{40615AF9-15C7-4419-A9C6-063E8B8534E7}" name="Column11685"/>
    <tableColumn id="11717" xr3:uid="{C3E0F729-B403-4078-B4E7-EC9FF064B00A}" name="Column11686"/>
    <tableColumn id="11718" xr3:uid="{865480F5-FE22-43AA-A9B7-826EBFA8DE31}" name="Column11687"/>
    <tableColumn id="11719" xr3:uid="{BEB014CF-9187-45AB-9BD7-0316324A1E99}" name="Column11688"/>
    <tableColumn id="11720" xr3:uid="{A4846135-20EF-45E4-90D7-A2516577BF54}" name="Column11689"/>
    <tableColumn id="11721" xr3:uid="{9BC92540-E20A-4C07-8D2C-2A413328DBC3}" name="Column11690"/>
    <tableColumn id="11722" xr3:uid="{FD4C28F1-E41D-4D2D-A9A0-0D722012BF00}" name="Column11691"/>
    <tableColumn id="11723" xr3:uid="{186E5A57-8D7D-4D30-9F78-760FC0EED991}" name="Column11692"/>
    <tableColumn id="11724" xr3:uid="{63138903-7E4F-4260-88A1-3673F938B24F}" name="Column11693"/>
    <tableColumn id="11725" xr3:uid="{1842FF14-04B4-477C-8509-8E6A7A4F2759}" name="Column11694"/>
    <tableColumn id="11726" xr3:uid="{F50BA9DC-F98D-4F0E-BE6A-1EF8E4622FB2}" name="Column11695"/>
    <tableColumn id="11727" xr3:uid="{EDCE8615-5CA7-4D81-AB30-765FBA2BBECD}" name="Column11696"/>
    <tableColumn id="11728" xr3:uid="{6D51701E-A2BE-4C4D-888F-7000FAACA92E}" name="Column11697"/>
    <tableColumn id="11729" xr3:uid="{EC812FBF-9F5D-46F8-A020-3BD9E18E8484}" name="Column11698"/>
    <tableColumn id="11730" xr3:uid="{8D48E62C-7DEC-4BB0-80DD-C67492D1F85C}" name="Column11699"/>
    <tableColumn id="11731" xr3:uid="{62F58171-484E-4014-8B95-2B5CF720843D}" name="Column11700"/>
    <tableColumn id="11732" xr3:uid="{06688657-6FF2-4FAB-9094-CEFFE47635EC}" name="Column11701"/>
    <tableColumn id="11733" xr3:uid="{D300D6B6-B068-4CCA-AC12-92BCF440856B}" name="Column11702"/>
    <tableColumn id="11734" xr3:uid="{5C7E1B85-FD3B-4246-B509-21CB52DB8698}" name="Column11703"/>
    <tableColumn id="11735" xr3:uid="{75EAB177-471A-49A3-B8F3-BC91A238A2A3}" name="Column11704"/>
    <tableColumn id="11736" xr3:uid="{BCB05E96-DF2E-4D75-9282-C2120C4C5EE5}" name="Column11705"/>
    <tableColumn id="11737" xr3:uid="{C9E87760-0309-4D67-9F2E-16C1FF791C3A}" name="Column11706"/>
    <tableColumn id="11738" xr3:uid="{51B7C052-1D2B-45C6-80A6-C5BE27AEE519}" name="Column11707"/>
    <tableColumn id="11739" xr3:uid="{29854CF9-9B68-4B63-BE21-8A27FA7EFDF3}" name="Column11708"/>
    <tableColumn id="11740" xr3:uid="{409DF1CE-8D62-4362-846C-AEA6FD623A61}" name="Column11709"/>
    <tableColumn id="11741" xr3:uid="{D69C8E33-8E2A-408B-A356-5F9C1B8D6A21}" name="Column11710"/>
    <tableColumn id="11742" xr3:uid="{0A957520-EAAE-405F-93E1-47B2132BE054}" name="Column11711"/>
    <tableColumn id="11743" xr3:uid="{30A3FA22-7345-4534-877D-3641789F6019}" name="Column11712"/>
    <tableColumn id="11744" xr3:uid="{924AD558-B5F9-4B96-B9FC-475F7AF5714E}" name="Column11713"/>
    <tableColumn id="11745" xr3:uid="{4E601E78-5724-4F5B-A14A-652381FA039B}" name="Column11714"/>
    <tableColumn id="11746" xr3:uid="{8D2B52FC-2107-4133-9AB2-A4892A7032FA}" name="Column11715"/>
    <tableColumn id="11747" xr3:uid="{710888A1-C458-4AE8-9B7E-E8EB782FBE2E}" name="Column11716"/>
    <tableColumn id="11748" xr3:uid="{B42EF49B-E21E-4F60-83C9-1DB82F2BAAA0}" name="Column11717"/>
    <tableColumn id="11749" xr3:uid="{E44802B2-44D8-44D7-8A11-3B51B4C04925}" name="Column11718"/>
    <tableColumn id="11750" xr3:uid="{DA46EC2A-F393-49EA-B093-8A8A87498CB9}" name="Column11719"/>
    <tableColumn id="11751" xr3:uid="{97952C71-2D12-4E22-9B6E-030F36D75A6E}" name="Column11720"/>
    <tableColumn id="11752" xr3:uid="{A06540DB-8A4A-4656-8F47-4C35F3198F50}" name="Column11721"/>
    <tableColumn id="11753" xr3:uid="{D8954596-A12B-459E-9202-3202FDA90A71}" name="Column11722"/>
    <tableColumn id="11754" xr3:uid="{A865E468-3939-4B28-8A33-92D84857430C}" name="Column11723"/>
    <tableColumn id="11755" xr3:uid="{6AA525AB-79D4-40B9-91CB-2C6227FC9F12}" name="Column11724"/>
    <tableColumn id="11756" xr3:uid="{05605DBE-6EE2-497E-8E66-3407D33BB67E}" name="Column11725"/>
    <tableColumn id="11757" xr3:uid="{A8FB595D-2C94-42A2-AD42-561F404D4B45}" name="Column11726"/>
    <tableColumn id="11758" xr3:uid="{77089844-7981-41C3-AD66-43657B8CF722}" name="Column11727"/>
    <tableColumn id="11759" xr3:uid="{91738B05-D4A3-4748-A9B2-46C4261CFB65}" name="Column11728"/>
    <tableColumn id="11760" xr3:uid="{111021D0-1509-4E49-A57A-72CB3E7AF902}" name="Column11729"/>
    <tableColumn id="11761" xr3:uid="{61CFB1EC-2C62-496C-A6DD-BC9DDFFD5C34}" name="Column11730"/>
    <tableColumn id="11762" xr3:uid="{8EDDB7DA-8A61-40FA-880C-E7F900AC484D}" name="Column11731"/>
    <tableColumn id="11763" xr3:uid="{6F93A3B6-1AED-4B7C-B833-F27988F4CC05}" name="Column11732"/>
    <tableColumn id="11764" xr3:uid="{CDE2E887-659B-4C28-A07E-F3936376627D}" name="Column11733"/>
    <tableColumn id="11765" xr3:uid="{89DF8BE2-25F2-4366-A700-F4A626EB2899}" name="Column11734"/>
    <tableColumn id="11766" xr3:uid="{06999CA8-412B-4F08-AA96-15873519984C}" name="Column11735"/>
    <tableColumn id="11767" xr3:uid="{4B923FA3-0A16-47ED-9392-8E9ACC8BC139}" name="Column11736"/>
    <tableColumn id="11768" xr3:uid="{2FF22DB5-BBF1-47B7-9407-3F287CA4895B}" name="Column11737"/>
    <tableColumn id="11769" xr3:uid="{A41AD4BA-BA99-45BA-8684-AD40477F90FB}" name="Column11738"/>
    <tableColumn id="11770" xr3:uid="{E17CFFB5-0ED4-4CB7-A1DE-92A2930946EF}" name="Column11739"/>
    <tableColumn id="11771" xr3:uid="{513E962B-56F9-491F-BF5F-C52B6F72B799}" name="Column11740"/>
    <tableColumn id="11772" xr3:uid="{54A5A90B-987F-40A6-80B7-DE5C0E473640}" name="Column11741"/>
    <tableColumn id="11773" xr3:uid="{BE674D8F-9077-42A4-A797-EDD3C368D504}" name="Column11742"/>
    <tableColumn id="11774" xr3:uid="{2A3C93AC-4BD6-4C92-9525-05D18B7B061D}" name="Column11743"/>
    <tableColumn id="11775" xr3:uid="{03C1EBE4-05FF-4C76-AF52-A3E3711AA629}" name="Column11744"/>
    <tableColumn id="11776" xr3:uid="{F5451367-BB4D-40E8-BA1D-B22C95408DAC}" name="Column11745"/>
    <tableColumn id="11777" xr3:uid="{74F5D28C-F93B-483C-8316-39CE3DC51B5D}" name="Column11746"/>
    <tableColumn id="11778" xr3:uid="{0F7A5C3F-F709-49F9-96C4-FAB167784A6A}" name="Column11747"/>
    <tableColumn id="11779" xr3:uid="{C6F0B86D-309E-4684-B9EC-26A998DAFF2C}" name="Column11748"/>
    <tableColumn id="11780" xr3:uid="{ED3D1C6D-208C-4356-AD14-ABDC0BD56F19}" name="Column11749"/>
    <tableColumn id="11781" xr3:uid="{4B702A69-3BF1-4C45-A8AE-1E920DD4E946}" name="Column11750"/>
    <tableColumn id="11782" xr3:uid="{1DB987DD-CA88-49D1-B259-231AA4BB1169}" name="Column11751"/>
    <tableColumn id="11783" xr3:uid="{2B0DFD71-29F7-4EF5-96A9-2E5417433F09}" name="Column11752"/>
    <tableColumn id="11784" xr3:uid="{FBBB84E7-D8BA-450F-8A8F-9A8CFFA88192}" name="Column11753"/>
    <tableColumn id="11785" xr3:uid="{BAB4B923-4D9F-44D7-8656-7BD1F4828E24}" name="Column11754"/>
    <tableColumn id="11786" xr3:uid="{92239347-FB20-40CB-B16D-B4871069D094}" name="Column11755"/>
    <tableColumn id="11787" xr3:uid="{14F65A6A-766D-4C0A-81B3-455C6C82CDFD}" name="Column11756"/>
    <tableColumn id="11788" xr3:uid="{D57DFDF0-503A-4D5A-BB8D-8A81213C0528}" name="Column11757"/>
    <tableColumn id="11789" xr3:uid="{1D45DE45-C1BE-4B33-844B-A18052425DF1}" name="Column11758"/>
    <tableColumn id="11790" xr3:uid="{154E43EE-660B-4098-A1CC-644B9A09D34D}" name="Column11759"/>
    <tableColumn id="11791" xr3:uid="{C1BFC310-E986-43A2-AE47-EBF1B33669BE}" name="Column11760"/>
    <tableColumn id="11792" xr3:uid="{85890491-5A46-4536-A582-225BBD248CE5}" name="Column11761"/>
    <tableColumn id="11793" xr3:uid="{6EB26D97-43A3-4192-A2B4-778F4FC6DACD}" name="Column11762"/>
    <tableColumn id="11794" xr3:uid="{6FF9EE1A-37CD-49AD-847C-EA3B4202B21A}" name="Column11763"/>
    <tableColumn id="11795" xr3:uid="{5EEDCF87-DD65-443E-B0ED-AAEFC7798E8B}" name="Column11764"/>
    <tableColumn id="11796" xr3:uid="{794A79A0-FF02-4A42-B202-AB91AE49F135}" name="Column11765"/>
    <tableColumn id="11797" xr3:uid="{021A046E-5860-4DDC-902B-FFC0AEAF8B72}" name="Column11766"/>
    <tableColumn id="11798" xr3:uid="{315EBE25-AA07-4BA8-9994-3403C17ACC5C}" name="Column11767"/>
    <tableColumn id="11799" xr3:uid="{A1436709-BEB2-4575-B7FB-8755E21D492B}" name="Column11768"/>
    <tableColumn id="11800" xr3:uid="{B8FE8652-CDCD-455E-8487-4E7DAC0A76CC}" name="Column11769"/>
    <tableColumn id="11801" xr3:uid="{339B57A4-5C19-4F60-9793-C82FFDF42560}" name="Column11770"/>
    <tableColumn id="11802" xr3:uid="{B814F7AA-50D0-4AC7-943C-A46D8CDDD644}" name="Column11771"/>
    <tableColumn id="11803" xr3:uid="{7989ABD6-3784-4BC2-9EA7-2F97A94FD1AF}" name="Column11772"/>
    <tableColumn id="11804" xr3:uid="{3532766E-F083-408B-9965-CC48472163E5}" name="Column11773"/>
    <tableColumn id="11805" xr3:uid="{98E46568-E3D6-4F7D-BF25-652D6AB723AC}" name="Column11774"/>
    <tableColumn id="11806" xr3:uid="{5726F261-2342-437D-9E6E-3272B6BE7C64}" name="Column11775"/>
    <tableColumn id="11807" xr3:uid="{C1E5C26A-092D-4E7B-8D3F-7BE66E9781B7}" name="Column11776"/>
    <tableColumn id="11808" xr3:uid="{556B5EDD-658B-4891-BF7C-5B02DC26ADD0}" name="Column11777"/>
    <tableColumn id="11809" xr3:uid="{3F2F792B-C2BF-470C-B042-B0766A7432E3}" name="Column11778"/>
    <tableColumn id="11810" xr3:uid="{A1FD4FC3-2A3F-47C7-876C-C6ABC3729F82}" name="Column11779"/>
    <tableColumn id="11811" xr3:uid="{9C54CC43-4712-4727-9FC3-A65A3DA822BB}" name="Column11780"/>
    <tableColumn id="11812" xr3:uid="{59D69DCF-6F5B-4CE6-8CF2-10122BF4C994}" name="Column11781"/>
    <tableColumn id="11813" xr3:uid="{AD6FD317-C4FB-422E-A3EE-4874B39B2277}" name="Column11782"/>
    <tableColumn id="11814" xr3:uid="{A89E3829-1F81-4F8F-92D4-3E1D1B1B3198}" name="Column11783"/>
    <tableColumn id="11815" xr3:uid="{06127A22-F289-4B13-BCEF-95A31CFEFF97}" name="Column11784"/>
    <tableColumn id="11816" xr3:uid="{55C89A9E-5944-4A21-A3D4-CDB63F807FF0}" name="Column11785"/>
    <tableColumn id="11817" xr3:uid="{29891C80-4A23-4AD0-AD0A-1DA6E344A433}" name="Column11786"/>
    <tableColumn id="11818" xr3:uid="{D2A83AE4-583A-4246-99AA-677E6DFA1526}" name="Column11787"/>
    <tableColumn id="11819" xr3:uid="{D23E6B69-8F13-4972-BED7-F2ECF408621D}" name="Column11788"/>
    <tableColumn id="11820" xr3:uid="{BA20EACF-C3D9-4691-B7E7-5B2FFD08CF95}" name="Column11789"/>
    <tableColumn id="11821" xr3:uid="{D4C80D93-D3CF-4F86-A020-182E2368FA72}" name="Column11790"/>
    <tableColumn id="11822" xr3:uid="{FF760EBB-2339-4A13-BE7A-78A377C1BFDE}" name="Column11791"/>
    <tableColumn id="11823" xr3:uid="{7EBB71C1-0B5B-45C9-9EEA-65391020CB30}" name="Column11792"/>
    <tableColumn id="11824" xr3:uid="{F2F23721-1631-4C2E-A71A-E8A11B28FF73}" name="Column11793"/>
    <tableColumn id="11825" xr3:uid="{74F5D1F1-C138-42E9-92A7-A4764D8DF1AB}" name="Column11794"/>
    <tableColumn id="11826" xr3:uid="{F9127BE4-4AE5-4543-87C6-45DC4264003D}" name="Column11795"/>
    <tableColumn id="11827" xr3:uid="{B1C35341-9B00-4157-9DB9-06F060D3106B}" name="Column11796"/>
    <tableColumn id="11828" xr3:uid="{EB0E44EB-0C11-4E9A-97EA-42590C1112E2}" name="Column11797"/>
    <tableColumn id="11829" xr3:uid="{61D28D18-E35E-4F1C-8A5F-E3D6230FEAD1}" name="Column11798"/>
    <tableColumn id="11830" xr3:uid="{CA30CF2C-96AD-491F-B4E2-DC07C0A2D5D9}" name="Column11799"/>
    <tableColumn id="11831" xr3:uid="{79B0B617-A5F5-43E7-BBB1-B9F3FD5D65C5}" name="Column11800"/>
    <tableColumn id="11832" xr3:uid="{B0E25FF9-6251-4656-B062-2584719A51A2}" name="Column11801"/>
    <tableColumn id="11833" xr3:uid="{172706BC-D593-4EB9-B73E-9704447F3AAD}" name="Column11802"/>
    <tableColumn id="11834" xr3:uid="{9F0619A3-172F-4F1A-87ED-864B6401D3C8}" name="Column11803"/>
    <tableColumn id="11835" xr3:uid="{0E3B961B-B76C-4C75-A0F1-81E6755B22C8}" name="Column11804"/>
    <tableColumn id="11836" xr3:uid="{49750676-04EC-4B1E-A150-9D2DF231875E}" name="Column11805"/>
    <tableColumn id="11837" xr3:uid="{2778B1FE-1C5D-4BF8-BA5A-452FFA838DE9}" name="Column11806"/>
    <tableColumn id="11838" xr3:uid="{D5616026-351D-49C4-B7AC-D354148BBFE4}" name="Column11807"/>
    <tableColumn id="11839" xr3:uid="{784840F5-592E-4737-A53B-F2DEB414AAAF}" name="Column11808"/>
    <tableColumn id="11840" xr3:uid="{8D2F20DF-4224-4909-BAF1-0C8D07815B93}" name="Column11809"/>
    <tableColumn id="11841" xr3:uid="{EED1CF66-BC55-40BD-8F34-DE08CC986221}" name="Column11810"/>
    <tableColumn id="11842" xr3:uid="{A31F9CC8-0A4C-44F2-A6FB-F199ED890C11}" name="Column11811"/>
    <tableColumn id="11843" xr3:uid="{0758BC5B-DF50-4A06-B5D8-0A0AC18962C6}" name="Column11812"/>
    <tableColumn id="11844" xr3:uid="{A81506CB-3485-4593-8DBD-FDF8C4D06BF8}" name="Column11813"/>
    <tableColumn id="11845" xr3:uid="{718817B1-5DA3-48D6-901E-32C8523151D5}" name="Column11814"/>
    <tableColumn id="11846" xr3:uid="{098F93BD-82E7-479B-B202-DF5555BD89E9}" name="Column11815"/>
    <tableColumn id="11847" xr3:uid="{DA06C608-7C20-4D31-BCED-35E61799BEAC}" name="Column11816"/>
    <tableColumn id="11848" xr3:uid="{F6B776ED-97DE-4631-9872-84EFE4446B27}" name="Column11817"/>
    <tableColumn id="11849" xr3:uid="{8557C24D-FDF5-475D-8460-14C1FBE87C57}" name="Column11818"/>
    <tableColumn id="11850" xr3:uid="{9ACCAFAB-3D28-4120-9692-5655F5B82DC3}" name="Column11819"/>
    <tableColumn id="11851" xr3:uid="{0884B372-618C-46D5-8327-CACFC91C70F5}" name="Column11820"/>
    <tableColumn id="11852" xr3:uid="{CE286685-A3E0-4B52-B6BA-B16D1DE93F82}" name="Column11821"/>
    <tableColumn id="11853" xr3:uid="{6B2E4BD1-574D-41E7-B850-0D950A35C5A7}" name="Column11822"/>
    <tableColumn id="11854" xr3:uid="{848D9358-D4DF-40EA-AD19-C600AE2AC7F0}" name="Column11823"/>
    <tableColumn id="11855" xr3:uid="{2A9604C3-9D75-47AE-8807-53B3487F8F4F}" name="Column11824"/>
    <tableColumn id="11856" xr3:uid="{8D2256D3-3258-427B-B2EE-40465CAFFD14}" name="Column11825"/>
    <tableColumn id="11857" xr3:uid="{6203E3B3-F119-4F96-8B66-65669E01A6A4}" name="Column11826"/>
    <tableColumn id="11858" xr3:uid="{85660372-560E-4BEC-9605-D92D16F5AE21}" name="Column11827"/>
    <tableColumn id="11859" xr3:uid="{E013AC3F-610C-45C6-85D0-3D0A08B471C7}" name="Column11828"/>
    <tableColumn id="11860" xr3:uid="{6EB5B5DC-BB17-4E3B-9C11-735243F5E4A3}" name="Column11829"/>
    <tableColumn id="11861" xr3:uid="{19F63AD2-21D7-42C0-9DBA-E51151FFA7C8}" name="Column11830"/>
    <tableColumn id="11862" xr3:uid="{F24E7D9F-9E7B-4672-93F7-A9C0EC6C469D}" name="Column11831"/>
    <tableColumn id="11863" xr3:uid="{DAF0C3B0-EF54-4403-A0A4-DB40D0CE57A8}" name="Column11832"/>
    <tableColumn id="11864" xr3:uid="{B7E530C3-9DD8-4839-9D22-01AC1D2DDDDD}" name="Column11833"/>
    <tableColumn id="11865" xr3:uid="{6F6341F4-3E75-4D38-868E-AF02FAC44A80}" name="Column11834"/>
    <tableColumn id="11866" xr3:uid="{A62292F8-E56D-4218-8E48-4A88E752B874}" name="Column11835"/>
    <tableColumn id="11867" xr3:uid="{1A5C8796-8717-4DD8-8F47-9ED29DECCFDF}" name="Column11836"/>
    <tableColumn id="11868" xr3:uid="{CCEA3540-BE89-4503-8D7A-862472ACEE41}" name="Column11837"/>
    <tableColumn id="11869" xr3:uid="{BD6B01CA-90B1-4A57-ABE5-BD4B7366C478}" name="Column11838"/>
    <tableColumn id="11870" xr3:uid="{781182B8-A811-4B01-AF7F-93526C40AB1D}" name="Column11839"/>
    <tableColumn id="11871" xr3:uid="{0735BFC9-E3F7-4065-9DC1-08FCC9902A32}" name="Column11840"/>
    <tableColumn id="11872" xr3:uid="{480235BE-F04C-485C-9C27-4C57F3531F68}" name="Column11841"/>
    <tableColumn id="11873" xr3:uid="{9CE39AE0-602F-4918-BC8B-5E1133024686}" name="Column11842"/>
    <tableColumn id="11874" xr3:uid="{C2D02D6E-6CEE-4F83-BFD7-72ECD1954551}" name="Column11843"/>
    <tableColumn id="11875" xr3:uid="{34C99384-4897-4780-8550-5DB5143F4A32}" name="Column11844"/>
    <tableColumn id="11876" xr3:uid="{78AFD503-3119-4297-AF32-2B0D1AE3E8D6}" name="Column11845"/>
    <tableColumn id="11877" xr3:uid="{6810ED3D-D22B-4503-9898-CE77C8BB4BF4}" name="Column11846"/>
    <tableColumn id="11878" xr3:uid="{32A54DBF-1AEB-46C5-8C52-E059DE264D48}" name="Column11847"/>
    <tableColumn id="11879" xr3:uid="{7E95652B-62A5-475B-98D4-B717D3185897}" name="Column11848"/>
    <tableColumn id="11880" xr3:uid="{7EB594CE-97B8-4108-8C0E-6B07D6E5B7E3}" name="Column11849"/>
    <tableColumn id="11881" xr3:uid="{5B72C829-C6CA-4C0D-AF79-465845A5089B}" name="Column11850"/>
    <tableColumn id="11882" xr3:uid="{6DAF88F2-1BE5-4CAD-8738-6A3CA5A94EF6}" name="Column11851"/>
    <tableColumn id="11883" xr3:uid="{A609EFAD-1096-4647-A2AC-99B1C1395C04}" name="Column11852"/>
    <tableColumn id="11884" xr3:uid="{BB0B803B-9FC3-4FEF-8E5B-65D7BF27E1A2}" name="Column11853"/>
    <tableColumn id="11885" xr3:uid="{C181936D-1B4B-4B0E-AAF4-9DF35023EDEF}" name="Column11854"/>
    <tableColumn id="11886" xr3:uid="{892175FF-22A5-48AB-9252-55A8FC299115}" name="Column11855"/>
    <tableColumn id="11887" xr3:uid="{5964F2D6-13DF-4EA1-9C09-36F243DCF0B6}" name="Column11856"/>
    <tableColumn id="11888" xr3:uid="{5226A2AE-D2BC-4FC7-B25B-67132CAB8E17}" name="Column11857"/>
    <tableColumn id="11889" xr3:uid="{60D5CBB2-A833-44F5-BA40-8D64A862621B}" name="Column11858"/>
    <tableColumn id="11890" xr3:uid="{B118D799-89B6-42E0-88B7-DF19874A26C4}" name="Column11859"/>
    <tableColumn id="11891" xr3:uid="{21239827-0FF9-4F9E-B422-E8CF61B84B64}" name="Column11860"/>
    <tableColumn id="11892" xr3:uid="{FE2A58B3-FDAB-488B-99B6-2BB7C3AE4EFB}" name="Column11861"/>
    <tableColumn id="11893" xr3:uid="{E3934C0D-04B4-4A44-A7EE-1FC70C65C656}" name="Column11862"/>
    <tableColumn id="11894" xr3:uid="{390D285E-1686-4EB0-B3C5-81D5D81456DE}" name="Column11863"/>
    <tableColumn id="11895" xr3:uid="{364FD215-2163-43CD-86B1-AB6118858A1C}" name="Column11864"/>
    <tableColumn id="11896" xr3:uid="{BBD0E5CA-4031-4550-BE79-AABAB496216E}" name="Column11865"/>
    <tableColumn id="11897" xr3:uid="{0424E468-A743-43EB-9087-EE411513DDA6}" name="Column11866"/>
    <tableColumn id="11898" xr3:uid="{80286756-56C9-487C-B288-A0B4D9DC2F2A}" name="Column11867"/>
    <tableColumn id="11899" xr3:uid="{FC542D8A-4986-45B7-864F-B4CE4CB5CE25}" name="Column11868"/>
    <tableColumn id="11900" xr3:uid="{05858976-56EF-4635-A504-6E566BE5AF52}" name="Column11869"/>
    <tableColumn id="11901" xr3:uid="{D6B99EC0-4CD9-460A-9E44-6EC278D99B99}" name="Column11870"/>
    <tableColumn id="11902" xr3:uid="{C72666C0-01CE-4EFC-ACDA-460BAABDB895}" name="Column11871"/>
    <tableColumn id="11903" xr3:uid="{435C1A0D-BDC0-4892-AE0B-8282D6CA63B7}" name="Column11872"/>
    <tableColumn id="11904" xr3:uid="{D460DF2C-DC7C-4846-98C1-C45723B49D3A}" name="Column11873"/>
    <tableColumn id="11905" xr3:uid="{E7675394-B68A-4CDA-94C5-A1911B5993E6}" name="Column11874"/>
    <tableColumn id="11906" xr3:uid="{A754DDCF-7557-438B-8797-6D07998188EA}" name="Column11875"/>
    <tableColumn id="11907" xr3:uid="{92F46631-2297-4F86-88BB-1654235A06A6}" name="Column11876"/>
    <tableColumn id="11908" xr3:uid="{552DACF8-2538-4EB8-A3E6-20D5EA92E1F1}" name="Column11877"/>
    <tableColumn id="11909" xr3:uid="{6F3446EF-6365-4F03-A575-6B39D8F803B3}" name="Column11878"/>
    <tableColumn id="11910" xr3:uid="{D2B44DA6-E7B3-48DF-BC46-44C8D784E7A9}" name="Column11879"/>
    <tableColumn id="11911" xr3:uid="{B166B4BB-DC3E-4B6A-9D37-87F554139EFA}" name="Column11880"/>
    <tableColumn id="11912" xr3:uid="{9A4CD2C9-1345-4848-B2BE-90E3895D1749}" name="Column11881"/>
    <tableColumn id="11913" xr3:uid="{DFB7007A-E980-484B-BA33-740B83C5F807}" name="Column11882"/>
    <tableColumn id="11914" xr3:uid="{BDA56ED0-8D68-48A6-BCD6-5C5201B42265}" name="Column11883"/>
    <tableColumn id="11915" xr3:uid="{73119967-D41E-4062-9314-E3B2BC6919D1}" name="Column11884"/>
    <tableColumn id="11916" xr3:uid="{3D77328F-1DCF-4C66-A58A-7E1365154E5B}" name="Column11885"/>
    <tableColumn id="11917" xr3:uid="{4341B937-CF43-425C-A131-713AC2D590A7}" name="Column11886"/>
    <tableColumn id="11918" xr3:uid="{1149F962-ABB9-4952-B09E-9E3FBAF54763}" name="Column11887"/>
    <tableColumn id="11919" xr3:uid="{3A2854E3-D8B5-498D-B35D-7AE928D18B97}" name="Column11888"/>
    <tableColumn id="11920" xr3:uid="{32C3BDC0-8DE7-4D7F-AF01-0B3E2CCBA75B}" name="Column11889"/>
    <tableColumn id="11921" xr3:uid="{5A739C68-E33F-4A57-BB71-0C955BA7804F}" name="Column11890"/>
    <tableColumn id="11922" xr3:uid="{B2638122-6F91-4D95-B430-172838536C8B}" name="Column11891"/>
    <tableColumn id="11923" xr3:uid="{A4EAD035-6B26-487B-8231-EC193F9BE043}" name="Column11892"/>
    <tableColumn id="11924" xr3:uid="{252F0DC8-D755-45BA-840E-14D830CF7486}" name="Column11893"/>
    <tableColumn id="11925" xr3:uid="{32ADA51A-E54A-481C-8DC8-753BF499FC8A}" name="Column11894"/>
    <tableColumn id="11926" xr3:uid="{570838FC-99EA-4E39-8760-4B36464171BD}" name="Column11895"/>
    <tableColumn id="11927" xr3:uid="{41D3A52D-91FB-464F-8B83-0F6728B61970}" name="Column11896"/>
    <tableColumn id="11928" xr3:uid="{9FD23683-EA59-4261-8D11-B93C509626AD}" name="Column11897"/>
    <tableColumn id="11929" xr3:uid="{46318DEA-A846-485B-923D-0EC3F00C30E0}" name="Column11898"/>
    <tableColumn id="11930" xr3:uid="{A4DB19B4-4DFA-4B12-A4C3-47713CBE3128}" name="Column11899"/>
    <tableColumn id="11931" xr3:uid="{1CC63D72-D467-40D7-B0DE-61A077D4345A}" name="Column11900"/>
    <tableColumn id="11932" xr3:uid="{2F4F9FAF-6532-4690-98FF-0E9AA48A102D}" name="Column11901"/>
    <tableColumn id="11933" xr3:uid="{521CC4F2-5129-495B-A8C5-A3559E055A52}" name="Column11902"/>
    <tableColumn id="11934" xr3:uid="{E602F9C2-4352-4805-B04A-EE1DEEF88CF0}" name="Column11903"/>
    <tableColumn id="11935" xr3:uid="{BF76903A-F05C-4681-A3BD-A3819DE5ACB8}" name="Column11904"/>
    <tableColumn id="11936" xr3:uid="{E9C78DF2-AE9E-4FC3-A035-69412B5C26F3}" name="Column11905"/>
    <tableColumn id="11937" xr3:uid="{D43A94BF-C444-4030-9883-61025063A711}" name="Column11906"/>
    <tableColumn id="11938" xr3:uid="{3A73F6C1-15CF-40CB-A2C9-BCDF01687F78}" name="Column11907"/>
    <tableColumn id="11939" xr3:uid="{7C31890B-FFA0-4E43-86D8-3CD56C2513B8}" name="Column11908"/>
    <tableColumn id="11940" xr3:uid="{27FC6B7C-DDD3-4608-9AC4-BF0A75B441D1}" name="Column11909"/>
    <tableColumn id="11941" xr3:uid="{6F22F586-BDBC-4F24-B80D-F2B674F0CB0B}" name="Column11910"/>
    <tableColumn id="11942" xr3:uid="{CF36FA46-3860-4D26-B627-E4CFA60C60DA}" name="Column11911"/>
    <tableColumn id="11943" xr3:uid="{2505719B-9F32-4BD1-B048-C59450D34D03}" name="Column11912"/>
    <tableColumn id="11944" xr3:uid="{88A0AA8D-F2FF-45E0-AB41-38C754950FF2}" name="Column11913"/>
    <tableColumn id="11945" xr3:uid="{CC91DBC2-7189-4789-886B-42B4ECA80863}" name="Column11914"/>
    <tableColumn id="11946" xr3:uid="{EAD81EEF-CA57-4B2F-9DA3-094B90599022}" name="Column11915"/>
    <tableColumn id="11947" xr3:uid="{6A8BE6C3-E1CF-44F6-BB3F-57788830A2BA}" name="Column11916"/>
    <tableColumn id="11948" xr3:uid="{1BB5190B-937C-4873-90BB-3407D5BF9E3F}" name="Column11917"/>
    <tableColumn id="11949" xr3:uid="{B480CAF6-0109-4DEB-9F87-52579AEFA5D8}" name="Column11918"/>
    <tableColumn id="11950" xr3:uid="{9B6BBE26-328E-4DC5-9F83-10DDBD5044B9}" name="Column11919"/>
    <tableColumn id="11951" xr3:uid="{E412AACC-0FD8-4650-B227-243C93EB005B}" name="Column11920"/>
    <tableColumn id="11952" xr3:uid="{BE7F0E43-7855-4CC0-AFDD-364ED9C1D621}" name="Column11921"/>
    <tableColumn id="11953" xr3:uid="{06E08026-DA58-4136-865E-4008378A472B}" name="Column11922"/>
    <tableColumn id="11954" xr3:uid="{3A08A8AF-3CDD-45C2-811D-68BD733CA73A}" name="Column11923"/>
    <tableColumn id="11955" xr3:uid="{F847552F-BA4D-4A2F-A029-3D63CBCA597C}" name="Column11924"/>
    <tableColumn id="11956" xr3:uid="{CDCCDA35-483C-4660-892E-A9B9094C664F}" name="Column11925"/>
    <tableColumn id="11957" xr3:uid="{469B7E10-3380-457D-BBCC-E575E52890E8}" name="Column11926"/>
    <tableColumn id="11958" xr3:uid="{E298A48B-083D-4213-A81C-C8BA557B50EC}" name="Column11927"/>
    <tableColumn id="11959" xr3:uid="{B9913F57-044D-4B80-AB47-F92FADE0367F}" name="Column11928"/>
    <tableColumn id="11960" xr3:uid="{23F6E420-C57B-42DB-A556-2AEC6190D287}" name="Column11929"/>
    <tableColumn id="11961" xr3:uid="{20D43060-12D9-4024-B14B-4E5C5DC50C8D}" name="Column11930"/>
    <tableColumn id="11962" xr3:uid="{F68BD94D-1BED-4471-848C-C90FD6481A87}" name="Column11931"/>
    <tableColumn id="11963" xr3:uid="{EA9F00C6-D27D-487D-89C4-4E868F5251FB}" name="Column11932"/>
    <tableColumn id="11964" xr3:uid="{4338B1FB-04DE-4E0B-A9CE-752330A4FB18}" name="Column11933"/>
    <tableColumn id="11965" xr3:uid="{B48C25A3-E069-4C60-8397-1E0B599B3004}" name="Column11934"/>
    <tableColumn id="11966" xr3:uid="{7D3DA303-6C15-4460-B797-814D49852ADE}" name="Column11935"/>
    <tableColumn id="11967" xr3:uid="{3E9F2B13-8956-43E3-BBAB-0A3CC569DC3D}" name="Column11936"/>
    <tableColumn id="11968" xr3:uid="{DE63B9A9-5A9B-4012-AB82-91D0C83CDE76}" name="Column11937"/>
    <tableColumn id="11969" xr3:uid="{D23DFD6D-3D4B-4F2D-A674-0024246B117E}" name="Column11938"/>
    <tableColumn id="11970" xr3:uid="{7CC1AE46-27BF-46E5-8D0E-D0596EB0192D}" name="Column11939"/>
    <tableColumn id="11971" xr3:uid="{20E25C05-6784-4E4F-BC9D-F390E7035118}" name="Column11940"/>
    <tableColumn id="11972" xr3:uid="{F945C655-0564-4BAD-AA06-586DBC1ACF28}" name="Column11941"/>
    <tableColumn id="11973" xr3:uid="{C4583385-F4BD-402E-ABC7-B65F2CE7F937}" name="Column11942"/>
    <tableColumn id="11974" xr3:uid="{1FE32A7C-083C-4DD4-8BA6-6B539593E61C}" name="Column11943"/>
    <tableColumn id="11975" xr3:uid="{4BBEB7AB-0925-4E8E-9305-5EEA7D5BE2DB}" name="Column11944"/>
    <tableColumn id="11976" xr3:uid="{24B323FF-F237-4577-BC71-129DBBD304D9}" name="Column11945"/>
    <tableColumn id="11977" xr3:uid="{63438A39-3F7F-4770-9BD9-1BAFE605F561}" name="Column11946"/>
    <tableColumn id="11978" xr3:uid="{A83F14D6-127E-46D7-A3E1-31184C643A10}" name="Column11947"/>
    <tableColumn id="11979" xr3:uid="{65B8F847-3FA2-4750-8725-C7233382ABE8}" name="Column11948"/>
    <tableColumn id="11980" xr3:uid="{FED6FC95-79F9-4D08-921C-F75FFF785DC6}" name="Column11949"/>
    <tableColumn id="11981" xr3:uid="{F6DFD816-FDA0-485E-93DD-93EBA78F8847}" name="Column11950"/>
    <tableColumn id="11982" xr3:uid="{27BDEC91-7BB8-46CE-A054-7AF95CAD639A}" name="Column11951"/>
    <tableColumn id="11983" xr3:uid="{A3C9EEDD-CED0-484A-8FC8-6E0FDB962FCA}" name="Column11952"/>
    <tableColumn id="11984" xr3:uid="{DDFB143C-E803-4282-B678-E9B063A4D830}" name="Column11953"/>
    <tableColumn id="11985" xr3:uid="{D51D8D0D-F0C7-4819-A555-FA05B971017B}" name="Column11954"/>
    <tableColumn id="11986" xr3:uid="{522DFA27-DE87-4B6B-A4BA-750139CAC55D}" name="Column11955"/>
    <tableColumn id="11987" xr3:uid="{BBB65E47-2F3B-4E3C-9BCD-FCCAE2D76F18}" name="Column11956"/>
    <tableColumn id="11988" xr3:uid="{3E5D3EAA-AAE2-4D14-8844-1E7FF10A1849}" name="Column11957"/>
    <tableColumn id="11989" xr3:uid="{9F81DDCB-0A21-4996-B292-87088A0FDAED}" name="Column11958"/>
    <tableColumn id="11990" xr3:uid="{CD10FA00-324D-4FA7-B756-D682C6917543}" name="Column11959"/>
    <tableColumn id="11991" xr3:uid="{C3144A09-B34D-44D4-B24B-3234B88AADF7}" name="Column11960"/>
    <tableColumn id="11992" xr3:uid="{4FDD22F9-C5E1-498D-B280-2DBF6F5933B7}" name="Column11961"/>
    <tableColumn id="11993" xr3:uid="{89844C71-33DE-44C7-BFA7-9CCB07BCD4F9}" name="Column11962"/>
    <tableColumn id="11994" xr3:uid="{AD9A1AF7-250B-4CDA-9F6C-83DBCCB73976}" name="Column11963"/>
    <tableColumn id="11995" xr3:uid="{FA024641-E99C-4E4D-B876-6743CA42C776}" name="Column11964"/>
    <tableColumn id="11996" xr3:uid="{617933C2-6409-412A-9180-BA319095FF7E}" name="Column11965"/>
    <tableColumn id="11997" xr3:uid="{2A06A3E0-B82A-459C-B0EF-1C12A2B7B010}" name="Column11966"/>
    <tableColumn id="11998" xr3:uid="{A1ED35C5-B569-4F1E-A0EF-B351ED30EF3C}" name="Column11967"/>
    <tableColumn id="11999" xr3:uid="{3B761388-D410-44BB-AE10-5E19B1AEA81B}" name="Column11968"/>
    <tableColumn id="12000" xr3:uid="{92FE80FE-554B-4868-8579-03D9DF59A580}" name="Column11969"/>
    <tableColumn id="12001" xr3:uid="{6868621B-3919-4271-9802-3A882AF61725}" name="Column11970"/>
    <tableColumn id="12002" xr3:uid="{75FE2813-CF40-4193-82EB-5AB7055DB919}" name="Column11971"/>
    <tableColumn id="12003" xr3:uid="{88EDCBAD-CF07-43DF-A2DB-EAF3ED1FE974}" name="Column11972"/>
    <tableColumn id="12004" xr3:uid="{2227BE16-5163-4072-B9BE-6345CFBF6EC0}" name="Column11973"/>
    <tableColumn id="12005" xr3:uid="{0B449E05-FC19-425B-BA19-2E449FF1827C}" name="Column11974"/>
    <tableColumn id="12006" xr3:uid="{B6BE0778-495B-4764-A6DA-CDBAA995C8F8}" name="Column11975"/>
    <tableColumn id="12007" xr3:uid="{16DEA163-5C30-4E1B-A735-5A3E274C5BBC}" name="Column11976"/>
    <tableColumn id="12008" xr3:uid="{46C213DF-71FA-4C61-99B0-36601A927FDD}" name="Column11977"/>
    <tableColumn id="12009" xr3:uid="{F3364797-6421-49CE-8A90-DCE8584D0ABA}" name="Column11978"/>
    <tableColumn id="12010" xr3:uid="{9BDD5115-FB76-434F-97A1-D21A162BE685}" name="Column11979"/>
    <tableColumn id="12011" xr3:uid="{B4C31459-6376-4E03-96CD-2D77E4049110}" name="Column11980"/>
    <tableColumn id="12012" xr3:uid="{C62526D5-EE2F-4067-9A45-BDE3943DF7CB}" name="Column11981"/>
    <tableColumn id="12013" xr3:uid="{DEBED82A-8D62-4316-9EAB-BFAFCC324C40}" name="Column11982"/>
    <tableColumn id="12014" xr3:uid="{FD1A610C-2A18-4E6D-8112-93A1D343514C}" name="Column11983"/>
    <tableColumn id="12015" xr3:uid="{039B833E-F1AC-4CAC-B2BA-AD1B071D7506}" name="Column11984"/>
    <tableColumn id="12016" xr3:uid="{880BCE72-3DBA-417F-A328-A9D35A275396}" name="Column11985"/>
    <tableColumn id="12017" xr3:uid="{293B4132-D6DB-4A76-AF43-37CF2E5C7A2D}" name="Column11986"/>
    <tableColumn id="12018" xr3:uid="{462BF9B6-DEA1-4A57-B5AD-901AB244CB24}" name="Column11987"/>
    <tableColumn id="12019" xr3:uid="{859A189A-5F0C-4B34-A484-CA5A58C2FE72}" name="Column11988"/>
    <tableColumn id="12020" xr3:uid="{BDCF1B86-93FD-4454-9682-9B6E1569A47C}" name="Column11989"/>
    <tableColumn id="12021" xr3:uid="{D98DD9FF-75D2-4841-84B1-372D6161BBE0}" name="Column11990"/>
    <tableColumn id="12022" xr3:uid="{56A7EF1D-157A-4058-A4D2-A12383B3B1E8}" name="Column11991"/>
    <tableColumn id="12023" xr3:uid="{45027C9B-14EE-4FCA-9C79-95FCA61B59E6}" name="Column11992"/>
    <tableColumn id="12024" xr3:uid="{F563A6BC-163E-4EB5-9EFD-4B15A110C71A}" name="Column11993"/>
    <tableColumn id="12025" xr3:uid="{A6E9EBD5-838E-4441-9318-F60AEB105D01}" name="Column11994"/>
    <tableColumn id="12026" xr3:uid="{1B59ED18-C39A-4181-9998-241455B032A4}" name="Column11995"/>
    <tableColumn id="12027" xr3:uid="{D74C921D-8F4D-4852-9DB7-1A6FF7DD5C94}" name="Column11996"/>
    <tableColumn id="12028" xr3:uid="{F3404BD9-6179-4B7B-A878-EAF7EF78DB5E}" name="Column11997"/>
    <tableColumn id="12029" xr3:uid="{726D84AA-A8F8-4CBE-9516-098DAE168CE1}" name="Column11998"/>
    <tableColumn id="12030" xr3:uid="{6D9E00DF-188A-4BEF-971D-3062C57880FC}" name="Column11999"/>
    <tableColumn id="12031" xr3:uid="{FABE2389-2ACD-4E17-93C9-C2109EBA14D0}" name="Column12000"/>
    <tableColumn id="12032" xr3:uid="{3E98A9E9-7F24-4224-9D44-7F183AB0006F}" name="Column12001"/>
    <tableColumn id="12033" xr3:uid="{8C4947DE-80E4-459A-BB50-7E182B48A125}" name="Column12002"/>
    <tableColumn id="12034" xr3:uid="{B336F4A4-325A-44A3-A4D5-C42E5B64246F}" name="Column12003"/>
    <tableColumn id="12035" xr3:uid="{6835BAF2-9651-479C-B390-F48955667E38}" name="Column12004"/>
    <tableColumn id="12036" xr3:uid="{CC44458F-5F6F-434F-A542-44C617CDD6BC}" name="Column12005"/>
    <tableColumn id="12037" xr3:uid="{C23C912C-F0F2-46A3-A0CF-1C99D9406E8F}" name="Column12006"/>
    <tableColumn id="12038" xr3:uid="{CFF43638-852B-4D4D-81AE-94F948857007}" name="Column12007"/>
    <tableColumn id="12039" xr3:uid="{15D56710-572E-4A6F-B3BA-689E6BE661EF}" name="Column12008"/>
    <tableColumn id="12040" xr3:uid="{C8E61925-6C04-44A1-BCC3-62E67234DC13}" name="Column12009"/>
    <tableColumn id="12041" xr3:uid="{69D30D5A-1598-44E2-B0CF-95B4C0C28DE2}" name="Column12010"/>
    <tableColumn id="12042" xr3:uid="{BA295720-8641-4241-81B4-25D097871048}" name="Column12011"/>
    <tableColumn id="12043" xr3:uid="{C88ECFC1-C7E0-4A50-8AE2-F4D5B8CD43AA}" name="Column12012"/>
    <tableColumn id="12044" xr3:uid="{2E9339E1-81DA-4734-9F69-73C72CB27D5B}" name="Column12013"/>
    <tableColumn id="12045" xr3:uid="{DB31FF56-8D4F-444B-AC7C-79CCBB09DA05}" name="Column12014"/>
    <tableColumn id="12046" xr3:uid="{369F6979-52EF-4C3A-AB6E-BF6DAFBAFBA8}" name="Column12015"/>
    <tableColumn id="12047" xr3:uid="{132A662D-C259-4BE6-9A85-E18C7BDD8A56}" name="Column12016"/>
    <tableColumn id="12048" xr3:uid="{2F3A6ACE-4610-4BED-9C82-6FF3008F6DCF}" name="Column12017"/>
    <tableColumn id="12049" xr3:uid="{9DF4077D-79A1-491D-ABFD-827842C7FB97}" name="Column12018"/>
    <tableColumn id="12050" xr3:uid="{1DECE51E-2724-46ED-99E7-B8F8552A511A}" name="Column12019"/>
    <tableColumn id="12051" xr3:uid="{15B1B0E2-D0E7-465C-90C8-7C0CD4E7010A}" name="Column12020"/>
    <tableColumn id="12052" xr3:uid="{E1021BFE-A4A6-4401-A0D8-7C7605F8A41F}" name="Column12021"/>
    <tableColumn id="12053" xr3:uid="{E815F01E-6C7F-4D21-B2BE-369953ACC649}" name="Column12022"/>
    <tableColumn id="12054" xr3:uid="{ACE51536-3529-4FC9-ADA5-1F9E47A5D3FC}" name="Column12023"/>
    <tableColumn id="12055" xr3:uid="{9A7C9B8C-F6BC-4FD5-8609-2B10DEE2E4CE}" name="Column12024"/>
    <tableColumn id="12056" xr3:uid="{368B19F4-2E66-49A2-A6C6-E8985BFD1151}" name="Column12025"/>
    <tableColumn id="12057" xr3:uid="{4371E968-7054-48BF-9058-37F09A72587C}" name="Column12026"/>
    <tableColumn id="12058" xr3:uid="{95827804-C103-4743-B024-C3F31235A714}" name="Column12027"/>
    <tableColumn id="12059" xr3:uid="{CFECBB05-EC8F-4F48-BF3B-B451A2B13155}" name="Column12028"/>
    <tableColumn id="12060" xr3:uid="{6E62F720-4C7F-4271-A493-43B60FE2CE6F}" name="Column12029"/>
    <tableColumn id="12061" xr3:uid="{9A26846B-2C3C-49EC-8587-4EE67FF3A620}" name="Column12030"/>
    <tableColumn id="12062" xr3:uid="{C7E66C3E-44A7-437A-8632-760608E84555}" name="Column12031"/>
    <tableColumn id="12063" xr3:uid="{7E6E289A-B7B5-49FA-9145-2CCBD9681101}" name="Column12032"/>
    <tableColumn id="12064" xr3:uid="{F6DB52F7-41AF-4989-B155-278416033A3A}" name="Column12033"/>
    <tableColumn id="12065" xr3:uid="{6CB7E47C-0D95-415C-A68F-4EC9666B5404}" name="Column12034"/>
    <tableColumn id="12066" xr3:uid="{E8060B30-09E5-44D2-9025-42B633FEC8E7}" name="Column12035"/>
    <tableColumn id="12067" xr3:uid="{AF87DF3F-1095-4614-97F2-B4348DC55577}" name="Column12036"/>
    <tableColumn id="12068" xr3:uid="{06F1DBD5-DBBC-4DF1-9B38-F95A2A774326}" name="Column12037"/>
    <tableColumn id="12069" xr3:uid="{CF087AA8-5934-4C8E-A262-8C2BE3F1DA24}" name="Column12038"/>
    <tableColumn id="12070" xr3:uid="{15896C04-0EF2-4EB0-BF27-E3126E847AF7}" name="Column12039"/>
    <tableColumn id="12071" xr3:uid="{7AB60560-99B6-45BC-8A8A-0690D57AE42A}" name="Column12040"/>
    <tableColumn id="12072" xr3:uid="{346426C1-B511-482C-8C9F-B7477AB1C29B}" name="Column12041"/>
    <tableColumn id="12073" xr3:uid="{1383AA35-0B8F-4536-8938-AE860FC3DDE9}" name="Column12042"/>
    <tableColumn id="12074" xr3:uid="{BD7F29DB-90BE-4ABA-87FC-1646D933652E}" name="Column12043"/>
    <tableColumn id="12075" xr3:uid="{3FC8AF15-D37D-40B8-BADF-1CADA4A87536}" name="Column12044"/>
    <tableColumn id="12076" xr3:uid="{85D385A3-C9D8-46C3-8D47-AC66FA9B29F9}" name="Column12045"/>
    <tableColumn id="12077" xr3:uid="{7D53BC3A-313E-46AF-96FA-CCEAA1FEDC11}" name="Column12046"/>
    <tableColumn id="12078" xr3:uid="{504F2DB3-EB19-4615-A763-37C68C8BE0FA}" name="Column12047"/>
    <tableColumn id="12079" xr3:uid="{47FD4335-32CD-473B-9D57-5E77551E2164}" name="Column12048"/>
    <tableColumn id="12080" xr3:uid="{22667531-D90B-46A0-B6C0-AE1F35CA19B3}" name="Column12049"/>
    <tableColumn id="12081" xr3:uid="{0C44AB71-55E1-4FDE-8D9F-DEB9B2B6563C}" name="Column12050"/>
    <tableColumn id="12082" xr3:uid="{310061F1-961B-40C3-90E7-C04FF9CA753E}" name="Column12051"/>
    <tableColumn id="12083" xr3:uid="{1F02584B-30FB-4658-B452-2E9F9EC70573}" name="Column12052"/>
    <tableColumn id="12084" xr3:uid="{FC506849-4898-4F60-87D6-1AD67E1C12B6}" name="Column12053"/>
    <tableColumn id="12085" xr3:uid="{8284D3D8-7766-4991-BF89-CCB171643F36}" name="Column12054"/>
    <tableColumn id="12086" xr3:uid="{C4FF4609-873D-4CEE-8D50-C513B16BE44E}" name="Column12055"/>
    <tableColumn id="12087" xr3:uid="{FD525C1E-370A-46A7-BB7B-D31A4223A5B4}" name="Column12056"/>
    <tableColumn id="12088" xr3:uid="{54E416BE-C0B0-4377-91B3-1E3488414C1C}" name="Column12057"/>
    <tableColumn id="12089" xr3:uid="{76443C85-26C7-4C36-AB70-4434D8C4E32A}" name="Column12058"/>
    <tableColumn id="12090" xr3:uid="{D609B045-BE4B-4BF4-BE1E-83B648BD6314}" name="Column12059"/>
    <tableColumn id="12091" xr3:uid="{62DFFC79-A20E-4B06-940B-E1833666B7B8}" name="Column12060"/>
    <tableColumn id="12092" xr3:uid="{5C95A37F-3146-46C8-AA9C-4C0835E03E21}" name="Column12061"/>
    <tableColumn id="12093" xr3:uid="{76A34849-F651-49B7-BF56-902B36CB52EA}" name="Column12062"/>
    <tableColumn id="12094" xr3:uid="{D25FD68A-95F0-4DCA-A09D-4F4F9B0F3018}" name="Column12063"/>
    <tableColumn id="12095" xr3:uid="{9942297D-0386-4431-9BA5-02B9507DEFC9}" name="Column12064"/>
    <tableColumn id="12096" xr3:uid="{74397C44-BEEC-489F-A46B-8466EEADC2A2}" name="Column12065"/>
    <tableColumn id="12097" xr3:uid="{E7CA88ED-1FFE-46C9-9D7C-8C84B4F4484E}" name="Column12066"/>
    <tableColumn id="12098" xr3:uid="{2A1AA6C3-8FF0-4C0C-9DB2-66C6F0CAB41C}" name="Column12067"/>
    <tableColumn id="12099" xr3:uid="{49A3E69A-36E6-4D1B-AE8B-E66762861CE5}" name="Column12068"/>
    <tableColumn id="12100" xr3:uid="{DC0AB49E-E880-4DB0-8325-40CBC07BD4BC}" name="Column12069"/>
    <tableColumn id="12101" xr3:uid="{E19C5779-2484-4AB9-9347-91E6CDF55673}" name="Column12070"/>
    <tableColumn id="12102" xr3:uid="{A9F0E22E-C17E-4C90-8193-4A16768E181A}" name="Column12071"/>
    <tableColumn id="12103" xr3:uid="{80B0889E-9DBC-42B1-ABD5-DD5B9F7B455B}" name="Column12072"/>
    <tableColumn id="12104" xr3:uid="{8037662B-43DE-4D20-B2CD-E6CA8324725D}" name="Column12073"/>
    <tableColumn id="12105" xr3:uid="{5741236E-6050-4F51-B587-7A2B4EE77E6F}" name="Column12074"/>
    <tableColumn id="12106" xr3:uid="{1F2449C4-4B51-4495-AF4D-159F0577A71A}" name="Column12075"/>
    <tableColumn id="12107" xr3:uid="{BCB18317-09E6-49F1-89F9-E56FA8B2DFCE}" name="Column12076"/>
    <tableColumn id="12108" xr3:uid="{1766404A-E3F5-4A7B-A081-9B3CC59F1D55}" name="Column12077"/>
    <tableColumn id="12109" xr3:uid="{EC5E0268-4AA0-499D-998E-D064A293FF26}" name="Column12078"/>
    <tableColumn id="12110" xr3:uid="{13B51F2C-3F56-4224-BA93-B2F9EE0B2BBA}" name="Column12079"/>
    <tableColumn id="12111" xr3:uid="{1A461543-B730-4231-97EB-80F94A1396DE}" name="Column12080"/>
    <tableColumn id="12112" xr3:uid="{9C96DD01-1C40-49A2-B830-6D045DC43BC9}" name="Column12081"/>
    <tableColumn id="12113" xr3:uid="{337AACE7-648E-404E-9EAA-D9A2589F55C8}" name="Column12082"/>
    <tableColumn id="12114" xr3:uid="{A33B11F0-B3AC-4F0A-8207-6E61C4C17ACD}" name="Column12083"/>
    <tableColumn id="12115" xr3:uid="{D44AA5B2-D6A6-41AC-B78B-91590A0C3E01}" name="Column12084"/>
    <tableColumn id="12116" xr3:uid="{AE1CB852-7AC4-4F93-974C-7FA857A806C8}" name="Column12085"/>
    <tableColumn id="12117" xr3:uid="{6EF7B169-E4DD-46DD-A2DA-9C562FB11614}" name="Column12086"/>
    <tableColumn id="12118" xr3:uid="{00B3AC6A-7C30-4E73-BBF8-A47D643336B2}" name="Column12087"/>
    <tableColumn id="12119" xr3:uid="{F5D7785D-DB29-4FE4-87C4-B98E0149FC0A}" name="Column12088"/>
    <tableColumn id="12120" xr3:uid="{480870B8-63A0-4720-A463-F68149AB01A8}" name="Column12089"/>
    <tableColumn id="12121" xr3:uid="{82767571-5AAD-4880-AE70-C7539B884720}" name="Column12090"/>
    <tableColumn id="12122" xr3:uid="{89D914E0-95DC-4972-9221-8C2EBA5F1ECE}" name="Column12091"/>
    <tableColumn id="12123" xr3:uid="{0746F337-1064-4DFA-AB75-97D93F9A8125}" name="Column12092"/>
    <tableColumn id="12124" xr3:uid="{0EF86633-69E1-4433-908C-04484060500A}" name="Column12093"/>
    <tableColumn id="12125" xr3:uid="{428E3344-996A-4BE5-91D8-7897C384B2B0}" name="Column12094"/>
    <tableColumn id="12126" xr3:uid="{A8942CF3-8AA4-4E64-909F-A6E7A3E57F9D}" name="Column12095"/>
    <tableColumn id="12127" xr3:uid="{7CEB28CC-847B-4EAE-9295-06F65C868F30}" name="Column12096"/>
    <tableColumn id="12128" xr3:uid="{9C8191E6-1227-4067-B2FA-0B249C47697A}" name="Column12097"/>
    <tableColumn id="12129" xr3:uid="{85542452-3070-4A70-AC85-43AC220C7185}" name="Column12098"/>
    <tableColumn id="12130" xr3:uid="{CB453511-4AAD-403D-A167-9B5BC864C09E}" name="Column12099"/>
    <tableColumn id="12131" xr3:uid="{70C24D8C-668E-4BEE-B88A-260DE1EE8C5A}" name="Column12100"/>
    <tableColumn id="12132" xr3:uid="{2A881E78-94DE-4009-9B42-34DB28B9C85A}" name="Column12101"/>
    <tableColumn id="12133" xr3:uid="{3E28B6C2-D646-4997-B8E1-E571DD254F67}" name="Column12102"/>
    <tableColumn id="12134" xr3:uid="{FE786F86-5CE5-4077-AB28-ADE61779F044}" name="Column12103"/>
    <tableColumn id="12135" xr3:uid="{2EE17A53-0880-4DC4-92A4-86CE1C055E63}" name="Column12104"/>
    <tableColumn id="12136" xr3:uid="{CDABE6F5-DA66-435B-8091-F39975735828}" name="Column12105"/>
    <tableColumn id="12137" xr3:uid="{6BEF9750-D2CF-4C5A-A2C3-8FA87992E462}" name="Column12106"/>
    <tableColumn id="12138" xr3:uid="{5168BF60-5C59-4BF8-96F8-0969B17F5DEC}" name="Column12107"/>
    <tableColumn id="12139" xr3:uid="{B8D04374-CBED-4863-ADEA-DEF65003632F}" name="Column12108"/>
    <tableColumn id="12140" xr3:uid="{47ECE7BA-7629-47CB-BB8F-481AF1A37213}" name="Column12109"/>
    <tableColumn id="12141" xr3:uid="{9CBD76D8-6E96-4C7F-A45B-217A616F11FF}" name="Column12110"/>
    <tableColumn id="12142" xr3:uid="{8B81EE8C-0B36-41A8-9604-F0A28F0CCF83}" name="Column12111"/>
    <tableColumn id="12143" xr3:uid="{38EFFD7C-6271-4601-87AC-B0C54FB47B00}" name="Column12112"/>
    <tableColumn id="12144" xr3:uid="{11C722D3-89C7-4208-891A-1CC977E5D4F1}" name="Column12113"/>
    <tableColumn id="12145" xr3:uid="{2A59D1F0-5AC9-4A66-8B39-86310B9ABF20}" name="Column12114"/>
    <tableColumn id="12146" xr3:uid="{3E5332F0-E0EF-4AB7-8B5B-4BAF9CD2917F}" name="Column12115"/>
    <tableColumn id="12147" xr3:uid="{E4212F7A-A154-4090-8394-947876836B5D}" name="Column12116"/>
    <tableColumn id="12148" xr3:uid="{528712C1-5FEA-4A7D-AA67-1270FBDF3CF4}" name="Column12117"/>
    <tableColumn id="12149" xr3:uid="{D2D14B7A-93FB-4528-98D1-BFDBADFF7E73}" name="Column12118"/>
    <tableColumn id="12150" xr3:uid="{9B864534-26E7-46D6-B27C-09D72995AFAD}" name="Column12119"/>
    <tableColumn id="12151" xr3:uid="{74AA0FCD-C65C-4F18-A07C-057CB6A288A6}" name="Column12120"/>
    <tableColumn id="12152" xr3:uid="{AC2A0F78-D027-450E-9C0D-E052A1CDCE50}" name="Column12121"/>
    <tableColumn id="12153" xr3:uid="{05CEC5B4-B388-4FF8-B814-F0F9251303C2}" name="Column12122"/>
    <tableColumn id="12154" xr3:uid="{061D433A-B6F6-4CF1-B002-390AD5DB9BA1}" name="Column12123"/>
    <tableColumn id="12155" xr3:uid="{57D4DAE1-9CE5-4F41-9E57-8816493EE4EB}" name="Column12124"/>
    <tableColumn id="12156" xr3:uid="{420EF386-3BC4-4E48-93D3-F5B49F353B77}" name="Column12125"/>
    <tableColumn id="12157" xr3:uid="{2F6293CB-B89F-4336-BB77-472D4BFF1FFD}" name="Column12126"/>
    <tableColumn id="12158" xr3:uid="{9B221B99-6244-4A81-A7C8-958D34775BE8}" name="Column12127"/>
    <tableColumn id="12159" xr3:uid="{755DD8FC-71FF-4B8B-BEEF-9FC5D0E3C658}" name="Column12128"/>
    <tableColumn id="12160" xr3:uid="{0DC0C5E6-DAB5-46F4-A701-1521B29B6E3A}" name="Column12129"/>
    <tableColumn id="12161" xr3:uid="{420BA182-6BDE-4273-8ABB-0EE55DAEBE63}" name="Column12130"/>
    <tableColumn id="12162" xr3:uid="{958D7CCD-D2C1-4CBA-9347-2C0C6DA760FF}" name="Column12131"/>
    <tableColumn id="12163" xr3:uid="{9BDF9274-EE33-4BD5-9C72-9AF14A426E80}" name="Column12132"/>
    <tableColumn id="12164" xr3:uid="{3BABAFD2-2A26-4167-A319-B3BE16AFBAEB}" name="Column12133"/>
    <tableColumn id="12165" xr3:uid="{DDBB4E31-434B-4B19-9F70-90FD0DC486F4}" name="Column12134"/>
    <tableColumn id="12166" xr3:uid="{751FDFA5-46ED-4BE3-8668-6B5D78A8502E}" name="Column12135"/>
    <tableColumn id="12167" xr3:uid="{A278FBEC-5210-4905-9EA0-D6334223D34D}" name="Column12136"/>
    <tableColumn id="12168" xr3:uid="{54034925-18B8-46F1-8A92-0E4A4E277763}" name="Column12137"/>
    <tableColumn id="12169" xr3:uid="{A4492F00-2F34-4E56-92DA-AF23740E820D}" name="Column12138"/>
    <tableColumn id="12170" xr3:uid="{1AA49DEB-2974-44DE-9376-5A2EC09F9E0E}" name="Column12139"/>
    <tableColumn id="12171" xr3:uid="{967C915F-A2F7-4756-928B-F11D0D593F10}" name="Column12140"/>
    <tableColumn id="12172" xr3:uid="{B2221D68-F3C4-40CA-B738-DFFAF4F886B7}" name="Column12141"/>
    <tableColumn id="12173" xr3:uid="{5B0A0420-3882-4A92-A28D-6BF5C71EC266}" name="Column12142"/>
    <tableColumn id="12174" xr3:uid="{E2AE4C0C-9DE2-45CC-9F0C-FF9CB373D65D}" name="Column12143"/>
    <tableColumn id="12175" xr3:uid="{7232EB9E-8D49-47E0-850E-7AC91EB4177E}" name="Column12144"/>
    <tableColumn id="12176" xr3:uid="{3B6BF715-E3FA-4417-8A4C-9A7935AD1D51}" name="Column12145"/>
    <tableColumn id="12177" xr3:uid="{0D2F9298-87D0-4B4D-8832-1181DCDB447C}" name="Column12146"/>
    <tableColumn id="12178" xr3:uid="{B8DB0B57-E564-4597-ACAB-E6F8C05FB73A}" name="Column12147"/>
    <tableColumn id="12179" xr3:uid="{D7119D42-A3C8-41A5-983F-FAC4EBC50ED8}" name="Column12148"/>
    <tableColumn id="12180" xr3:uid="{A9A69FB7-4F65-48E3-87B1-57F63D2EF68A}" name="Column12149"/>
    <tableColumn id="12181" xr3:uid="{C60E4D07-8C6F-46D4-BD34-0D22CB9ADD5B}" name="Column12150"/>
    <tableColumn id="12182" xr3:uid="{2D197880-2F16-4F84-893B-7068AF8AC76F}" name="Column12151"/>
    <tableColumn id="12183" xr3:uid="{C36F9027-DD40-488E-815B-19ACB957D5B7}" name="Column12152"/>
    <tableColumn id="12184" xr3:uid="{EA48B52E-B4A9-41F0-8316-80833436ACBB}" name="Column12153"/>
    <tableColumn id="12185" xr3:uid="{99308263-FD98-44F3-A767-F7B11F770BCA}" name="Column12154"/>
    <tableColumn id="12186" xr3:uid="{2463E6AE-BFFD-45E6-97D6-7FF70BE9977E}" name="Column12155"/>
    <tableColumn id="12187" xr3:uid="{DA5C43BA-97FC-4808-86E7-9CEC0C3190FA}" name="Column12156"/>
    <tableColumn id="12188" xr3:uid="{F56F5A62-1A61-4368-A958-FCFD7AC807F9}" name="Column12157"/>
    <tableColumn id="12189" xr3:uid="{26E4365D-6B73-489C-AF70-84F9C27BB62C}" name="Column12158"/>
    <tableColumn id="12190" xr3:uid="{7BC7641B-3AD4-497D-8334-3A4FA9F96215}" name="Column12159"/>
    <tableColumn id="12191" xr3:uid="{204DCD34-07B1-4866-B333-A0D502A289D2}" name="Column12160"/>
    <tableColumn id="12192" xr3:uid="{3E58F5A9-8CFE-4CAD-90D1-4A19F3A3E98D}" name="Column12161"/>
    <tableColumn id="12193" xr3:uid="{70036C7E-68C9-4D19-B459-22DAFCAA802B}" name="Column12162"/>
    <tableColumn id="12194" xr3:uid="{5661E6BF-FEAD-4D21-BA0D-222D64A3FABB}" name="Column12163"/>
    <tableColumn id="12195" xr3:uid="{1EF5EDD0-71B1-42E0-9F7A-D600E7566091}" name="Column12164"/>
    <tableColumn id="12196" xr3:uid="{E4B2A815-2F59-47BE-A5EB-79135F431445}" name="Column12165"/>
    <tableColumn id="12197" xr3:uid="{A5137585-060C-4E60-8EC4-81D79C3E343A}" name="Column12166"/>
    <tableColumn id="12198" xr3:uid="{8539AD9C-EC8C-4B6A-BA77-56EA41C2B4C4}" name="Column12167"/>
    <tableColumn id="12199" xr3:uid="{7646BD5D-D990-400F-A262-44873F8B77E2}" name="Column12168"/>
    <tableColumn id="12200" xr3:uid="{91F2C686-2764-4B30-9819-B4A8B6CB5552}" name="Column12169"/>
    <tableColumn id="12201" xr3:uid="{326794C3-3887-4121-80B5-9BDD6E750200}" name="Column12170"/>
    <tableColumn id="12202" xr3:uid="{E00D7CBA-0133-4D98-8ECF-374EFF36684B}" name="Column12171"/>
    <tableColumn id="12203" xr3:uid="{D9754074-58B8-4B97-8E62-77EEC389EBB2}" name="Column12172"/>
    <tableColumn id="12204" xr3:uid="{5768E002-20FA-4406-BD39-FDB28C2910A3}" name="Column12173"/>
    <tableColumn id="12205" xr3:uid="{A3909105-B809-434A-B467-A2A2BBED58DA}" name="Column12174"/>
    <tableColumn id="12206" xr3:uid="{8CF6235E-C9E1-4A78-98FB-AD106E5FDE8A}" name="Column12175"/>
    <tableColumn id="12207" xr3:uid="{26F8F41F-3F76-4FB1-8CCB-580FE655FBD1}" name="Column12176"/>
    <tableColumn id="12208" xr3:uid="{F70BB707-0D1A-4ECB-8BE8-C679485A6B6C}" name="Column12177"/>
    <tableColumn id="12209" xr3:uid="{9BF7459C-C8E3-477F-955F-DB93302C0680}" name="Column12178"/>
    <tableColumn id="12210" xr3:uid="{57224AE1-2FA3-4CE1-8B68-6FFCCC065A90}" name="Column12179"/>
    <tableColumn id="12211" xr3:uid="{E3D7755A-3C87-40D9-8BB8-26C656C8553B}" name="Column12180"/>
    <tableColumn id="12212" xr3:uid="{58401243-CC94-43E3-9F2F-1BBB028E53B2}" name="Column12181"/>
    <tableColumn id="12213" xr3:uid="{4624BB10-7269-40CA-8191-98D07864B9BD}" name="Column12182"/>
    <tableColumn id="12214" xr3:uid="{A1365BFE-AA80-4103-9166-B1F15A7F4C96}" name="Column12183"/>
    <tableColumn id="12215" xr3:uid="{B0C037FD-56B8-40A8-A57C-B6FA60F7885A}" name="Column12184"/>
    <tableColumn id="12216" xr3:uid="{FFF422BC-591B-4EA3-8EB9-B6AFC87005E6}" name="Column12185"/>
    <tableColumn id="12217" xr3:uid="{BD1395B0-D448-45C7-9DD0-F3A1FE096D28}" name="Column12186"/>
    <tableColumn id="12218" xr3:uid="{DA4AF7A3-D88C-496A-A0CA-09C532CCA6E2}" name="Column12187"/>
    <tableColumn id="12219" xr3:uid="{D4A082AE-A29C-475F-8B29-D97B8F6B5314}" name="Column12188"/>
    <tableColumn id="12220" xr3:uid="{40088F72-12F6-4AF5-847D-F00F0965B787}" name="Column12189"/>
    <tableColumn id="12221" xr3:uid="{18EA418D-37B1-4D8C-8568-82CAEFD9A5FD}" name="Column12190"/>
    <tableColumn id="12222" xr3:uid="{DBF50E4F-E089-4EAF-9DBC-80C1871DFCAC}" name="Column12191"/>
    <tableColumn id="12223" xr3:uid="{D690FD4A-0CFB-4B82-95C3-E0B724E0655A}" name="Column12192"/>
    <tableColumn id="12224" xr3:uid="{3760BA9A-C809-4DB9-A1EA-5972015D157B}" name="Column12193"/>
    <tableColumn id="12225" xr3:uid="{41D1A7BA-692C-4D25-AF76-45ED5E5314F4}" name="Column12194"/>
    <tableColumn id="12226" xr3:uid="{79D1480A-96D2-464C-BD97-0C9BE55B374D}" name="Column12195"/>
    <tableColumn id="12227" xr3:uid="{0FCD8293-F401-4F73-A097-0FE9B1B5042A}" name="Column12196"/>
    <tableColumn id="12228" xr3:uid="{CC42416C-6F07-4777-9B3F-C4F915342665}" name="Column12197"/>
    <tableColumn id="12229" xr3:uid="{1A3C2C69-AA5C-4A88-AD48-E7F8B097EBFF}" name="Column12198"/>
    <tableColumn id="12230" xr3:uid="{DA411942-2F44-433B-B5A0-F69D16A5B562}" name="Column12199"/>
    <tableColumn id="12231" xr3:uid="{46AA73FD-B429-4617-AA89-987A8C782964}" name="Column12200"/>
    <tableColumn id="12232" xr3:uid="{ADE7D107-39DE-4878-9829-D4B25B2B357C}" name="Column12201"/>
    <tableColumn id="12233" xr3:uid="{C3358BBD-08D4-440B-B7ED-D64F7C891E4C}" name="Column12202"/>
    <tableColumn id="12234" xr3:uid="{94EFC12B-F25D-4148-9008-FD06ABBAA1FC}" name="Column12203"/>
    <tableColumn id="12235" xr3:uid="{3602D33D-01AD-4A74-9C09-63FFA01317FA}" name="Column12204"/>
    <tableColumn id="12236" xr3:uid="{23B0C8BA-F66A-42EC-8222-D0B5F6C4983B}" name="Column12205"/>
    <tableColumn id="12237" xr3:uid="{AF5902BB-F78E-4319-87A5-456A772475F1}" name="Column12206"/>
    <tableColumn id="12238" xr3:uid="{867A2C39-B843-419A-AD60-9323C52BFFAD}" name="Column12207"/>
    <tableColumn id="12239" xr3:uid="{945626AC-9002-471A-9975-B9CAC16B57FC}" name="Column12208"/>
    <tableColumn id="12240" xr3:uid="{5AD402E1-8FF0-403B-BE97-F32AD1C7D049}" name="Column12209"/>
    <tableColumn id="12241" xr3:uid="{FF948D42-1F0E-4F31-B8FD-B63302E2162D}" name="Column12210"/>
    <tableColumn id="12242" xr3:uid="{4F4C8845-5A7B-4BC7-8B68-993B664F7DB5}" name="Column12211"/>
    <tableColumn id="12243" xr3:uid="{E4F2A05B-3B7D-48DA-B06C-D0A2C59794FE}" name="Column12212"/>
    <tableColumn id="12244" xr3:uid="{DAC801FA-EB0A-4AD3-B2F5-2ED48B710416}" name="Column12213"/>
    <tableColumn id="12245" xr3:uid="{F3E7025C-259B-4085-B723-0A36E6803974}" name="Column12214"/>
    <tableColumn id="12246" xr3:uid="{858C92EF-D2F6-4FDA-9B19-59D08EBD147D}" name="Column12215"/>
    <tableColumn id="12247" xr3:uid="{B1193857-2AC1-4628-B825-71917715EEDE}" name="Column12216"/>
    <tableColumn id="12248" xr3:uid="{60FBF6B9-DD27-4CEF-9204-20FEA81C2241}" name="Column12217"/>
    <tableColumn id="12249" xr3:uid="{4E1C5E06-1D77-485B-88CE-F9FB2C91E00A}" name="Column12218"/>
    <tableColumn id="12250" xr3:uid="{97571C41-ED93-4595-A19C-B4DE9E4EDD3B}" name="Column12219"/>
    <tableColumn id="12251" xr3:uid="{AF89CE2A-FD68-42DC-B25C-4190F09D1855}" name="Column12220"/>
    <tableColumn id="12252" xr3:uid="{A7254B3E-1CCD-420D-81F8-0C1AABC70F0D}" name="Column12221"/>
    <tableColumn id="12253" xr3:uid="{F89B442D-3470-41AA-B6EE-BEDE67A20D6F}" name="Column12222"/>
    <tableColumn id="12254" xr3:uid="{3D4C9BF3-EC70-445E-87DC-CB05EE0C02F6}" name="Column12223"/>
    <tableColumn id="12255" xr3:uid="{CE3BF4C2-4B4C-4CCB-8708-7145243881E2}" name="Column12224"/>
    <tableColumn id="12256" xr3:uid="{E01C8088-00DC-48DA-A218-103D417E5D29}" name="Column12225"/>
    <tableColumn id="12257" xr3:uid="{E62831BA-F1A9-4DFF-BED5-CAB180045856}" name="Column12226"/>
    <tableColumn id="12258" xr3:uid="{B3CCC34C-DA5A-486E-83DB-C901788B641E}" name="Column12227"/>
    <tableColumn id="12259" xr3:uid="{D8186429-A7E4-424B-A2B1-5B2ED89E9FE0}" name="Column12228"/>
    <tableColumn id="12260" xr3:uid="{05640C0F-2D69-495E-94DA-92CB0F01BE3B}" name="Column12229"/>
    <tableColumn id="12261" xr3:uid="{9F98A2A9-4271-47AD-934F-AD3D0FBFAFBA}" name="Column12230"/>
    <tableColumn id="12262" xr3:uid="{58F37ACA-A7AB-42DB-973B-5C98ED8FABE4}" name="Column12231"/>
    <tableColumn id="12263" xr3:uid="{67A94355-AF32-45CB-8B0A-F4CADA2A4C28}" name="Column12232"/>
    <tableColumn id="12264" xr3:uid="{81C4AB3E-1475-4B0D-B77A-33A108CE0B11}" name="Column12233"/>
    <tableColumn id="12265" xr3:uid="{10AFCF17-8767-4E11-ACDC-086E9CE3275E}" name="Column12234"/>
    <tableColumn id="12266" xr3:uid="{9AEEAB15-AD56-45DC-A7E0-EFF0573F8563}" name="Column12235"/>
    <tableColumn id="12267" xr3:uid="{A6B890F9-4A06-4541-A6D4-708D39BF4D12}" name="Column12236"/>
    <tableColumn id="12268" xr3:uid="{7F2C813F-DC64-4F83-A102-B688CD66B04E}" name="Column12237"/>
    <tableColumn id="12269" xr3:uid="{F4C50771-2D96-4AE0-87BC-96DF2CDA9EB0}" name="Column12238"/>
    <tableColumn id="12270" xr3:uid="{444EF9E5-113F-4FAC-8B6B-90A822B74DFF}" name="Column12239"/>
    <tableColumn id="12271" xr3:uid="{E13F63FC-4727-4DB0-AAC3-EEFF537F4502}" name="Column12240"/>
    <tableColumn id="12272" xr3:uid="{38245E98-9A41-4AA0-8145-4843C648FABB}" name="Column12241"/>
    <tableColumn id="12273" xr3:uid="{59F2E0B1-4185-48B3-8C02-4E73F295C5CC}" name="Column12242"/>
    <tableColumn id="12274" xr3:uid="{F935D3EC-5EB4-4F46-B158-A9B8D980B6CF}" name="Column12243"/>
    <tableColumn id="12275" xr3:uid="{CC96F53C-EA8F-495E-B0F0-2426DB7EDE97}" name="Column12244"/>
    <tableColumn id="12276" xr3:uid="{19C047C8-2E62-48D5-B94A-778392C74431}" name="Column12245"/>
    <tableColumn id="12277" xr3:uid="{DA55D470-BEEB-424A-AE59-8FDD7C7F3AFE}" name="Column12246"/>
    <tableColumn id="12278" xr3:uid="{D0F1206D-F10E-4F51-8C72-4155FEA553DB}" name="Column12247"/>
    <tableColumn id="12279" xr3:uid="{AF2C260D-EC94-48BA-9BD2-9705B9822F26}" name="Column12248"/>
    <tableColumn id="12280" xr3:uid="{30778076-FE12-4185-B92A-27FCB0571F21}" name="Column12249"/>
    <tableColumn id="12281" xr3:uid="{C1FF559B-405E-4B87-BA1A-EE9784808D68}" name="Column12250"/>
    <tableColumn id="12282" xr3:uid="{CA11F7F6-7422-4B3C-9BC5-66FAC7B51E4E}" name="Column12251"/>
    <tableColumn id="12283" xr3:uid="{3BB01CC3-D929-4480-9A46-05C4E887BF34}" name="Column12252"/>
    <tableColumn id="12284" xr3:uid="{492A09DA-7251-444A-9126-01B729641CFE}" name="Column12253"/>
    <tableColumn id="12285" xr3:uid="{43378B7B-9948-4661-B228-54E65EEB4E86}" name="Column12254"/>
    <tableColumn id="12286" xr3:uid="{8139D248-E0C1-4803-A7CE-99E274667007}" name="Column12255"/>
    <tableColumn id="12287" xr3:uid="{86087A15-677F-4BE1-AC3C-97B22E4EB506}" name="Column12256"/>
    <tableColumn id="12288" xr3:uid="{C8C4107D-0397-4C42-8EE4-35161E784131}" name="Column12257"/>
    <tableColumn id="12289" xr3:uid="{F1D5CE3B-B0F0-4FD8-A67C-99E02D97E485}" name="Column12258"/>
    <tableColumn id="12290" xr3:uid="{4E59F460-1592-486A-B298-27DBBE3C5262}" name="Column12259"/>
    <tableColumn id="12291" xr3:uid="{5BB23A7F-EFBD-431C-A266-E30858DC844A}" name="Column12260"/>
    <tableColumn id="12292" xr3:uid="{938030F5-4980-4731-9378-68242CF6AC0F}" name="Column12261"/>
    <tableColumn id="12293" xr3:uid="{B08FBCDB-5A1E-4EE9-BF26-5CC749CB44C3}" name="Column12262"/>
    <tableColumn id="12294" xr3:uid="{CEBC0602-56B7-4D41-94EC-76EA8006E148}" name="Column12263"/>
    <tableColumn id="12295" xr3:uid="{2F83178E-F8F2-45EE-BED7-9D6EC409DF38}" name="Column12264"/>
    <tableColumn id="12296" xr3:uid="{63859328-9626-4409-86FA-2042B6870BE5}" name="Column12265"/>
    <tableColumn id="12297" xr3:uid="{21CB6344-C72C-4072-9A8D-45C19A625FFD}" name="Column12266"/>
    <tableColumn id="12298" xr3:uid="{6A4D7276-A96A-4E4E-81C5-CE30B6EF22DC}" name="Column12267"/>
    <tableColumn id="12299" xr3:uid="{9D9CEB08-6720-488C-93BD-0B119E919BFD}" name="Column12268"/>
    <tableColumn id="12300" xr3:uid="{FA373AB9-F232-4244-BBF2-D596BD2A733B}" name="Column12269"/>
    <tableColumn id="12301" xr3:uid="{216DFF35-24D3-4D92-BB10-4A827C8E4F4D}" name="Column12270"/>
    <tableColumn id="12302" xr3:uid="{1485C860-CA68-4734-BD7D-2E91873995D7}" name="Column12271"/>
    <tableColumn id="12303" xr3:uid="{26C58FC7-4FDA-4394-B286-D5FF0687564E}" name="Column12272"/>
    <tableColumn id="12304" xr3:uid="{67F1F275-E2D5-4C2B-B117-2C9763FED6C1}" name="Column12273"/>
    <tableColumn id="12305" xr3:uid="{E3A80C8A-BA96-4F82-B491-32C082DE60D1}" name="Column12274"/>
    <tableColumn id="12306" xr3:uid="{91BD0CDB-DA83-45B4-868E-9EA07CB62728}" name="Column12275"/>
    <tableColumn id="12307" xr3:uid="{8909D4FC-A78B-4597-A5C2-E058BE8AA7B4}" name="Column12276"/>
    <tableColumn id="12308" xr3:uid="{399D7125-3E11-4B19-AB4C-7AD96F4FC30E}" name="Column12277"/>
    <tableColumn id="12309" xr3:uid="{E41EAD7D-0B7D-46C3-ACED-D6B58B9E8B1B}" name="Column12278"/>
    <tableColumn id="12310" xr3:uid="{3F05F903-7C78-4E9E-817B-C9A1537314B9}" name="Column12279"/>
    <tableColumn id="12311" xr3:uid="{D53C47EA-7D0B-4B82-9E5A-0365604FC864}" name="Column12280"/>
    <tableColumn id="12312" xr3:uid="{C9153514-52CB-4BE7-B87F-8991FBEE7FB8}" name="Column12281"/>
    <tableColumn id="12313" xr3:uid="{1BEA3CC2-98BF-4BF5-BFF1-CF79B84A37C9}" name="Column12282"/>
    <tableColumn id="12314" xr3:uid="{1F19ACB4-CFAF-4DEF-9984-937BB39AC23A}" name="Column12283"/>
    <tableColumn id="12315" xr3:uid="{C0255C65-45C7-4691-B227-23F0161C3818}" name="Column12284"/>
    <tableColumn id="12316" xr3:uid="{B7D2FDA3-7583-4974-A127-F46C603AF671}" name="Column12285"/>
    <tableColumn id="12317" xr3:uid="{AA2030FB-C1E3-4507-9A4A-3C28E25FB5DC}" name="Column12286"/>
    <tableColumn id="12318" xr3:uid="{68E85638-2AA7-4B13-9218-0A1409AD0AA5}" name="Column12287"/>
    <tableColumn id="12319" xr3:uid="{C9A5C220-E9F7-4525-AC68-0557338910C3}" name="Column12288"/>
    <tableColumn id="12320" xr3:uid="{F7EC6DAE-5D3B-4239-84D0-961D444D57BE}" name="Column12289"/>
    <tableColumn id="12321" xr3:uid="{4E3EC389-CFDA-418C-9EDA-31CA90513B7B}" name="Column12290"/>
    <tableColumn id="12322" xr3:uid="{D80F681E-6892-4A28-855C-1EE450431C16}" name="Column12291"/>
    <tableColumn id="12323" xr3:uid="{77D137B5-06DF-483F-A753-3ECA7BD8F9E8}" name="Column12292"/>
    <tableColumn id="12324" xr3:uid="{EC090CDB-26B8-4E37-9DCE-13F00E35BAA5}" name="Column12293"/>
    <tableColumn id="12325" xr3:uid="{2D8238A3-042D-4777-8FF8-3C7F09AA8900}" name="Column12294"/>
    <tableColumn id="12326" xr3:uid="{2D80E22C-11A7-4713-97A8-51ECB0004772}" name="Column12295"/>
    <tableColumn id="12327" xr3:uid="{79A00285-B600-4FC6-8E68-70730E16B1F4}" name="Column12296"/>
    <tableColumn id="12328" xr3:uid="{9D558142-AECD-4C8F-B514-9E3764B8C3EF}" name="Column12297"/>
    <tableColumn id="12329" xr3:uid="{8A1B0F51-123D-4801-A9CD-F740DFB53E11}" name="Column12298"/>
    <tableColumn id="12330" xr3:uid="{3D1E5653-E1FB-4F2F-9C0A-724A6162E30C}" name="Column12299"/>
    <tableColumn id="12331" xr3:uid="{3BFD9425-06B2-45BE-916B-B65F0C02C7D2}" name="Column12300"/>
    <tableColumn id="12332" xr3:uid="{DCAED311-42B7-4FE2-B9E7-B4DDD7F986B6}" name="Column12301"/>
    <tableColumn id="12333" xr3:uid="{FB0DC838-84AD-4089-9A61-561AB7B4DC74}" name="Column12302"/>
    <tableColumn id="12334" xr3:uid="{8156836F-C022-4327-B0C3-F5329FC306CB}" name="Column12303"/>
    <tableColumn id="12335" xr3:uid="{3814D9E0-DDFC-40A0-B5B4-B6817BBBE3EE}" name="Column12304"/>
    <tableColumn id="12336" xr3:uid="{38E3BEFA-0EC4-4F5E-BCCB-962A4F2B6F9E}" name="Column12305"/>
    <tableColumn id="12337" xr3:uid="{74309BFC-8B2A-4518-B22C-25B171B6A9D8}" name="Column12306"/>
    <tableColumn id="12338" xr3:uid="{8D8EADDB-0B4C-46E3-834B-852E4A07BFF1}" name="Column12307"/>
    <tableColumn id="12339" xr3:uid="{2AFC3D64-60E0-4F9D-95AB-4FD3FCD76353}" name="Column12308"/>
    <tableColumn id="12340" xr3:uid="{1E3A6167-5756-4C30-964E-8AD06856008F}" name="Column12309"/>
    <tableColumn id="12341" xr3:uid="{E5ABFAC9-44BF-4C3A-B5B8-A2309A30462A}" name="Column12310"/>
    <tableColumn id="12342" xr3:uid="{346AD542-363F-452C-8445-EC3AADCC30BA}" name="Column12311"/>
    <tableColumn id="12343" xr3:uid="{11D06480-F0B1-4E5C-9B87-F5A8AF4E6A1D}" name="Column12312"/>
    <tableColumn id="12344" xr3:uid="{E8850962-673C-419C-8749-219C0338C220}" name="Column12313"/>
    <tableColumn id="12345" xr3:uid="{F58E240E-A3F9-4284-B722-47ABC614ED96}" name="Column12314"/>
    <tableColumn id="12346" xr3:uid="{B17FAE16-D2B9-4AC7-A7D1-B50B324F9433}" name="Column12315"/>
    <tableColumn id="12347" xr3:uid="{7B94E02B-2CB8-4F3F-8F4D-A0D2C7F337A7}" name="Column12316"/>
    <tableColumn id="12348" xr3:uid="{54B0CEEF-6172-4045-9738-8C5718085680}" name="Column12317"/>
    <tableColumn id="12349" xr3:uid="{3FBB7458-D196-4EF2-A453-58F96658AA2B}" name="Column12318"/>
    <tableColumn id="12350" xr3:uid="{8D60D6C6-BEB1-42A1-A057-25F2117E7BB1}" name="Column12319"/>
    <tableColumn id="12351" xr3:uid="{F72D3685-EA3E-40E8-B200-9E2F1D9B157C}" name="Column12320"/>
    <tableColumn id="12352" xr3:uid="{27183703-9492-4E91-BF07-BC0F2D881900}" name="Column12321"/>
    <tableColumn id="12353" xr3:uid="{44826FA3-48AA-45C6-A65E-AB63D4A1885B}" name="Column12322"/>
    <tableColumn id="12354" xr3:uid="{008E77A2-994C-4E50-80C4-2853EE734204}" name="Column12323"/>
    <tableColumn id="12355" xr3:uid="{E6DAD54B-9DA2-4717-9001-0537C54A6338}" name="Column12324"/>
    <tableColumn id="12356" xr3:uid="{64BC9513-47D9-43A6-97D3-664F8B6D3309}" name="Column12325"/>
    <tableColumn id="12357" xr3:uid="{5C4453BC-94B7-437D-A20C-7B6C653B62F1}" name="Column12326"/>
    <tableColumn id="12358" xr3:uid="{5A921ECF-FC26-4BC9-8BD8-54C1E7070E5D}" name="Column12327"/>
    <tableColumn id="12359" xr3:uid="{95E47758-B795-4FF1-A4D2-A2998AF61437}" name="Column12328"/>
    <tableColumn id="12360" xr3:uid="{BEE13BC5-65AE-45CD-BD88-32072B1DD996}" name="Column12329"/>
    <tableColumn id="12361" xr3:uid="{01773667-0E0C-4800-9088-DBEA3618FA26}" name="Column12330"/>
    <tableColumn id="12362" xr3:uid="{734564D8-6392-451C-8B02-EF269CCBD786}" name="Column12331"/>
    <tableColumn id="12363" xr3:uid="{4471BBA1-5D1E-46E7-BBC2-7DDE45BDD7FB}" name="Column12332"/>
    <tableColumn id="12364" xr3:uid="{7D25C722-2B2E-4876-B288-C1F4625225F5}" name="Column12333"/>
    <tableColumn id="12365" xr3:uid="{8FE2CD6A-796D-47D7-8F2E-EF73AE4B587F}" name="Column12334"/>
    <tableColumn id="12366" xr3:uid="{56C870A3-B0D1-448F-87EC-FB9B80D27FD8}" name="Column12335"/>
    <tableColumn id="12367" xr3:uid="{059BD768-AADC-4850-BD63-384C41A72AAF}" name="Column12336"/>
    <tableColumn id="12368" xr3:uid="{B2E093AE-C432-4F2E-8AE2-5ECE66051131}" name="Column12337"/>
    <tableColumn id="12369" xr3:uid="{7D9FA96B-FC88-460A-9FAF-04867CE4C8BD}" name="Column12338"/>
    <tableColumn id="12370" xr3:uid="{F0A33C2A-0059-48A5-98FF-E532DE3A695A}" name="Column12339"/>
    <tableColumn id="12371" xr3:uid="{5A7FD57E-4385-4CA9-BF8E-ACFD8B136116}" name="Column12340"/>
    <tableColumn id="12372" xr3:uid="{76D22C61-CA7A-4A4F-B2A2-01268C4788FC}" name="Column12341"/>
    <tableColumn id="12373" xr3:uid="{B0DA5CA1-66D1-4D87-AF7A-F5685DB5947E}" name="Column12342"/>
    <tableColumn id="12374" xr3:uid="{85484F37-F5CF-456A-9A28-B1CDFFD17899}" name="Column12343"/>
    <tableColumn id="12375" xr3:uid="{3C715E99-6470-4D23-BFFC-A89592164D1D}" name="Column12344"/>
    <tableColumn id="12376" xr3:uid="{B9039CC0-CA94-4C9E-A482-BBA009C255D6}" name="Column12345"/>
    <tableColumn id="12377" xr3:uid="{0CD218DC-29E4-4DD9-9DB6-6434709519E1}" name="Column12346"/>
    <tableColumn id="12378" xr3:uid="{3856DD05-1CDD-4060-8D36-DAF08F8AD3CB}" name="Column12347"/>
    <tableColumn id="12379" xr3:uid="{DF81A0CF-A6DB-468A-B9A3-FAEE523B2332}" name="Column12348"/>
    <tableColumn id="12380" xr3:uid="{064651B8-8093-4C4E-B35B-66D9DDEC1687}" name="Column12349"/>
    <tableColumn id="12381" xr3:uid="{222D3D2C-CD27-449D-B0F4-84F8407E3D35}" name="Column12350"/>
    <tableColumn id="12382" xr3:uid="{76497B2B-9840-458D-82AC-848265F297B4}" name="Column12351"/>
    <tableColumn id="12383" xr3:uid="{C48DFC03-3F4C-428D-A78E-C6E8D7DD67AE}" name="Column12352"/>
    <tableColumn id="12384" xr3:uid="{F3B4CF08-C9A5-4324-B612-263A331A8FC0}" name="Column12353"/>
    <tableColumn id="12385" xr3:uid="{C82698AA-957E-4E7B-B2D3-AC561326DC27}" name="Column12354"/>
    <tableColumn id="12386" xr3:uid="{B1B91628-3055-4AF6-8044-4744495A3EC4}" name="Column12355"/>
    <tableColumn id="12387" xr3:uid="{D2E29BEB-C093-4B7B-9301-9C77E30B80C1}" name="Column12356"/>
    <tableColumn id="12388" xr3:uid="{4E395BC2-9058-4A69-923B-EF4472D25CE1}" name="Column12357"/>
    <tableColumn id="12389" xr3:uid="{0C078537-1C9F-4F8B-A514-9DBD4B427737}" name="Column12358"/>
    <tableColumn id="12390" xr3:uid="{F853BB7B-92BC-4660-AA30-EC4AF56EC7DD}" name="Column12359"/>
    <tableColumn id="12391" xr3:uid="{D9B43463-1067-4F3C-AC62-63FE317B57F8}" name="Column12360"/>
    <tableColumn id="12392" xr3:uid="{85CDC936-B6FF-4EEA-A617-40D20FF4C1B1}" name="Column12361"/>
    <tableColumn id="12393" xr3:uid="{DD095732-494B-4F29-91CF-E4A8645AF62C}" name="Column12362"/>
    <tableColumn id="12394" xr3:uid="{A9AC0633-225B-4C31-A9DB-882E6EE103DF}" name="Column12363"/>
    <tableColumn id="12395" xr3:uid="{B8991CCC-B9AD-47BC-9E3B-12F734F808E2}" name="Column12364"/>
    <tableColumn id="12396" xr3:uid="{87F3CEDC-59A9-4612-B987-8744C7766E24}" name="Column12365"/>
    <tableColumn id="12397" xr3:uid="{686F5D7D-65F2-4BCE-962E-539F5E31393B}" name="Column12366"/>
    <tableColumn id="12398" xr3:uid="{348ACD31-F9F1-4295-9AD0-C8F408EEF38B}" name="Column12367"/>
    <tableColumn id="12399" xr3:uid="{85ADB2D1-D15A-4681-8B35-2EEDAEDED260}" name="Column12368"/>
    <tableColumn id="12400" xr3:uid="{4B2CDA7C-69E5-4003-9235-60C0F70B6769}" name="Column12369"/>
    <tableColumn id="12401" xr3:uid="{78AF8B61-B5EA-4412-A2FF-8272E885B3AC}" name="Column12370"/>
    <tableColumn id="12402" xr3:uid="{D10E6DF2-0846-4E67-ADA5-D99618E88D96}" name="Column12371"/>
    <tableColumn id="12403" xr3:uid="{228CA1AC-BD2D-40EF-94CF-821257812CDA}" name="Column12372"/>
    <tableColumn id="12404" xr3:uid="{953280DF-88BE-487B-9428-651FF6DF42BC}" name="Column12373"/>
    <tableColumn id="12405" xr3:uid="{DF7AFDE4-5EA3-457F-A12F-B0DDAD8538EE}" name="Column12374"/>
    <tableColumn id="12406" xr3:uid="{8D6E259E-D033-4556-B2BE-1E2178BDD17B}" name="Column12375"/>
    <tableColumn id="12407" xr3:uid="{E75BFF5D-525D-4814-8A66-38401269F819}" name="Column12376"/>
    <tableColumn id="12408" xr3:uid="{BABBEBCE-47C8-4F37-8FE8-A4F2B9EF8AC5}" name="Column12377"/>
    <tableColumn id="12409" xr3:uid="{E35BD7F8-B13B-40DB-B8C9-46187A6CED87}" name="Column12378"/>
    <tableColumn id="12410" xr3:uid="{2F3D9B02-060D-48B6-B49F-F29B2A0C91C3}" name="Column12379"/>
    <tableColumn id="12411" xr3:uid="{B1F2F24B-2194-4856-95B3-973AAB19449D}" name="Column12380"/>
    <tableColumn id="12412" xr3:uid="{FF18FBCF-316A-4B65-BE67-3C19B85DAEBF}" name="Column12381"/>
    <tableColumn id="12413" xr3:uid="{F4F37ADD-8BBF-4B81-B008-74C6DA530C34}" name="Column12382"/>
    <tableColumn id="12414" xr3:uid="{B73C29A2-4247-4ADE-8E6E-66478C0A649E}" name="Column12383"/>
    <tableColumn id="12415" xr3:uid="{67411A73-F70D-41E0-8823-2DDC235AE3C5}" name="Column12384"/>
    <tableColumn id="12416" xr3:uid="{E18097F3-6457-4A08-8A7E-91EF4E65FDC3}" name="Column12385"/>
    <tableColumn id="12417" xr3:uid="{ACC5D89A-F155-4546-9A36-760A7C4D900A}" name="Column12386"/>
    <tableColumn id="12418" xr3:uid="{4A237061-9F2B-4370-817B-2BB6BF194D52}" name="Column12387"/>
    <tableColumn id="12419" xr3:uid="{89A6E50F-5FDD-47B3-8EAC-F70E2F5F313A}" name="Column12388"/>
    <tableColumn id="12420" xr3:uid="{E05DEC81-4D27-486A-84F5-5FE2A3BBF7FA}" name="Column12389"/>
    <tableColumn id="12421" xr3:uid="{00E8CA1F-0242-4B58-A760-6CD87B45B905}" name="Column12390"/>
    <tableColumn id="12422" xr3:uid="{1A926EC1-31BD-494C-AA19-25B525964C43}" name="Column12391"/>
    <tableColumn id="12423" xr3:uid="{34E180D9-1ABF-4589-81A8-7533A328F224}" name="Column12392"/>
    <tableColumn id="12424" xr3:uid="{D03DAE69-42D4-4787-877F-2EE5E2FC39CF}" name="Column12393"/>
    <tableColumn id="12425" xr3:uid="{B73B13E2-5DC3-438A-919B-E708F3F5A3F1}" name="Column12394"/>
    <tableColumn id="12426" xr3:uid="{83DEC18C-9466-4483-88B4-34068EBB87C6}" name="Column12395"/>
    <tableColumn id="12427" xr3:uid="{8758C27B-F0F3-45DB-AF28-91BFF8726FF0}" name="Column12396"/>
    <tableColumn id="12428" xr3:uid="{190839E7-E277-4134-985D-F2B6B08C3016}" name="Column12397"/>
    <tableColumn id="12429" xr3:uid="{34F05F05-9B04-4D6B-A0B9-E387040B9A45}" name="Column12398"/>
    <tableColumn id="12430" xr3:uid="{06AC1BBA-1518-493C-92CD-B6DF95C21AA8}" name="Column12399"/>
    <tableColumn id="12431" xr3:uid="{1A700749-2BB4-4977-AD4D-2453ACF0FBB0}" name="Column12400"/>
    <tableColumn id="12432" xr3:uid="{4C70FABC-AD27-4BA9-BF59-C384CAA89583}" name="Column12401"/>
    <tableColumn id="12433" xr3:uid="{C8139EB6-0027-40B6-BE91-9A7F6D6D9125}" name="Column12402"/>
    <tableColumn id="12434" xr3:uid="{7A6EBAFC-D112-4263-8816-DABC9B9032A5}" name="Column12403"/>
    <tableColumn id="12435" xr3:uid="{8C49E1D8-F094-45DC-8CA5-5FEBB0BE53B6}" name="Column12404"/>
    <tableColumn id="12436" xr3:uid="{C6BB53DA-CCF8-4D75-A038-7F2F20BC3BD6}" name="Column12405"/>
    <tableColumn id="12437" xr3:uid="{A7056199-EEAB-47B2-B4FD-33EA8EAE311F}" name="Column12406"/>
    <tableColumn id="12438" xr3:uid="{EE9D6952-9627-4F6F-B68E-11F08852A3A6}" name="Column12407"/>
    <tableColumn id="12439" xr3:uid="{CB98EBDC-693E-4FD4-B643-F0ECD0D2379F}" name="Column12408"/>
    <tableColumn id="12440" xr3:uid="{72FECE08-3D18-4213-819B-5AFC3FC5AC12}" name="Column12409"/>
    <tableColumn id="12441" xr3:uid="{6DB35FD4-EC84-41BF-ABD6-2708AE4D897E}" name="Column12410"/>
    <tableColumn id="12442" xr3:uid="{326C6D4C-CFC2-4324-B63B-3D9A43642F09}" name="Column12411"/>
    <tableColumn id="12443" xr3:uid="{051730D6-30C2-4239-9F22-FD3520DB7F1D}" name="Column12412"/>
    <tableColumn id="12444" xr3:uid="{DF5BB8FC-0D6D-40B3-B202-C423E5501DE3}" name="Column12413"/>
    <tableColumn id="12445" xr3:uid="{16963961-139D-4E0F-ADB4-44C69568F966}" name="Column12414"/>
    <tableColumn id="12446" xr3:uid="{196FF3C2-4556-49D2-A9BC-CE8EBB44BC92}" name="Column12415"/>
    <tableColumn id="12447" xr3:uid="{DBB5765D-584E-48C2-982A-464521EEDA65}" name="Column12416"/>
    <tableColumn id="12448" xr3:uid="{F7317455-CA44-4A07-813F-A020C7C7FE60}" name="Column12417"/>
    <tableColumn id="12449" xr3:uid="{7F33C742-2675-48F9-9040-6D8A38D0D907}" name="Column12418"/>
    <tableColumn id="12450" xr3:uid="{369F7BC9-0D2B-4008-986D-890B23F83F4D}" name="Column12419"/>
    <tableColumn id="12451" xr3:uid="{A2470ECE-3CA8-4CAB-8D88-F3FCBD9C07C3}" name="Column12420"/>
    <tableColumn id="12452" xr3:uid="{97B9D5C4-4E59-4FA0-9AB3-DD6A6E817A2A}" name="Column12421"/>
    <tableColumn id="12453" xr3:uid="{62235AC5-70DB-41CC-8A94-7AC72802EACC}" name="Column12422"/>
    <tableColumn id="12454" xr3:uid="{7B0018F4-ED72-44E3-A2EE-C0A11A895232}" name="Column12423"/>
    <tableColumn id="12455" xr3:uid="{7BB4B2C1-4E4E-41FF-B74E-431C028E6EBF}" name="Column12424"/>
    <tableColumn id="12456" xr3:uid="{DEECC58F-43A7-40A3-BCC8-3D7D34FDAB3C}" name="Column12425"/>
    <tableColumn id="12457" xr3:uid="{B0DB781B-21E5-4967-87C2-32C51F707D69}" name="Column12426"/>
    <tableColumn id="12458" xr3:uid="{63C5C0BD-3E31-4025-881B-3E352DD8386D}" name="Column12427"/>
    <tableColumn id="12459" xr3:uid="{11182F32-56B7-42AA-AEED-5A1411D352F9}" name="Column12428"/>
    <tableColumn id="12460" xr3:uid="{13877271-8472-46E5-8987-01C6A390C194}" name="Column12429"/>
    <tableColumn id="12461" xr3:uid="{6C2B0168-E6D7-4488-8856-0DDA1AC9E587}" name="Column12430"/>
    <tableColumn id="12462" xr3:uid="{81663494-5B7A-4FE0-A3A1-CCF3D86591E1}" name="Column12431"/>
    <tableColumn id="12463" xr3:uid="{E74A2074-41F8-4485-A601-A6992A89B83A}" name="Column12432"/>
    <tableColumn id="12464" xr3:uid="{FD992A0B-03B8-445E-8E04-0B40776E2A69}" name="Column12433"/>
    <tableColumn id="12465" xr3:uid="{2142C92A-5FFC-4DA4-96A3-C4B07FB1DFA5}" name="Column12434"/>
    <tableColumn id="12466" xr3:uid="{E4707985-CFD3-409E-97D0-4B91D5E37A52}" name="Column12435"/>
    <tableColumn id="12467" xr3:uid="{04EFEEE0-C133-4E07-A1A7-0D9352EFD698}" name="Column12436"/>
    <tableColumn id="12468" xr3:uid="{08B3EED2-A9EF-4D59-B1A1-154816344893}" name="Column12437"/>
    <tableColumn id="12469" xr3:uid="{A50F9DC1-75A5-4CFB-9540-96D8345B6EBC}" name="Column12438"/>
    <tableColumn id="12470" xr3:uid="{B042D0CE-5197-4559-AD36-154CB1A20B49}" name="Column12439"/>
    <tableColumn id="12471" xr3:uid="{DCA80991-1B45-4B9F-8B0B-621B3F3B10AE}" name="Column12440"/>
    <tableColumn id="12472" xr3:uid="{E4D6C6E1-9D6C-4F86-A88D-CE914BCCD4E4}" name="Column12441"/>
    <tableColumn id="12473" xr3:uid="{7F51621F-657E-48CE-BD82-76F6F23D30CE}" name="Column12442"/>
    <tableColumn id="12474" xr3:uid="{704FC170-5DF6-450C-A7EC-A21337ACF81E}" name="Column12443"/>
    <tableColumn id="12475" xr3:uid="{F10BF845-96F8-40F5-A77F-3A7614A5AA2E}" name="Column12444"/>
    <tableColumn id="12476" xr3:uid="{C03FF0D3-D184-4FA5-8578-322BF1B4DAB1}" name="Column12445"/>
    <tableColumn id="12477" xr3:uid="{CEF52DEB-BD18-4698-8367-FC7E1352ABB5}" name="Column12446"/>
    <tableColumn id="12478" xr3:uid="{542D1DF5-47D8-4A49-BF8B-CD0332B2032D}" name="Column12447"/>
    <tableColumn id="12479" xr3:uid="{B25D9348-A6A0-4732-B6C4-229B81B940C8}" name="Column12448"/>
    <tableColumn id="12480" xr3:uid="{2D9C7555-6CB9-49A3-A290-5F361D9AFE0C}" name="Column12449"/>
    <tableColumn id="12481" xr3:uid="{57DFE2D0-14C4-4F59-8925-76AF5E825EFF}" name="Column12450"/>
    <tableColumn id="12482" xr3:uid="{E9DF2622-A574-43A3-BD4A-1DD27E4CB9D8}" name="Column12451"/>
    <tableColumn id="12483" xr3:uid="{EBD57DD8-0148-448B-BFD9-47052BB064E4}" name="Column12452"/>
    <tableColumn id="12484" xr3:uid="{C4CC1807-FFC9-475C-BEF4-537A824125F2}" name="Column12453"/>
    <tableColumn id="12485" xr3:uid="{CB7B6C81-0FDA-46CA-AE5D-E55190F0A8C5}" name="Column12454"/>
    <tableColumn id="12486" xr3:uid="{83E92188-010E-447A-90F1-00E9C01E8B3F}" name="Column12455"/>
    <tableColumn id="12487" xr3:uid="{4F24083F-7BD4-4AE4-8281-D91A105677C0}" name="Column12456"/>
    <tableColumn id="12488" xr3:uid="{C320B4EA-4D08-486A-BD94-795258AA2A2C}" name="Column12457"/>
    <tableColumn id="12489" xr3:uid="{4C5EEAA3-6216-4E99-ADE2-3266FC0D5B81}" name="Column12458"/>
    <tableColumn id="12490" xr3:uid="{16AEB4AD-7D86-4A2F-B985-8819ECAF4D38}" name="Column12459"/>
    <tableColumn id="12491" xr3:uid="{FB70AD53-BA59-4965-9CAD-787AB17FA4AD}" name="Column12460"/>
    <tableColumn id="12492" xr3:uid="{9CD2CB4E-A2FB-4071-9DBA-EE188998E21C}" name="Column12461"/>
    <tableColumn id="12493" xr3:uid="{8B20B6F5-D61A-4024-8D49-F70CF7E151B3}" name="Column12462"/>
    <tableColumn id="12494" xr3:uid="{CDC816A3-5212-4134-8E5D-D0D970D51FE9}" name="Column12463"/>
    <tableColumn id="12495" xr3:uid="{2515AEE7-10BD-4430-883D-87FF5DC39AD8}" name="Column12464"/>
    <tableColumn id="12496" xr3:uid="{9711DBBD-22DB-4101-AC8C-68AEF8A83E36}" name="Column12465"/>
    <tableColumn id="12497" xr3:uid="{B3B79AD0-74FD-4B21-83CE-3500768B7C56}" name="Column12466"/>
    <tableColumn id="12498" xr3:uid="{91DB9575-EA87-4602-820D-779D8F6DED64}" name="Column12467"/>
    <tableColumn id="12499" xr3:uid="{155C530B-FA9C-44F5-AF7D-A3A320E03FB9}" name="Column12468"/>
    <tableColumn id="12500" xr3:uid="{44FDCF90-6421-4285-9C72-2CD8D42F87BB}" name="Column12469"/>
    <tableColumn id="12501" xr3:uid="{B4FB6B3E-15CD-4B99-A3F6-E87C766DB5B0}" name="Column12470"/>
    <tableColumn id="12502" xr3:uid="{3569E681-C4C2-43D8-BD81-43333B26435B}" name="Column12471"/>
    <tableColumn id="12503" xr3:uid="{8B5BA38B-FE40-4737-B0FD-32C2281E9B9B}" name="Column12472"/>
    <tableColumn id="12504" xr3:uid="{0E3C0EF1-1EF9-43A0-BCD0-2AA4C731353A}" name="Column12473"/>
    <tableColumn id="12505" xr3:uid="{286DBE60-0398-4B05-92DC-A1C7D38704E8}" name="Column12474"/>
    <tableColumn id="12506" xr3:uid="{36A331DE-0294-4053-8259-E71EB6514348}" name="Column12475"/>
    <tableColumn id="12507" xr3:uid="{02360272-6D90-454C-9FF1-6E230ACD410B}" name="Column12476"/>
    <tableColumn id="12508" xr3:uid="{12108387-ED75-470B-814A-33B6BD570777}" name="Column12477"/>
    <tableColumn id="12509" xr3:uid="{9DAC1359-A35A-4D69-83CD-19422547E9D8}" name="Column12478"/>
    <tableColumn id="12510" xr3:uid="{751B0D22-C421-41A5-BD47-CF6C7C666E2C}" name="Column12479"/>
    <tableColumn id="12511" xr3:uid="{804F8C3B-9AB8-478F-91AF-6F6A71B450E0}" name="Column12480"/>
    <tableColumn id="12512" xr3:uid="{73A6463A-9AB8-418B-B2B1-BD2F1D408D82}" name="Column12481"/>
    <tableColumn id="12513" xr3:uid="{D27BE6F4-414F-4454-802A-941F9F05FD89}" name="Column12482"/>
    <tableColumn id="12514" xr3:uid="{CAD24171-C646-459F-8CF9-5BA7458CC10F}" name="Column12483"/>
    <tableColumn id="12515" xr3:uid="{1EB24082-D405-4A1C-9B9B-0DCA20AF6D1B}" name="Column12484"/>
    <tableColumn id="12516" xr3:uid="{660F9235-A12E-4BB7-A229-2C7177BD60DA}" name="Column12485"/>
    <tableColumn id="12517" xr3:uid="{8DE5A563-A7DF-4905-9C9D-12791C9FA205}" name="Column12486"/>
    <tableColumn id="12518" xr3:uid="{90ED18E5-5E48-400F-81A9-E0D0759D955B}" name="Column12487"/>
    <tableColumn id="12519" xr3:uid="{96032EC1-BBBB-481E-80E8-CEDE025C9BEB}" name="Column12488"/>
    <tableColumn id="12520" xr3:uid="{1D8E7FFD-E8F3-4B5B-9507-1EE0D0DD48BA}" name="Column12489"/>
    <tableColumn id="12521" xr3:uid="{80316E79-6BB2-4FA0-B561-D2D89085C67D}" name="Column12490"/>
    <tableColumn id="12522" xr3:uid="{4CBC76BA-A614-460C-B379-C013BD798A93}" name="Column12491"/>
    <tableColumn id="12523" xr3:uid="{1B463458-9638-4CE5-A6C9-E57512352EA9}" name="Column12492"/>
    <tableColumn id="12524" xr3:uid="{3727E131-098B-4936-8FFA-FD0F9A1A99D5}" name="Column12493"/>
    <tableColumn id="12525" xr3:uid="{79BE47C1-223F-470B-A28F-2518A4565E29}" name="Column12494"/>
    <tableColumn id="12526" xr3:uid="{5331C7D5-4281-4066-85AA-7BE06EB4CF64}" name="Column12495"/>
    <tableColumn id="12527" xr3:uid="{1610D0AC-57DD-4167-B48B-6BB7BBEF500E}" name="Column12496"/>
    <tableColumn id="12528" xr3:uid="{0DF22CEF-7EEA-457F-92DA-8E23B0FA54A2}" name="Column12497"/>
    <tableColumn id="12529" xr3:uid="{780B74ED-00BA-4836-A4F2-CE5078C04668}" name="Column12498"/>
    <tableColumn id="12530" xr3:uid="{0EB3F334-D9E8-47A8-8C21-9105A9714270}" name="Column12499"/>
    <tableColumn id="12531" xr3:uid="{72B28EAC-32A7-463A-AF6A-5BAD0B72CAA4}" name="Column12500"/>
    <tableColumn id="12532" xr3:uid="{85098598-762D-471C-8B66-CEA7DD853827}" name="Column12501"/>
    <tableColumn id="12533" xr3:uid="{0B258790-8567-46C0-8C61-CBE86F003C96}" name="Column12502"/>
    <tableColumn id="12534" xr3:uid="{7E8756F1-064E-474E-A950-B04839AE0A96}" name="Column12503"/>
    <tableColumn id="12535" xr3:uid="{3BAD682D-4389-489D-B814-F978C24CE184}" name="Column12504"/>
    <tableColumn id="12536" xr3:uid="{8B9ED7F2-981B-4590-94EA-6E41746364B7}" name="Column12505"/>
    <tableColumn id="12537" xr3:uid="{D2EB559E-53D3-4BFF-A1E9-6B184CC5F832}" name="Column12506"/>
    <tableColumn id="12538" xr3:uid="{D5BB7EA9-5848-4064-8504-0ABD911F917B}" name="Column12507"/>
    <tableColumn id="12539" xr3:uid="{C631380E-09BB-4EBE-B173-B9BE35CB9020}" name="Column12508"/>
    <tableColumn id="12540" xr3:uid="{0011E369-3A1D-4B9F-A708-3E2CFA197D78}" name="Column12509"/>
    <tableColumn id="12541" xr3:uid="{F2B5E5D2-7598-4607-8680-002923E2A2F9}" name="Column12510"/>
    <tableColumn id="12542" xr3:uid="{4FFF3F3B-C5D2-483C-A758-9F2814867710}" name="Column12511"/>
    <tableColumn id="12543" xr3:uid="{81576C96-002E-499B-86DB-2F700EC5E4B5}" name="Column12512"/>
    <tableColumn id="12544" xr3:uid="{108E92DB-C7E9-4F8F-8F5A-4D30348D59C3}" name="Column12513"/>
    <tableColumn id="12545" xr3:uid="{4787FD8E-96D1-458C-94F8-A7226716DAB7}" name="Column12514"/>
    <tableColumn id="12546" xr3:uid="{CF3A1C02-DB37-462D-A999-747DFAC9B2D5}" name="Column12515"/>
    <tableColumn id="12547" xr3:uid="{A25AB375-0E92-4192-842D-B312B05B1F55}" name="Column12516"/>
    <tableColumn id="12548" xr3:uid="{95E3B848-BDEA-4BA9-9760-187E53CC3671}" name="Column12517"/>
    <tableColumn id="12549" xr3:uid="{53B71147-4B05-4F70-B736-3D379C1B21CA}" name="Column12518"/>
    <tableColumn id="12550" xr3:uid="{F631B05A-6C21-4773-B1E0-6CE607EC4C2A}" name="Column12519"/>
    <tableColumn id="12551" xr3:uid="{BD5A40A2-75D7-419B-82C3-E42628B1C508}" name="Column12520"/>
    <tableColumn id="12552" xr3:uid="{609B6591-3A3D-493E-979B-BD7FC8CA8DB1}" name="Column12521"/>
    <tableColumn id="12553" xr3:uid="{02AAF7AC-BC70-4078-A9F3-2FB4157939B7}" name="Column12522"/>
    <tableColumn id="12554" xr3:uid="{C2FFC10C-3FAB-4997-AC95-86E9106EB323}" name="Column12523"/>
    <tableColumn id="12555" xr3:uid="{2D687BDE-E9D2-46A2-9943-CC5A5D816557}" name="Column12524"/>
    <tableColumn id="12556" xr3:uid="{AC486B26-91B2-46AD-BF98-54BBB3B9750A}" name="Column12525"/>
    <tableColumn id="12557" xr3:uid="{188ED111-ADB8-4AAE-8189-68AF04B8E051}" name="Column12526"/>
    <tableColumn id="12558" xr3:uid="{A00B85A1-995A-4560-BCE5-81113D6F2435}" name="Column12527"/>
    <tableColumn id="12559" xr3:uid="{A712D4D0-9957-43D1-BE0F-7001CB4F91AE}" name="Column12528"/>
    <tableColumn id="12560" xr3:uid="{BE9C1141-3160-4C6E-8A64-FB7D4A4373B5}" name="Column12529"/>
    <tableColumn id="12561" xr3:uid="{FB4767C0-7296-44DA-8E34-A377C41B29B0}" name="Column12530"/>
    <tableColumn id="12562" xr3:uid="{E5DF1C39-D9C8-41D8-98FE-E9BF9CA14214}" name="Column12531"/>
    <tableColumn id="12563" xr3:uid="{14C6DF57-7470-4F60-961C-576F72615D3D}" name="Column12532"/>
    <tableColumn id="12564" xr3:uid="{A6AFCDA9-ED77-4826-82C5-2DDE4E94797F}" name="Column12533"/>
    <tableColumn id="12565" xr3:uid="{8BBC29A1-8666-48B1-A7AA-E13D91572D20}" name="Column12534"/>
    <tableColumn id="12566" xr3:uid="{D4171BB7-2B9D-42A4-8AF3-3B366C7B9845}" name="Column12535"/>
    <tableColumn id="12567" xr3:uid="{9FFD8AE8-3D50-4BEC-932D-A13EA45DA7B6}" name="Column12536"/>
    <tableColumn id="12568" xr3:uid="{2E94E70B-A719-49AD-AFC3-C581149A5198}" name="Column12537"/>
    <tableColumn id="12569" xr3:uid="{F7F36AFE-9CDD-40CA-9AE0-6EE9D19CBB46}" name="Column12538"/>
    <tableColumn id="12570" xr3:uid="{1FF3159F-AFCB-4809-90B4-6CCC29FF9659}" name="Column12539"/>
    <tableColumn id="12571" xr3:uid="{47380450-D54C-461E-B52B-D0531EF6FC72}" name="Column12540"/>
    <tableColumn id="12572" xr3:uid="{3DB02E92-290A-4342-A1EA-178047FD479F}" name="Column12541"/>
    <tableColumn id="12573" xr3:uid="{2D6971E8-03C8-4DC5-98D5-7B13050A638A}" name="Column12542"/>
    <tableColumn id="12574" xr3:uid="{825FCC31-C753-458D-BA0B-78E2C4FCCF9A}" name="Column12543"/>
    <tableColumn id="12575" xr3:uid="{B4198E74-629E-4168-B891-B4EBC0A38B9C}" name="Column12544"/>
    <tableColumn id="12576" xr3:uid="{CFD2221E-D92C-4F37-9156-AD9C9206D40C}" name="Column12545"/>
    <tableColumn id="12577" xr3:uid="{DAF53DAF-387E-4CC6-80F8-F35F9C93CC86}" name="Column12546"/>
    <tableColumn id="12578" xr3:uid="{E387136A-F250-4F72-BD59-F3AC345C71D9}" name="Column12547"/>
    <tableColumn id="12579" xr3:uid="{E0125ADA-1599-4A27-AF6B-1C65BE76CD64}" name="Column12548"/>
    <tableColumn id="12580" xr3:uid="{C158E948-67F9-47A2-A044-E1572BA744A9}" name="Column12549"/>
    <tableColumn id="12581" xr3:uid="{FA5FCD09-B0C1-461F-B00A-657F6E7B9910}" name="Column12550"/>
    <tableColumn id="12582" xr3:uid="{778AB35C-34EF-47B1-B8A5-F2E9D10002FC}" name="Column12551"/>
    <tableColumn id="12583" xr3:uid="{D0E1C309-60F9-4C08-BB0B-0D7E381D9C10}" name="Column12552"/>
    <tableColumn id="12584" xr3:uid="{A6298319-D709-400E-BBA8-594F57FBEE9A}" name="Column12553"/>
    <tableColumn id="12585" xr3:uid="{9BB57B6E-E94A-492B-BED3-357AF3F23B5D}" name="Column12554"/>
    <tableColumn id="12586" xr3:uid="{F4C61573-C5D0-4E3D-B54E-895F69065942}" name="Column12555"/>
    <tableColumn id="12587" xr3:uid="{8555E7FF-31E6-46B2-BDD0-D1A1BAEAC3C3}" name="Column12556"/>
    <tableColumn id="12588" xr3:uid="{AE6AEDA0-5697-4396-9AF1-361C72875A16}" name="Column12557"/>
    <tableColumn id="12589" xr3:uid="{ADA0F1EF-B0DF-4F6F-91E9-62F9EA631018}" name="Column12558"/>
    <tableColumn id="12590" xr3:uid="{63C3F461-5862-49B1-AB1F-14D372A04DC2}" name="Column12559"/>
    <tableColumn id="12591" xr3:uid="{5EC8647D-BD19-453B-8D21-617B2C62E4C2}" name="Column12560"/>
    <tableColumn id="12592" xr3:uid="{CA7F20D5-519C-407C-B35C-CB433811F7BF}" name="Column12561"/>
    <tableColumn id="12593" xr3:uid="{C7FEE825-6C07-4D8A-AF0C-A2A440CDBD7D}" name="Column12562"/>
    <tableColumn id="12594" xr3:uid="{874D3B8E-B00F-434F-8312-604BEE989DF5}" name="Column12563"/>
    <tableColumn id="12595" xr3:uid="{4DD033AA-E5DD-4CC3-9D3D-B12ACCFF01E3}" name="Column12564"/>
    <tableColumn id="12596" xr3:uid="{8B29FCF1-B0E7-4D79-B4E4-F075A114C125}" name="Column12565"/>
    <tableColumn id="12597" xr3:uid="{BF2B4A47-F68D-489E-9BEB-1E2984A2AA47}" name="Column12566"/>
    <tableColumn id="12598" xr3:uid="{81CFE0E7-BF6D-4385-9C1B-085392873734}" name="Column12567"/>
    <tableColumn id="12599" xr3:uid="{DC028205-E216-4372-B754-F2F2745721FE}" name="Column12568"/>
    <tableColumn id="12600" xr3:uid="{3ABE3518-3457-4F55-A47B-762A853061AC}" name="Column12569"/>
    <tableColumn id="12601" xr3:uid="{32DBCFF0-EFCA-45B3-B7CE-6C67BFA65DE5}" name="Column12570"/>
    <tableColumn id="12602" xr3:uid="{F3DD1531-13ED-4C8A-AA3B-471578B1A526}" name="Column12571"/>
    <tableColumn id="12603" xr3:uid="{90AE5714-95E5-476C-9039-B2F1D00900FA}" name="Column12572"/>
    <tableColumn id="12604" xr3:uid="{C7CA0799-BCE5-49A0-864E-B2164B15FEA2}" name="Column12573"/>
    <tableColumn id="12605" xr3:uid="{B3078D56-3C3B-4152-A582-62DB55D6FB02}" name="Column12574"/>
    <tableColumn id="12606" xr3:uid="{8559411E-967A-4176-B8AF-F3D7F3FDF0A3}" name="Column12575"/>
    <tableColumn id="12607" xr3:uid="{920FE79A-122C-4002-9F32-B2038E97B5CE}" name="Column12576"/>
    <tableColumn id="12608" xr3:uid="{DBEE072A-DF2C-4B1B-A5FC-18AC3C4F0B05}" name="Column12577"/>
    <tableColumn id="12609" xr3:uid="{C3EFFBEA-172E-46A9-9E49-F7AED0E4FE95}" name="Column12578"/>
    <tableColumn id="12610" xr3:uid="{2D49CF35-6316-4928-A11B-C489323CFB9E}" name="Column12579"/>
    <tableColumn id="12611" xr3:uid="{CDD10D0A-9480-46A7-BBAA-F9D3E209AE3F}" name="Column12580"/>
    <tableColumn id="12612" xr3:uid="{C6C11B81-DC8F-4CC6-851B-44C3AF87EBD2}" name="Column12581"/>
    <tableColumn id="12613" xr3:uid="{F05CFFFC-C241-4C1C-B01B-32AA185AC570}" name="Column12582"/>
    <tableColumn id="12614" xr3:uid="{7CEC891E-B31A-4A06-8A0B-8C2AC6CD7601}" name="Column12583"/>
    <tableColumn id="12615" xr3:uid="{EA049791-A4BF-4ADF-AF6D-78A766A52966}" name="Column12584"/>
    <tableColumn id="12616" xr3:uid="{022736F6-7116-4B57-9AF5-BC634C2059FA}" name="Column12585"/>
    <tableColumn id="12617" xr3:uid="{CD8ED317-8AC4-4442-98CF-60663732DA6C}" name="Column12586"/>
    <tableColumn id="12618" xr3:uid="{7FEA9D4C-0C44-4FD5-8B84-4885DAA4F90B}" name="Column12587"/>
    <tableColumn id="12619" xr3:uid="{A6F90EB7-9512-4179-AB9D-4D57E674018B}" name="Column12588"/>
    <tableColumn id="12620" xr3:uid="{3A92A861-4227-4F4A-806E-C490A2E21905}" name="Column12589"/>
    <tableColumn id="12621" xr3:uid="{E85DD185-2FF8-48C4-99E1-2FBE7270E842}" name="Column12590"/>
    <tableColumn id="12622" xr3:uid="{9709081C-7ECB-4A4E-8199-6CB164904321}" name="Column12591"/>
    <tableColumn id="12623" xr3:uid="{9885DBA2-CB86-45F4-A96F-79FC140E67CF}" name="Column12592"/>
    <tableColumn id="12624" xr3:uid="{26600245-D1DA-4F7E-B3F0-F2F889B25641}" name="Column12593"/>
    <tableColumn id="12625" xr3:uid="{02F97896-38DD-417B-A5D7-EFB9B62BB655}" name="Column12594"/>
    <tableColumn id="12626" xr3:uid="{2459C149-4635-4988-8319-1EE4D849BE54}" name="Column12595"/>
    <tableColumn id="12627" xr3:uid="{6C6C5520-7DE6-499D-AA0D-77EB1D63E65C}" name="Column12596"/>
    <tableColumn id="12628" xr3:uid="{0F84C80C-46E7-4C09-A8AF-245A8D2A63D5}" name="Column12597"/>
    <tableColumn id="12629" xr3:uid="{F25817F1-2C03-4FA7-8CC8-B51800CAE097}" name="Column12598"/>
    <tableColumn id="12630" xr3:uid="{FA42EF09-2410-4325-85AF-C484BDEC8974}" name="Column12599"/>
    <tableColumn id="12631" xr3:uid="{55010F02-45A4-4082-9E46-1384123064D8}" name="Column12600"/>
    <tableColumn id="12632" xr3:uid="{003B1DB5-4917-468F-A09B-944DBC9CAC72}" name="Column12601"/>
    <tableColumn id="12633" xr3:uid="{E92FF0D9-6F7E-46CE-8C64-E8A14965C7E8}" name="Column12602"/>
    <tableColumn id="12634" xr3:uid="{BAB0E367-06CA-4BA4-9E8E-F557A0E22128}" name="Column12603"/>
    <tableColumn id="12635" xr3:uid="{832B4401-0C20-46BF-B553-17067BCE7FCC}" name="Column12604"/>
    <tableColumn id="12636" xr3:uid="{AE3E3B78-1B82-4CBC-BECD-A2DA44079C75}" name="Column12605"/>
    <tableColumn id="12637" xr3:uid="{E4BA807A-5A6F-4640-8645-6468B881CA2D}" name="Column12606"/>
    <tableColumn id="12638" xr3:uid="{648DEC51-A1C8-4CF9-8AD1-3F24A5092E88}" name="Column12607"/>
    <tableColumn id="12639" xr3:uid="{2BBC39C6-47D2-4D40-B74F-F8E03EF583AE}" name="Column12608"/>
    <tableColumn id="12640" xr3:uid="{8F375309-F9A5-4DB6-9868-FDBA2FD39AE5}" name="Column12609"/>
    <tableColumn id="12641" xr3:uid="{04BA0349-475A-48A5-9E32-FF5BB8760EBF}" name="Column12610"/>
    <tableColumn id="12642" xr3:uid="{A01C85C2-222A-454C-B800-834B333A665C}" name="Column12611"/>
    <tableColumn id="12643" xr3:uid="{1B6ED9D6-CA28-4A2B-9477-A81D91B7F1B8}" name="Column12612"/>
    <tableColumn id="12644" xr3:uid="{951B6B16-2C93-4953-B2BB-16374B3584BF}" name="Column12613"/>
    <tableColumn id="12645" xr3:uid="{62AB56C1-D585-4239-83A3-4B6DC0479170}" name="Column12614"/>
    <tableColumn id="12646" xr3:uid="{385AA32D-A0C5-43CF-9226-0C8F31703E05}" name="Column12615"/>
    <tableColumn id="12647" xr3:uid="{26B95E59-4321-4C27-BA65-B36F61160606}" name="Column12616"/>
    <tableColumn id="12648" xr3:uid="{1241A494-E005-4FED-995C-AEDFCC48FFEB}" name="Column12617"/>
    <tableColumn id="12649" xr3:uid="{99376567-8129-4F49-9D19-374459C43ED1}" name="Column12618"/>
    <tableColumn id="12650" xr3:uid="{D5B61756-D619-428E-8A59-B718099D1481}" name="Column12619"/>
    <tableColumn id="12651" xr3:uid="{F781405A-804E-48AE-BA96-AD3E580226E6}" name="Column12620"/>
    <tableColumn id="12652" xr3:uid="{8543F8B8-1211-4493-8D2B-5307A38059C9}" name="Column12621"/>
    <tableColumn id="12653" xr3:uid="{37D55C01-33A3-466F-AEB4-EB509C1CC9A0}" name="Column12622"/>
    <tableColumn id="12654" xr3:uid="{FBDA0D46-7D7E-40F3-A540-AA621DC94DAF}" name="Column12623"/>
    <tableColumn id="12655" xr3:uid="{39485D04-16B1-4EC1-8340-2C8E980AF43E}" name="Column12624"/>
    <tableColumn id="12656" xr3:uid="{DBA26316-75F6-485C-88C3-405C9AB6ED8E}" name="Column12625"/>
    <tableColumn id="12657" xr3:uid="{06F2ED6A-0785-4B28-81F7-7FC19EF564A9}" name="Column12626"/>
    <tableColumn id="12658" xr3:uid="{B5BFE370-3393-41C6-AAE1-1F896DF277F1}" name="Column12627"/>
    <tableColumn id="12659" xr3:uid="{48C873A0-BE60-4AEB-8C07-DED979787C0C}" name="Column12628"/>
    <tableColumn id="12660" xr3:uid="{96632ABF-32EC-4CE5-930F-74D352A79C96}" name="Column12629"/>
    <tableColumn id="12661" xr3:uid="{F690A9AA-47BE-4475-8356-3D3DD822AB78}" name="Column12630"/>
    <tableColumn id="12662" xr3:uid="{8F4CC5E3-58FB-48AE-B9D5-450B0FF5B9FD}" name="Column12631"/>
    <tableColumn id="12663" xr3:uid="{691C5DD2-1C65-4C63-AFDA-F4757D620381}" name="Column12632"/>
    <tableColumn id="12664" xr3:uid="{E48AD63F-F008-43FA-9425-D7F61A0E8742}" name="Column12633"/>
    <tableColumn id="12665" xr3:uid="{E1364BBD-B89B-4AF9-AAB8-F8F4B17EF7EA}" name="Column12634"/>
    <tableColumn id="12666" xr3:uid="{8D59F866-CEE6-4B2A-A3DB-41E5C87A1B43}" name="Column12635"/>
    <tableColumn id="12667" xr3:uid="{027FE428-04E7-46C5-AFD0-01BFE8A8392E}" name="Column12636"/>
    <tableColumn id="12668" xr3:uid="{4C5BFB38-173B-478F-91E0-9B0BA2CBCE84}" name="Column12637"/>
    <tableColumn id="12669" xr3:uid="{5BBD137C-427D-43CA-A224-5EBFFE334550}" name="Column12638"/>
    <tableColumn id="12670" xr3:uid="{14579282-7D44-4CA0-86D0-4838BE5FFDED}" name="Column12639"/>
    <tableColumn id="12671" xr3:uid="{EE1B2158-8F15-47F2-B581-24A9991F6D0F}" name="Column12640"/>
    <tableColumn id="12672" xr3:uid="{2A125916-BF40-42D8-8AF4-A49172815855}" name="Column12641"/>
    <tableColumn id="12673" xr3:uid="{0C8B9325-863A-4FFF-856C-A1E46402D5CA}" name="Column12642"/>
    <tableColumn id="12674" xr3:uid="{719BC13B-09BC-4815-982C-15CC445E44FE}" name="Column12643"/>
    <tableColumn id="12675" xr3:uid="{FEE469AA-BE7B-472E-92E2-1230F26CCEE0}" name="Column12644"/>
    <tableColumn id="12676" xr3:uid="{1C03B407-E1AE-46EC-BE20-B45A2618F2A9}" name="Column12645"/>
    <tableColumn id="12677" xr3:uid="{F293925B-CB93-45D7-8AD4-56241DDA044A}" name="Column12646"/>
    <tableColumn id="12678" xr3:uid="{8A6B3069-F8F7-40B1-BA01-08C3BCE3BB55}" name="Column12647"/>
    <tableColumn id="12679" xr3:uid="{8B8C0C54-18E7-41F0-BD71-6924F16F88D0}" name="Column12648"/>
    <tableColumn id="12680" xr3:uid="{73B8DD54-F09D-43C3-8DBC-8ED676E31162}" name="Column12649"/>
    <tableColumn id="12681" xr3:uid="{C11DF8C4-AB0B-453B-83F2-0BBC523BA59A}" name="Column12650"/>
    <tableColumn id="12682" xr3:uid="{2B7C1E07-1316-4AC0-ACB7-AF2E1CE3CAC9}" name="Column12651"/>
    <tableColumn id="12683" xr3:uid="{B5C93125-FEA9-4EB6-836F-0A448E1A5C6B}" name="Column12652"/>
    <tableColumn id="12684" xr3:uid="{36C8B513-BA55-4F61-9CCC-7BCE1E855C39}" name="Column12653"/>
    <tableColumn id="12685" xr3:uid="{F9FE12FE-FFA8-46DF-805B-1856A861FA19}" name="Column12654"/>
    <tableColumn id="12686" xr3:uid="{3E293644-FCF2-4EEB-B014-0F38A183C38F}" name="Column12655"/>
    <tableColumn id="12687" xr3:uid="{750F9F69-CE34-498C-85B3-00BEDF3158F3}" name="Column12656"/>
    <tableColumn id="12688" xr3:uid="{4E2D755B-217C-4D17-B87F-453E2F47011D}" name="Column12657"/>
    <tableColumn id="12689" xr3:uid="{7C223707-2D5F-4CDB-BC3C-3EEE848D26A7}" name="Column12658"/>
    <tableColumn id="12690" xr3:uid="{920B7545-16AE-4DB6-90BF-C8BE188D38DF}" name="Column12659"/>
    <tableColumn id="12691" xr3:uid="{BEAC4304-C1FA-4B49-A09A-1B08FA0CAC98}" name="Column12660"/>
    <tableColumn id="12692" xr3:uid="{604631A7-0319-4F4D-A7E1-F2D5449E7A98}" name="Column12661"/>
    <tableColumn id="12693" xr3:uid="{721BE1BD-315E-4486-AB27-2D45E51843F6}" name="Column12662"/>
    <tableColumn id="12694" xr3:uid="{A82E04A8-6384-45D8-A4A3-ADAD364E5E19}" name="Column12663"/>
    <tableColumn id="12695" xr3:uid="{2FD399FB-A55D-49E7-B55E-5C49951DFD95}" name="Column12664"/>
    <tableColumn id="12696" xr3:uid="{954C62B0-CFDC-416F-8343-FCD3E58E335F}" name="Column12665"/>
    <tableColumn id="12697" xr3:uid="{C8C27E70-AFEA-4B1A-96BB-92440930B60A}" name="Column12666"/>
    <tableColumn id="12698" xr3:uid="{10A24123-D3A7-4589-B12A-D38163972ED9}" name="Column12667"/>
    <tableColumn id="12699" xr3:uid="{814707D0-FAED-4FD7-8B8D-5622C01520E4}" name="Column12668"/>
    <tableColumn id="12700" xr3:uid="{69A4AA39-8C78-4672-A599-4D0AD5B93D8F}" name="Column12669"/>
    <tableColumn id="12701" xr3:uid="{A1A76564-C3CA-458B-8159-3D81EC6D0840}" name="Column12670"/>
    <tableColumn id="12702" xr3:uid="{D2BA542D-6EF0-41C0-AD9A-2457CE00CA09}" name="Column12671"/>
    <tableColumn id="12703" xr3:uid="{664187A6-A84E-40F7-84CA-3095916CC365}" name="Column12672"/>
    <tableColumn id="12704" xr3:uid="{90EC8473-310C-4543-BC18-13EFEF03238A}" name="Column12673"/>
    <tableColumn id="12705" xr3:uid="{DA7A3579-8655-4CA2-9CA9-06DE544B74F1}" name="Column12674"/>
    <tableColumn id="12706" xr3:uid="{B16C0015-4865-46A2-AEEA-F0AC6FEFC33E}" name="Column12675"/>
    <tableColumn id="12707" xr3:uid="{0C9B645C-F98F-440D-978B-9C2879CBE529}" name="Column12676"/>
    <tableColumn id="12708" xr3:uid="{EB022F6B-E61D-4F41-8680-62701CD484E9}" name="Column12677"/>
    <tableColumn id="12709" xr3:uid="{B2B1C93B-93AE-48AC-80C3-EFBDC5231AF3}" name="Column12678"/>
    <tableColumn id="12710" xr3:uid="{8B378354-36CD-40FC-BCE7-85F7044A3C93}" name="Column12679"/>
    <tableColumn id="12711" xr3:uid="{1E69C2D9-2A37-4A40-97E0-1622EC486922}" name="Column12680"/>
    <tableColumn id="12712" xr3:uid="{3233EB63-E3E0-4838-A15E-C6566716CF89}" name="Column12681"/>
    <tableColumn id="12713" xr3:uid="{3B84F0CB-FD51-4D9D-A6CF-3D94585AACA8}" name="Column12682"/>
    <tableColumn id="12714" xr3:uid="{8D5DFC7A-A82A-40C1-8DE1-2002F0E20952}" name="Column12683"/>
    <tableColumn id="12715" xr3:uid="{1A731BD0-C5A5-446F-B6A9-DF89D118EDE2}" name="Column12684"/>
    <tableColumn id="12716" xr3:uid="{40B08FF0-BDBE-4C65-8860-5EF739FBE383}" name="Column12685"/>
    <tableColumn id="12717" xr3:uid="{4049067E-B5EB-4AD6-90F4-A31B898DD7B0}" name="Column12686"/>
    <tableColumn id="12718" xr3:uid="{99AA5091-E190-439C-B2AA-F5CD82CEDC30}" name="Column12687"/>
    <tableColumn id="12719" xr3:uid="{0FB4426D-427E-405C-B488-A2EFE799A7EF}" name="Column12688"/>
    <tableColumn id="12720" xr3:uid="{D1B734FA-8A69-4FCD-9CB1-5320F1835D28}" name="Column12689"/>
    <tableColumn id="12721" xr3:uid="{D958114F-516C-436B-9686-B31665345060}" name="Column12690"/>
    <tableColumn id="12722" xr3:uid="{9B050F5D-A29D-4CB5-BA12-1D6FA6B3F62E}" name="Column12691"/>
    <tableColumn id="12723" xr3:uid="{9CE0DD99-71C4-4D61-B006-1FDC22846004}" name="Column12692"/>
    <tableColumn id="12724" xr3:uid="{863AFB1D-6E25-4EB7-ACB2-EB1A6F07AD4F}" name="Column12693"/>
    <tableColumn id="12725" xr3:uid="{BC7BCBA3-C521-4F7D-AD60-0945794FCA55}" name="Column12694"/>
    <tableColumn id="12726" xr3:uid="{1DACC6D1-7DDC-4E38-90FA-52EE3283551C}" name="Column12695"/>
    <tableColumn id="12727" xr3:uid="{72BBDDC0-C12C-49A3-B537-C84FFF479862}" name="Column12696"/>
    <tableColumn id="12728" xr3:uid="{76F347A8-A6D3-4C3B-A1EA-C4B9F9D48322}" name="Column12697"/>
    <tableColumn id="12729" xr3:uid="{3CD670C2-1CC4-4B5D-A14B-03CE3799C6CB}" name="Column12698"/>
    <tableColumn id="12730" xr3:uid="{669A37D2-15FF-453B-BBD3-2C36840356DE}" name="Column12699"/>
    <tableColumn id="12731" xr3:uid="{DA6691ED-0EA5-41A5-B794-BCA4E6959164}" name="Column12700"/>
    <tableColumn id="12732" xr3:uid="{8560F1CD-FCDC-430A-AB69-BB7686825E2A}" name="Column12701"/>
    <tableColumn id="12733" xr3:uid="{E6989E8D-2A13-48B6-A49C-0F55F071AF73}" name="Column12702"/>
    <tableColumn id="12734" xr3:uid="{736B43F0-B0E8-4B51-886A-CB0D5278DAD3}" name="Column12703"/>
    <tableColumn id="12735" xr3:uid="{B7791C9A-334B-4D66-A8C1-610135D78146}" name="Column12704"/>
    <tableColumn id="12736" xr3:uid="{29B61FBF-8EA5-4C9B-83B8-CB461C42F501}" name="Column12705"/>
    <tableColumn id="12737" xr3:uid="{E2F28960-3044-4AFB-B7CD-A6E489BC4274}" name="Column12706"/>
    <tableColumn id="12738" xr3:uid="{4FEA224F-FCCD-433B-A447-F8B42810F84E}" name="Column12707"/>
    <tableColumn id="12739" xr3:uid="{8CFB2DF0-12F0-4202-904F-DB6CCD907979}" name="Column12708"/>
    <tableColumn id="12740" xr3:uid="{C4C7EC19-6112-4082-953F-DACBCD1DABF6}" name="Column12709"/>
    <tableColumn id="12741" xr3:uid="{6B597368-4136-464A-8C95-ADA51A27BA51}" name="Column12710"/>
    <tableColumn id="12742" xr3:uid="{BEBFD439-D8E4-4EC0-9E4A-BEEC21ECA8C9}" name="Column12711"/>
    <tableColumn id="12743" xr3:uid="{034B8094-9959-491C-876F-DA1E2F57D823}" name="Column12712"/>
    <tableColumn id="12744" xr3:uid="{1CB1B49B-3B55-4569-95F2-7E5D3731D1C8}" name="Column12713"/>
    <tableColumn id="12745" xr3:uid="{E4A9CBA9-5212-41E3-86AB-E0BA8C2B170D}" name="Column12714"/>
    <tableColumn id="12746" xr3:uid="{4F0C247B-96CF-4848-8D65-7DE55F80A4F5}" name="Column12715"/>
    <tableColumn id="12747" xr3:uid="{97C1FBAB-368B-406C-B3C6-8AF6034F5263}" name="Column12716"/>
    <tableColumn id="12748" xr3:uid="{78A13321-98F4-4D8C-B424-7F8714BC65F4}" name="Column12717"/>
    <tableColumn id="12749" xr3:uid="{2160264F-AD72-42BE-A071-4CEB6D85A5CE}" name="Column12718"/>
    <tableColumn id="12750" xr3:uid="{0F0C10A7-F202-423C-AA9D-1EC5936A4C04}" name="Column12719"/>
    <tableColumn id="12751" xr3:uid="{06E89A1D-24DC-419C-B869-9845F176DBA8}" name="Column12720"/>
    <tableColumn id="12752" xr3:uid="{497CCEB1-D616-4C99-AA06-D5ED35110B07}" name="Column12721"/>
    <tableColumn id="12753" xr3:uid="{22E6327F-279B-4C7B-8A86-85D074821FB1}" name="Column12722"/>
    <tableColumn id="12754" xr3:uid="{07D156A3-03EC-4959-95FE-81BFD2026FF1}" name="Column12723"/>
    <tableColumn id="12755" xr3:uid="{5302C407-D473-4879-A537-5107CE7A8CDF}" name="Column12724"/>
    <tableColumn id="12756" xr3:uid="{E57873DC-C2FC-4B3A-9BC4-FE92F9B942F0}" name="Column12725"/>
    <tableColumn id="12757" xr3:uid="{D97ADC52-DED0-465C-96EC-7FCFEDE60C16}" name="Column12726"/>
    <tableColumn id="12758" xr3:uid="{35095404-E09C-4C4D-B973-7245777BDD59}" name="Column12727"/>
    <tableColumn id="12759" xr3:uid="{63C9974C-4441-455D-AAFD-A3702DD8F2A3}" name="Column12728"/>
    <tableColumn id="12760" xr3:uid="{88D4EEA2-67C9-434E-B35A-CC2E51A79477}" name="Column12729"/>
    <tableColumn id="12761" xr3:uid="{7A798B97-41F0-4F4A-AC00-5E9374D1717D}" name="Column12730"/>
    <tableColumn id="12762" xr3:uid="{67EE2C15-D459-4C01-B9C7-0DF87828A61A}" name="Column12731"/>
    <tableColumn id="12763" xr3:uid="{D0258D98-C52C-4DA7-A5AE-03F2BAE56961}" name="Column12732"/>
    <tableColumn id="12764" xr3:uid="{6E67D610-A4C1-43F1-980F-58655AEFACB3}" name="Column12733"/>
    <tableColumn id="12765" xr3:uid="{036E9D86-8BE8-4F9F-A601-B2094C5901FC}" name="Column12734"/>
    <tableColumn id="12766" xr3:uid="{A3FB60FC-80D9-413A-9C3D-6014BE212AE9}" name="Column12735"/>
    <tableColumn id="12767" xr3:uid="{06405653-9B9C-4336-ACAD-AC0EE0380835}" name="Column12736"/>
    <tableColumn id="12768" xr3:uid="{2509D13D-04C6-44D3-A3C8-FD237172C409}" name="Column12737"/>
    <tableColumn id="12769" xr3:uid="{35E83A5D-46C9-4922-8F22-4A49C012AE8E}" name="Column12738"/>
    <tableColumn id="12770" xr3:uid="{C544F675-2BCB-4770-94EE-E0D04354FBAB}" name="Column12739"/>
    <tableColumn id="12771" xr3:uid="{6AF55379-4496-4766-BF7B-3B2970269011}" name="Column12740"/>
    <tableColumn id="12772" xr3:uid="{28391820-C395-4F43-BA2E-1AB0A833E784}" name="Column12741"/>
    <tableColumn id="12773" xr3:uid="{4DB01E69-417D-4D6A-BF5F-45978728881B}" name="Column12742"/>
    <tableColumn id="12774" xr3:uid="{FF1F08DA-09E0-4B30-AC2D-6413654FBF2D}" name="Column12743"/>
    <tableColumn id="12775" xr3:uid="{9CAFF9D1-B9A3-46AE-8E8B-C59438388208}" name="Column12744"/>
    <tableColumn id="12776" xr3:uid="{4A3C3AE2-C8FA-4F7E-8599-EE4E752A6A63}" name="Column12745"/>
    <tableColumn id="12777" xr3:uid="{E753CE83-6A24-4049-82A0-4BE049CF6914}" name="Column12746"/>
    <tableColumn id="12778" xr3:uid="{03252122-27B7-468F-8149-96BB5B1A5FD8}" name="Column12747"/>
    <tableColumn id="12779" xr3:uid="{B3A12E95-964D-401B-B68D-CDC9C1A6D03C}" name="Column12748"/>
    <tableColumn id="12780" xr3:uid="{972DBFC8-336F-43A8-890B-36D6082B4947}" name="Column12749"/>
    <tableColumn id="12781" xr3:uid="{5DD8CF22-3E08-41E4-89A4-719524E05962}" name="Column12750"/>
    <tableColumn id="12782" xr3:uid="{6D8A2A98-699A-40A8-9193-7E99E030A643}" name="Column12751"/>
    <tableColumn id="12783" xr3:uid="{3D27DBDE-8B92-49C6-A06C-D890765B6BA7}" name="Column12752"/>
    <tableColumn id="12784" xr3:uid="{82DC06A1-81B6-4869-9AE8-DB3CEEBA0025}" name="Column12753"/>
    <tableColumn id="12785" xr3:uid="{E764A318-BBD5-491B-BEBD-53735F05CE33}" name="Column12754"/>
    <tableColumn id="12786" xr3:uid="{F6003775-3917-451D-B291-D2895508063A}" name="Column12755"/>
    <tableColumn id="12787" xr3:uid="{D57EBB54-0683-4BFD-88F1-729BB95184C3}" name="Column12756"/>
    <tableColumn id="12788" xr3:uid="{CE1BF90B-BB87-4FD6-8C6D-41A1C0215250}" name="Column12757"/>
    <tableColumn id="12789" xr3:uid="{40F125C2-5AC6-42A6-A418-1BDD28F035D7}" name="Column12758"/>
    <tableColumn id="12790" xr3:uid="{282C8833-EE82-4154-AC94-9D4FF62A9C2A}" name="Column12759"/>
    <tableColumn id="12791" xr3:uid="{809CA053-BCEE-4145-B8F8-3E14E47FF8F2}" name="Column12760"/>
    <tableColumn id="12792" xr3:uid="{020DE769-22EC-4ED5-BDA5-965CAB45E5F3}" name="Column12761"/>
    <tableColumn id="12793" xr3:uid="{7B666CAA-C3C4-431B-9054-D7F6BB49B863}" name="Column12762"/>
    <tableColumn id="12794" xr3:uid="{C3DF95E9-294F-4028-95D1-6140130DFBF7}" name="Column12763"/>
    <tableColumn id="12795" xr3:uid="{3B06848D-2E27-4D2C-B352-50E1AA2B35B8}" name="Column12764"/>
    <tableColumn id="12796" xr3:uid="{7C3560E8-CB69-4C06-A9CA-A0C50AE7EE98}" name="Column12765"/>
    <tableColumn id="12797" xr3:uid="{BD6E02E9-3BA6-4BD2-91FF-9BE3E2FD757D}" name="Column12766"/>
    <tableColumn id="12798" xr3:uid="{380DD2D7-1583-460B-A12B-62303A15AF9F}" name="Column12767"/>
    <tableColumn id="12799" xr3:uid="{9579C94F-43D2-4AE4-A8EC-AD965E4B6F34}" name="Column12768"/>
    <tableColumn id="12800" xr3:uid="{B53C2722-0475-4EA1-8082-2179CEBA1960}" name="Column12769"/>
    <tableColumn id="12801" xr3:uid="{F39FEB75-893E-4198-B597-ACE8A71ECFFB}" name="Column12770"/>
    <tableColumn id="12802" xr3:uid="{EEC9D4B3-8B10-4257-815B-4058A4AA3CCE}" name="Column12771"/>
    <tableColumn id="12803" xr3:uid="{E65E6036-5D5C-4368-929C-B50199AEC259}" name="Column12772"/>
    <tableColumn id="12804" xr3:uid="{975A73C0-4D86-40B8-A380-6CD432B62799}" name="Column12773"/>
    <tableColumn id="12805" xr3:uid="{C2438CB1-0465-49A2-9577-158ADDCF3422}" name="Column12774"/>
    <tableColumn id="12806" xr3:uid="{74316BB5-6645-43AE-81DA-95AA339EB68A}" name="Column12775"/>
    <tableColumn id="12807" xr3:uid="{86EDDFC6-B24D-4A15-987D-BAE71B2D001E}" name="Column12776"/>
    <tableColumn id="12808" xr3:uid="{AC333341-544E-40B2-A20B-ED2FECBA7F23}" name="Column12777"/>
    <tableColumn id="12809" xr3:uid="{A6CBCAD1-B871-45B2-AEEA-01D556AEEFC6}" name="Column12778"/>
    <tableColumn id="12810" xr3:uid="{67107B17-948B-4069-8419-C8FAB9FE157C}" name="Column12779"/>
    <tableColumn id="12811" xr3:uid="{526BD4FB-FF46-4B7C-B00B-31948559C038}" name="Column12780"/>
    <tableColumn id="12812" xr3:uid="{A25EF03C-D4B1-4587-88C4-07527E83DD4F}" name="Column12781"/>
    <tableColumn id="12813" xr3:uid="{A6859865-BB3C-4D38-8980-DD7560516FAC}" name="Column12782"/>
    <tableColumn id="12814" xr3:uid="{D9B27C0A-97E2-472D-8D28-CD5303068004}" name="Column12783"/>
    <tableColumn id="12815" xr3:uid="{CBB5E248-E220-404D-B902-194B3D40B052}" name="Column12784"/>
    <tableColumn id="12816" xr3:uid="{84DCF46A-A6CF-4C3C-AF95-29BD455175AF}" name="Column12785"/>
    <tableColumn id="12817" xr3:uid="{11EDAAC7-3806-40CE-AFE7-F3C82053E3D2}" name="Column12786"/>
    <tableColumn id="12818" xr3:uid="{394B39E3-4808-4B99-81CD-17C3C74C0693}" name="Column12787"/>
    <tableColumn id="12819" xr3:uid="{DDAA452F-D585-4223-A1F5-B22DE38651DE}" name="Column12788"/>
    <tableColumn id="12820" xr3:uid="{AA417ADF-BCF3-430A-815B-DD26C6494AAB}" name="Column12789"/>
    <tableColumn id="12821" xr3:uid="{C76F3E16-3C97-4E2E-B818-3B0774244198}" name="Column12790"/>
    <tableColumn id="12822" xr3:uid="{3A20BB4B-2DB6-40E4-AB5B-7CFF17BD4B88}" name="Column12791"/>
    <tableColumn id="12823" xr3:uid="{16D91779-4FC8-4EE3-940A-5489818E2ACC}" name="Column12792"/>
    <tableColumn id="12824" xr3:uid="{792CE8C0-16C7-477C-990D-397DCEFC2E7B}" name="Column12793"/>
    <tableColumn id="12825" xr3:uid="{B564D2B7-FE0C-4883-8A77-4F5C4EE11CD3}" name="Column12794"/>
    <tableColumn id="12826" xr3:uid="{86815501-948C-45B9-BA20-2E9BA698DBDC}" name="Column12795"/>
    <tableColumn id="12827" xr3:uid="{87FA01AF-A2BA-426F-80A7-93CC12771ABC}" name="Column12796"/>
    <tableColumn id="12828" xr3:uid="{735ACFFD-7757-406A-8E91-A3722222D4D4}" name="Column12797"/>
    <tableColumn id="12829" xr3:uid="{F62C5B5D-119D-4DE9-9AD2-7550C23F2408}" name="Column12798"/>
    <tableColumn id="12830" xr3:uid="{DC1275E6-88F6-4778-83DF-46452235F09E}" name="Column12799"/>
    <tableColumn id="12831" xr3:uid="{C805168C-E035-4C72-AD64-21A9973DA326}" name="Column12800"/>
    <tableColumn id="12832" xr3:uid="{01DA4B38-43D3-4230-A78D-EEACC6A17B23}" name="Column12801"/>
    <tableColumn id="12833" xr3:uid="{1DCF7020-3729-413C-9736-7D13FA800A3E}" name="Column12802"/>
    <tableColumn id="12834" xr3:uid="{833AF740-E285-4370-9EB6-18D064284099}" name="Column12803"/>
    <tableColumn id="12835" xr3:uid="{349D6589-086B-4C93-906C-A0ACCA26E81A}" name="Column12804"/>
    <tableColumn id="12836" xr3:uid="{B59DFA76-8AB4-48C6-ACBA-865B6D196253}" name="Column12805"/>
    <tableColumn id="12837" xr3:uid="{C591B295-4B46-4326-A029-0A14FC3822CB}" name="Column12806"/>
    <tableColumn id="12838" xr3:uid="{1C9809D3-00BA-4C05-AC7C-DFAD731B90BD}" name="Column12807"/>
    <tableColumn id="12839" xr3:uid="{05457CA1-7EEF-4400-B942-0CDE3B236E00}" name="Column12808"/>
    <tableColumn id="12840" xr3:uid="{86DB8377-4DBE-4790-ABF5-5A140C8D3FBE}" name="Column12809"/>
    <tableColumn id="12841" xr3:uid="{D85A4D02-80C7-4D38-9254-6B65C00E1A0C}" name="Column12810"/>
    <tableColumn id="12842" xr3:uid="{E594B1A3-FD73-427E-9236-6F30DDD8BEF6}" name="Column12811"/>
    <tableColumn id="12843" xr3:uid="{D02F7FE8-C446-4ECB-AA7E-C72047E8ED6A}" name="Column12812"/>
    <tableColumn id="12844" xr3:uid="{18652FE8-5A92-4313-BD21-3376B8539C0A}" name="Column12813"/>
    <tableColumn id="12845" xr3:uid="{A0C86CD9-B8CA-44EC-8858-8AD577B8C46F}" name="Column12814"/>
    <tableColumn id="12846" xr3:uid="{5D35A187-FD36-48DF-9E21-7E8F3D5C8E69}" name="Column12815"/>
    <tableColumn id="12847" xr3:uid="{B160A9AD-886B-45D4-9002-C99567AB57C6}" name="Column12816"/>
    <tableColumn id="12848" xr3:uid="{911CE213-7818-457C-A422-0DC843B33443}" name="Column12817"/>
    <tableColumn id="12849" xr3:uid="{E777AA47-6EA3-4EBC-9C4F-B0B675E1B1B6}" name="Column12818"/>
    <tableColumn id="12850" xr3:uid="{18784E41-9B16-4BE3-AAE6-57C7A9D82816}" name="Column12819"/>
    <tableColumn id="12851" xr3:uid="{3D33B042-B8C9-4967-9CFE-2DE1DE240C06}" name="Column12820"/>
    <tableColumn id="12852" xr3:uid="{7D8BFFE0-844A-45F1-9C9B-3133F209DA47}" name="Column12821"/>
    <tableColumn id="12853" xr3:uid="{0EEB2E1D-B494-4743-B93B-AC6FD00C7F20}" name="Column12822"/>
    <tableColumn id="12854" xr3:uid="{923913C8-654B-4400-ABD4-BB4AFB6DA885}" name="Column12823"/>
    <tableColumn id="12855" xr3:uid="{2ABC030E-3D36-4DD4-A6B9-286733752F4D}" name="Column12824"/>
    <tableColumn id="12856" xr3:uid="{5BF43B4E-21A3-4020-95EA-7B9BDE4540FA}" name="Column12825"/>
    <tableColumn id="12857" xr3:uid="{4E9B4090-759A-4AB6-BE4E-81C681636650}" name="Column12826"/>
    <tableColumn id="12858" xr3:uid="{EADEE067-9C33-43A6-A9EB-D44E84CF7329}" name="Column12827"/>
    <tableColumn id="12859" xr3:uid="{CA942364-F11A-48C8-A765-BEEE87841491}" name="Column12828"/>
    <tableColumn id="12860" xr3:uid="{43128DD5-61C8-4541-9204-255F3D15005E}" name="Column12829"/>
    <tableColumn id="12861" xr3:uid="{876E9AA7-FEAD-4359-959F-F804BE2FC927}" name="Column12830"/>
    <tableColumn id="12862" xr3:uid="{C06531FB-7471-4BD0-B4E4-B2A888CC958F}" name="Column12831"/>
    <tableColumn id="12863" xr3:uid="{650DEF79-8D5C-4EC9-AB39-BBDAB7F44879}" name="Column12832"/>
    <tableColumn id="12864" xr3:uid="{0962294B-4530-48AE-A65E-6D3C3CC1853B}" name="Column12833"/>
    <tableColumn id="12865" xr3:uid="{74FF4FE5-549F-4792-B7E8-234D46B945F4}" name="Column12834"/>
    <tableColumn id="12866" xr3:uid="{6A350585-3410-4F90-AFE6-7A0DD2D219A3}" name="Column12835"/>
    <tableColumn id="12867" xr3:uid="{C6A9BF29-1235-46D5-8BA5-CA3DA6DD7753}" name="Column12836"/>
    <tableColumn id="12868" xr3:uid="{5E86CE0E-F496-4A14-98CD-149CEF0ECC8C}" name="Column12837"/>
    <tableColumn id="12869" xr3:uid="{0721988E-FCA3-4492-9F1F-A58598570EEB}" name="Column12838"/>
    <tableColumn id="12870" xr3:uid="{1B5B9CA0-F6BC-4D10-8199-54CAE702DDFD}" name="Column12839"/>
    <tableColumn id="12871" xr3:uid="{C7DBBD37-721A-4A4A-A07B-C12821D3F325}" name="Column12840"/>
    <tableColumn id="12872" xr3:uid="{0CFA2006-7CD9-433C-BDFE-08C24DFF30A0}" name="Column12841"/>
    <tableColumn id="12873" xr3:uid="{40A10763-B105-4D53-BC05-BC9E3DF09F3B}" name="Column12842"/>
    <tableColumn id="12874" xr3:uid="{2279BCB3-8C73-4675-95E4-44DA8F9D6706}" name="Column12843"/>
    <tableColumn id="12875" xr3:uid="{DF1B7428-EF52-43A2-9832-7DFBCD37BF62}" name="Column12844"/>
    <tableColumn id="12876" xr3:uid="{59255148-2C8E-4C06-AEA2-131F7C231457}" name="Column12845"/>
    <tableColumn id="12877" xr3:uid="{E3049113-1A0A-407D-AF40-2E99745E01DA}" name="Column12846"/>
    <tableColumn id="12878" xr3:uid="{BFF704E5-11B3-4810-BC21-2E73C0A775DC}" name="Column12847"/>
    <tableColumn id="12879" xr3:uid="{C9F6B73A-7AC7-4278-B9F3-753C8FD28D43}" name="Column12848"/>
    <tableColumn id="12880" xr3:uid="{F6522919-12F5-40A5-B6AC-F84A3DD0357A}" name="Column12849"/>
    <tableColumn id="12881" xr3:uid="{007D636F-2E2D-4A4B-80A9-396AF3BADE2B}" name="Column12850"/>
    <tableColumn id="12882" xr3:uid="{2B3D8C08-96DB-4BF5-83C9-B297AEC27F72}" name="Column12851"/>
    <tableColumn id="12883" xr3:uid="{0A4B4058-8C2D-4BEA-8B4B-98D783E86B5E}" name="Column12852"/>
    <tableColumn id="12884" xr3:uid="{E75B34EF-D8FA-49CC-B988-E5440097F5C4}" name="Column12853"/>
    <tableColumn id="12885" xr3:uid="{F4EFA5B7-319E-4E92-98C2-BB535D4613C0}" name="Column12854"/>
    <tableColumn id="12886" xr3:uid="{239B6D3A-D613-4493-8087-C9EB9491EF74}" name="Column12855"/>
    <tableColumn id="12887" xr3:uid="{E702AB4D-995D-41D0-A91D-24502486AE36}" name="Column12856"/>
    <tableColumn id="12888" xr3:uid="{F250BEE9-4FB3-4ACC-A258-2B87EA77AA3B}" name="Column12857"/>
    <tableColumn id="12889" xr3:uid="{F7BA68D5-E97A-419D-916E-E664BB03E0CA}" name="Column12858"/>
    <tableColumn id="12890" xr3:uid="{BA302E81-374D-4ADC-98F9-90806921B791}" name="Column12859"/>
    <tableColumn id="12891" xr3:uid="{DD48C32D-06B9-49AD-AAEF-04AA276E0BE4}" name="Column12860"/>
    <tableColumn id="12892" xr3:uid="{E3E56154-73EC-4945-BF52-B895D8E3067B}" name="Column12861"/>
    <tableColumn id="12893" xr3:uid="{F1DD0A50-7CF5-440B-A4DB-F81CF558BF28}" name="Column12862"/>
    <tableColumn id="12894" xr3:uid="{C3B4486A-AB56-446D-B7EF-FE03950BF18B}" name="Column12863"/>
    <tableColumn id="12895" xr3:uid="{7BC95DB8-0D85-4D0F-B3C4-8A319094F38F}" name="Column12864"/>
    <tableColumn id="12896" xr3:uid="{353FDB90-D5AC-4AC3-80DE-7FB010EE682C}" name="Column12865"/>
    <tableColumn id="12897" xr3:uid="{BFFDF35C-2699-470D-855A-ED65F67CDC2B}" name="Column12866"/>
    <tableColumn id="12898" xr3:uid="{ED07F03A-3D56-4707-A0D8-7ED282F9E42E}" name="Column12867"/>
    <tableColumn id="12899" xr3:uid="{B95401F2-47BE-4D63-9CA0-17950896AB51}" name="Column12868"/>
    <tableColumn id="12900" xr3:uid="{7DCDD986-DACE-4F33-910E-B33E27C2224B}" name="Column12869"/>
    <tableColumn id="12901" xr3:uid="{ED82A0C2-9A34-4557-AB3D-35083D1E599F}" name="Column12870"/>
    <tableColumn id="12902" xr3:uid="{437A30C9-6000-4EFD-BF14-1A5133BCFB75}" name="Column12871"/>
    <tableColumn id="12903" xr3:uid="{12268F3A-2EBC-4F53-A7D8-FA18F59C9203}" name="Column12872"/>
    <tableColumn id="12904" xr3:uid="{60069319-4D83-4FF5-B7BD-6DFE7ECCC0D3}" name="Column12873"/>
    <tableColumn id="12905" xr3:uid="{A187D802-39A8-4FB0-98FB-78FD4DC7F680}" name="Column12874"/>
    <tableColumn id="12906" xr3:uid="{176AAE4F-DFF4-48C6-90BE-C21844C0E4DB}" name="Column12875"/>
    <tableColumn id="12907" xr3:uid="{E5D39E8C-36D2-449D-81A4-F8ACE38D4165}" name="Column12876"/>
    <tableColumn id="12908" xr3:uid="{A3D281BF-901F-4F28-A0FB-60CFB2EB9991}" name="Column12877"/>
    <tableColumn id="12909" xr3:uid="{CF58D5B4-F33E-4943-906E-990AC30F48BF}" name="Column12878"/>
    <tableColumn id="12910" xr3:uid="{7F0E10CE-2ABC-4EB1-AF1F-CFF93432844A}" name="Column12879"/>
    <tableColumn id="12911" xr3:uid="{702CEE7C-4CAB-4F91-806B-3A18F5133489}" name="Column12880"/>
    <tableColumn id="12912" xr3:uid="{F486F283-FCBA-4D40-AAD1-5F631DB0E41F}" name="Column12881"/>
    <tableColumn id="12913" xr3:uid="{80F119FD-7BA4-488A-BCD6-657B284F9F72}" name="Column12882"/>
    <tableColumn id="12914" xr3:uid="{D7F7C417-C4F5-4042-9092-85C4568A57C3}" name="Column12883"/>
    <tableColumn id="12915" xr3:uid="{44ECF42C-02FE-483E-8BF0-48A6695D5332}" name="Column12884"/>
    <tableColumn id="12916" xr3:uid="{71ECB344-0282-4BA8-AF97-BC578A8BE1D4}" name="Column12885"/>
    <tableColumn id="12917" xr3:uid="{1DE2F987-8C5A-4EEF-A8F2-EC96B83F2819}" name="Column12886"/>
    <tableColumn id="12918" xr3:uid="{0F1BFFFD-B50A-437B-B397-84CE1ACB278A}" name="Column12887"/>
    <tableColumn id="12919" xr3:uid="{FE6539DF-13C8-4D2C-B902-D16E2F60783C}" name="Column12888"/>
    <tableColumn id="12920" xr3:uid="{29BF8F08-8F20-4D74-8FEC-016FC88FC0E0}" name="Column12889"/>
    <tableColumn id="12921" xr3:uid="{9E82C1CF-9863-4EEA-A549-C15CEE0C8B8A}" name="Column12890"/>
    <tableColumn id="12922" xr3:uid="{1BB9C59B-A1F3-4025-8878-06DBFEB593B8}" name="Column12891"/>
    <tableColumn id="12923" xr3:uid="{6D31F0E7-6AAD-4C16-A1EC-42C6C292F188}" name="Column12892"/>
    <tableColumn id="12924" xr3:uid="{CF6E6AAA-DB8D-4617-8292-266826405342}" name="Column12893"/>
    <tableColumn id="12925" xr3:uid="{705996AF-6EF5-465F-9F96-BE04A449AB35}" name="Column12894"/>
    <tableColumn id="12926" xr3:uid="{362726D0-C1C5-4AB0-A68A-285044A7C5A3}" name="Column12895"/>
    <tableColumn id="12927" xr3:uid="{82D71DBC-9979-4EA6-9D00-8F42D19049F4}" name="Column12896"/>
    <tableColumn id="12928" xr3:uid="{DC8AB175-DB18-439A-B16D-C9B4891B5C25}" name="Column12897"/>
    <tableColumn id="12929" xr3:uid="{15E05183-14F2-423E-9D64-EDECEA29EEFA}" name="Column12898"/>
    <tableColumn id="12930" xr3:uid="{100B312F-C0A2-4C4E-9ABF-1CB3439FC268}" name="Column12899"/>
    <tableColumn id="12931" xr3:uid="{899E0F94-7AB9-4F98-96FB-7FAE2226C426}" name="Column12900"/>
    <tableColumn id="12932" xr3:uid="{FA469C24-9063-4735-AEDB-BC07250A024F}" name="Column12901"/>
    <tableColumn id="12933" xr3:uid="{7952E9C4-EF2F-49AB-AED4-66EAD76502DF}" name="Column12902"/>
    <tableColumn id="12934" xr3:uid="{E68740BE-EE8E-4F54-A0B5-07DAE5B77206}" name="Column12903"/>
    <tableColumn id="12935" xr3:uid="{48F9F393-8286-492B-9E17-3958106D0323}" name="Column12904"/>
    <tableColumn id="12936" xr3:uid="{6DEF0683-5CE3-45AB-9395-1317251C8FD0}" name="Column12905"/>
    <tableColumn id="12937" xr3:uid="{765EEF65-0201-4B46-81B6-F751DED3D33B}" name="Column12906"/>
    <tableColumn id="12938" xr3:uid="{059BCA1D-2E92-4EB5-A902-FA7902A260A5}" name="Column12907"/>
    <tableColumn id="12939" xr3:uid="{CBEF1445-F224-4086-B192-4576FA59ECD1}" name="Column12908"/>
    <tableColumn id="12940" xr3:uid="{EC33351B-4D99-4450-A164-363E11567B80}" name="Column12909"/>
    <tableColumn id="12941" xr3:uid="{3C5FCEC2-5961-4441-96D6-E6AFFEC18A0A}" name="Column12910"/>
    <tableColumn id="12942" xr3:uid="{720E4FEF-5F4E-4048-B9D5-BA677E8AE827}" name="Column12911"/>
    <tableColumn id="12943" xr3:uid="{61D3E966-580B-43FF-8945-480C4A78FEE5}" name="Column12912"/>
    <tableColumn id="12944" xr3:uid="{F7D460A8-809F-44A3-8F16-C0F3F1A26C58}" name="Column12913"/>
    <tableColumn id="12945" xr3:uid="{757E1366-CAFB-4DC0-928D-8FBEA552904D}" name="Column12914"/>
    <tableColumn id="12946" xr3:uid="{6D4FD544-115F-4DCC-B743-66A271243802}" name="Column12915"/>
    <tableColumn id="12947" xr3:uid="{9C339397-B378-4809-8A3E-D73321C15A16}" name="Column12916"/>
    <tableColumn id="12948" xr3:uid="{F8180DC2-E474-418F-AE03-0E10B1DE8823}" name="Column12917"/>
    <tableColumn id="12949" xr3:uid="{5E1AE610-EBB6-4D49-8A43-08F8C6E65072}" name="Column12918"/>
    <tableColumn id="12950" xr3:uid="{BC8280DB-3569-41BE-9F8A-3A20F16C9D96}" name="Column12919"/>
    <tableColumn id="12951" xr3:uid="{FA14CF38-8357-4A1C-BA9E-5E159CE1DBA0}" name="Column12920"/>
    <tableColumn id="12952" xr3:uid="{D9DB90DD-9A63-43AB-A74A-2B235025B542}" name="Column12921"/>
    <tableColumn id="12953" xr3:uid="{476469AA-1307-4784-B23F-5A68E9EE7034}" name="Column12922"/>
    <tableColumn id="12954" xr3:uid="{18E04D7E-80F4-4D98-93C8-8E7509129734}" name="Column12923"/>
    <tableColumn id="12955" xr3:uid="{E93FCD37-B9BA-466B-A5D7-77C8FDB76A05}" name="Column12924"/>
    <tableColumn id="12956" xr3:uid="{B093C61C-CB24-43B3-8FB8-02532DB8F2C0}" name="Column12925"/>
    <tableColumn id="12957" xr3:uid="{CA3A8F2E-D166-48C8-90B5-70FE1C9B924A}" name="Column12926"/>
    <tableColumn id="12958" xr3:uid="{7802CD8B-3353-4514-B401-E92DFE6ADAD3}" name="Column12927"/>
    <tableColumn id="12959" xr3:uid="{C8DBB51A-9B10-4C45-88B5-4A30AC55E56D}" name="Column12928"/>
    <tableColumn id="12960" xr3:uid="{1EAEBDC6-158B-4B31-A701-B40C148ABC48}" name="Column12929"/>
    <tableColumn id="12961" xr3:uid="{9E574E26-33CF-44AE-ABA1-B07DCE441C9E}" name="Column12930"/>
    <tableColumn id="12962" xr3:uid="{505CC746-28B7-4784-9A74-E6F780753015}" name="Column12931"/>
    <tableColumn id="12963" xr3:uid="{44AA87A6-A75F-41AB-B9B9-9ABC53D6D48D}" name="Column12932"/>
    <tableColumn id="12964" xr3:uid="{4EECB12F-A2E3-4AC4-82D5-051DB80484E9}" name="Column12933"/>
    <tableColumn id="12965" xr3:uid="{68BF1A92-5DE5-40F8-B826-C8B26BC49983}" name="Column12934"/>
    <tableColumn id="12966" xr3:uid="{76C8CC6E-D2F4-4304-99E1-3490F49D5CA5}" name="Column12935"/>
    <tableColumn id="12967" xr3:uid="{2FA8ADC2-9B86-407E-B9C4-BC4CBA328BA4}" name="Column12936"/>
    <tableColumn id="12968" xr3:uid="{E2A7B6AA-B9A7-4295-975A-A7461D292513}" name="Column12937"/>
    <tableColumn id="12969" xr3:uid="{AA53E199-AA8F-4A38-A7B8-5CFCA5C60931}" name="Column12938"/>
    <tableColumn id="12970" xr3:uid="{4AE977DC-6FDF-4DEE-B7F6-0F1CCD55ECF2}" name="Column12939"/>
    <tableColumn id="12971" xr3:uid="{D1BF9552-1058-4976-B5E2-7876F909C8FA}" name="Column12940"/>
    <tableColumn id="12972" xr3:uid="{80ADD9C7-0579-46CE-AEF1-42AC7990535C}" name="Column12941"/>
    <tableColumn id="12973" xr3:uid="{5527E78A-CDDD-495F-9913-68583EC7D817}" name="Column12942"/>
    <tableColumn id="12974" xr3:uid="{E7971479-AD53-41D0-A9EF-F93A238D6209}" name="Column12943"/>
    <tableColumn id="12975" xr3:uid="{2B3A17D7-E89D-48D6-9F1A-864BD9EE01D4}" name="Column12944"/>
    <tableColumn id="12976" xr3:uid="{BE732AB3-55D4-41DB-B1B5-E3B76EB2241B}" name="Column12945"/>
    <tableColumn id="12977" xr3:uid="{E7A12AB3-1157-49D8-8AE8-3FEB10CF613E}" name="Column12946"/>
    <tableColumn id="12978" xr3:uid="{BFD14A78-ABA5-4AA9-839C-60B174B321FB}" name="Column12947"/>
    <tableColumn id="12979" xr3:uid="{6E7CDBF7-ED62-4374-8F47-B9384B530F6B}" name="Column12948"/>
    <tableColumn id="12980" xr3:uid="{B38B0DCA-E637-41C8-8344-8465027A7766}" name="Column12949"/>
    <tableColumn id="12981" xr3:uid="{A3404807-96A7-4E65-AF19-63157BFD1494}" name="Column12950"/>
    <tableColumn id="12982" xr3:uid="{38E5B929-28B9-4217-880E-8A1053A4B878}" name="Column12951"/>
    <tableColumn id="12983" xr3:uid="{1DA66D72-6BC8-4A00-9633-19E2F0E9B1E7}" name="Column12952"/>
    <tableColumn id="12984" xr3:uid="{01FABC09-5B36-4929-AEDE-2A362647A590}" name="Column12953"/>
    <tableColumn id="12985" xr3:uid="{B8755830-02E2-4B52-8E95-423DD433F0F1}" name="Column12954"/>
    <tableColumn id="12986" xr3:uid="{21C26345-65B2-4713-8D50-4F2CFEE41C7A}" name="Column12955"/>
    <tableColumn id="12987" xr3:uid="{9DE49987-BB8E-478E-948A-93C9D0306FAD}" name="Column12956"/>
    <tableColumn id="12988" xr3:uid="{A4B90380-E10B-4036-BB1B-1FFB817FF58F}" name="Column12957"/>
    <tableColumn id="12989" xr3:uid="{C74F4AC3-A35C-4859-BC10-ABEB072AFB0B}" name="Column12958"/>
    <tableColumn id="12990" xr3:uid="{16565E0F-E1A7-4EF6-9D8E-90CE07FAF19F}" name="Column12959"/>
    <tableColumn id="12991" xr3:uid="{0D64D30F-48AD-4D62-8137-090FCE123B9C}" name="Column12960"/>
    <tableColumn id="12992" xr3:uid="{B609FE1C-A2AA-4FE6-90F3-3C3E81CE1539}" name="Column12961"/>
    <tableColumn id="12993" xr3:uid="{355B713A-B011-429E-B9A6-C8E2FFC0EB00}" name="Column12962"/>
    <tableColumn id="12994" xr3:uid="{68973D4F-17E4-47C7-B388-038786A306F0}" name="Column12963"/>
    <tableColumn id="12995" xr3:uid="{99C41562-1FC2-4D56-964F-F4FF1F42F6BE}" name="Column12964"/>
    <tableColumn id="12996" xr3:uid="{6513B664-B6D3-4087-9BC5-064DC4BF4E47}" name="Column12965"/>
    <tableColumn id="12997" xr3:uid="{C96EB0AF-1DC3-4FBD-90B9-F9C19FD4FFDE}" name="Column12966"/>
    <tableColumn id="12998" xr3:uid="{36512CDE-9647-4468-918B-F2B8BD422EB2}" name="Column12967"/>
    <tableColumn id="12999" xr3:uid="{2BC2489E-60BA-43D1-A2E0-4E5026229A50}" name="Column12968"/>
    <tableColumn id="13000" xr3:uid="{A8EA4BCD-0FB8-4749-AED2-67D35F9394AA}" name="Column12969"/>
    <tableColumn id="13001" xr3:uid="{0EF4FFC1-F877-4088-9E49-227E4AE2AA3C}" name="Column12970"/>
    <tableColumn id="13002" xr3:uid="{ADDC788E-51D9-482C-9A4E-A0C2C82F9FC5}" name="Column12971"/>
    <tableColumn id="13003" xr3:uid="{AF1F1763-0180-4861-88A4-9B6786687F8A}" name="Column12972"/>
    <tableColumn id="13004" xr3:uid="{7C7017A4-33C9-4046-9AF2-00834E79BA48}" name="Column12973"/>
    <tableColumn id="13005" xr3:uid="{95014853-BF0A-4A43-B236-ADF9A53B1E56}" name="Column12974"/>
    <tableColumn id="13006" xr3:uid="{719E1AD2-6D00-4836-BE0E-7048370F6177}" name="Column12975"/>
    <tableColumn id="13007" xr3:uid="{4C848419-E9C8-4317-BC56-B8FCABA748B9}" name="Column12976"/>
    <tableColumn id="13008" xr3:uid="{8910EEDF-2D08-4D49-B5CC-306ECE497B65}" name="Column12977"/>
    <tableColumn id="13009" xr3:uid="{8C166228-BEC9-48B9-9191-CC2900D0B630}" name="Column12978"/>
    <tableColumn id="13010" xr3:uid="{55E1862B-63C5-4DE7-A830-D89F8AE1F8CD}" name="Column12979"/>
    <tableColumn id="13011" xr3:uid="{26D21731-C33D-432E-B16A-7664A240A1B8}" name="Column12980"/>
    <tableColumn id="13012" xr3:uid="{311D012C-0DB6-46D8-861B-B3FBE33B4741}" name="Column12981"/>
    <tableColumn id="13013" xr3:uid="{DEA9997B-9318-4498-B830-9B4F68D944E4}" name="Column12982"/>
    <tableColumn id="13014" xr3:uid="{A19EB001-BB2C-4D86-B84D-562CF2DAB711}" name="Column12983"/>
    <tableColumn id="13015" xr3:uid="{BA1EC3B9-028D-44AA-8EFD-A9247D8F8AD0}" name="Column12984"/>
    <tableColumn id="13016" xr3:uid="{829879B1-91A7-4FAA-AD6A-E109C90947AF}" name="Column12985"/>
    <tableColumn id="13017" xr3:uid="{06F17A8B-8686-4129-A717-C5980266CC0D}" name="Column12986"/>
    <tableColumn id="13018" xr3:uid="{DD0EE3AC-E742-4BB3-A6D4-5A06B29EA98F}" name="Column12987"/>
    <tableColumn id="13019" xr3:uid="{7F70CE94-A4DD-4C61-9E4C-2492B0B6034C}" name="Column12988"/>
    <tableColumn id="13020" xr3:uid="{6466C0BB-8BF2-4C77-B041-5E0325407305}" name="Column12989"/>
    <tableColumn id="13021" xr3:uid="{88732BC8-ADDF-4200-9AD2-D6FF175D098A}" name="Column12990"/>
    <tableColumn id="13022" xr3:uid="{DCD409E2-38A5-4434-919F-FB6C70FA7D55}" name="Column12991"/>
    <tableColumn id="13023" xr3:uid="{DCC26DAB-AFA0-486C-9114-9EAA2A33E5A1}" name="Column12992"/>
    <tableColumn id="13024" xr3:uid="{F8A49815-BCBB-45AB-93B4-5B1EB2DF4BFE}" name="Column12993"/>
    <tableColumn id="13025" xr3:uid="{1CCD127F-56FE-4785-8D94-081D428CB3B1}" name="Column12994"/>
    <tableColumn id="13026" xr3:uid="{029D77C1-9337-4AAF-B6BF-A3692F88890B}" name="Column12995"/>
    <tableColumn id="13027" xr3:uid="{1E9AEA63-9A49-46D1-ADD1-CE61C6DC3899}" name="Column12996"/>
    <tableColumn id="13028" xr3:uid="{3D4B3F56-514B-4E90-81F4-1EAB8418D418}" name="Column12997"/>
    <tableColumn id="13029" xr3:uid="{FBBE9832-7FE9-4D7E-BB28-56AB446D2066}" name="Column12998"/>
    <tableColumn id="13030" xr3:uid="{F26581C7-DAA9-458A-A9DF-4CE27C07D333}" name="Column12999"/>
    <tableColumn id="13031" xr3:uid="{5B13D5DB-7121-4AAE-9068-4586F06C28D4}" name="Column13000"/>
    <tableColumn id="13032" xr3:uid="{5286E436-FD97-4643-AD2F-B5E275CA4097}" name="Column13001"/>
    <tableColumn id="13033" xr3:uid="{D2140BBE-839E-403F-9B30-C822A1AD51C8}" name="Column13002"/>
    <tableColumn id="13034" xr3:uid="{334C34B5-42AD-4A73-BDE1-3C626A1CFB36}" name="Column13003"/>
    <tableColumn id="13035" xr3:uid="{9048DCB4-2A9C-4765-A178-9A0575EF456D}" name="Column13004"/>
    <tableColumn id="13036" xr3:uid="{BB0E67EE-9C03-4C70-B9E4-C28DF2B6A2E4}" name="Column13005"/>
    <tableColumn id="13037" xr3:uid="{2D72EE35-80CA-4496-A472-2EE066B1334E}" name="Column13006"/>
    <tableColumn id="13038" xr3:uid="{2E3A55FF-AD52-49FA-A997-FE3D664B409A}" name="Column13007"/>
    <tableColumn id="13039" xr3:uid="{6CABF862-30DD-4F24-8CB6-08BC935F4F91}" name="Column13008"/>
    <tableColumn id="13040" xr3:uid="{EE44D0AD-9BC8-46A4-8D94-92E5BED0C663}" name="Column13009"/>
    <tableColumn id="13041" xr3:uid="{7AC93A24-CE04-47EB-BC51-D782FF43EE94}" name="Column13010"/>
    <tableColumn id="13042" xr3:uid="{5555A03F-259D-4DA1-A98F-45011CDCDDA0}" name="Column13011"/>
    <tableColumn id="13043" xr3:uid="{C7C4D53E-1937-45C0-A295-00B2FE8DC54F}" name="Column13012"/>
    <tableColumn id="13044" xr3:uid="{B9A135A5-DFAC-4B23-A0D4-6CCB09E77188}" name="Column13013"/>
    <tableColumn id="13045" xr3:uid="{6E4D1151-DBEB-4284-A6B8-09DE65846902}" name="Column13014"/>
    <tableColumn id="13046" xr3:uid="{11B524D8-463E-4E6B-BF47-A453CAFCEDC2}" name="Column13015"/>
    <tableColumn id="13047" xr3:uid="{C83A01D4-57E7-4015-BCC0-9E1664C53357}" name="Column13016"/>
    <tableColumn id="13048" xr3:uid="{592A9FD5-0E3C-495B-9966-7C2F700CA39F}" name="Column13017"/>
    <tableColumn id="13049" xr3:uid="{3408EAD9-B8F6-4F28-9291-8E4E4ADB2162}" name="Column13018"/>
    <tableColumn id="13050" xr3:uid="{1C4D366B-9E70-4DA8-9DF0-168A5E40EB96}" name="Column13019"/>
    <tableColumn id="13051" xr3:uid="{0F89DB4B-09AA-4743-BE5C-AD086E0D7F9E}" name="Column13020"/>
    <tableColumn id="13052" xr3:uid="{D0C51551-2D66-433B-B731-A13C45C654F7}" name="Column13021"/>
    <tableColumn id="13053" xr3:uid="{EA1D795B-D5C1-4632-83BC-9215C8CFA4D9}" name="Column13022"/>
    <tableColumn id="13054" xr3:uid="{3A7F8750-F984-4790-8DD8-1D860FEEFB38}" name="Column13023"/>
    <tableColumn id="13055" xr3:uid="{9ACDECB2-18D6-4AAA-A638-1067B443B64E}" name="Column13024"/>
    <tableColumn id="13056" xr3:uid="{7D688650-4667-490A-9148-2AB0184501F3}" name="Column13025"/>
    <tableColumn id="13057" xr3:uid="{0365901A-D507-4490-9D8F-4477633903BF}" name="Column13026"/>
    <tableColumn id="13058" xr3:uid="{51C3C0FA-CEC7-4843-B1F9-F6C554A78E0C}" name="Column13027"/>
    <tableColumn id="13059" xr3:uid="{733EC861-37AC-4A1E-BEB3-00C7621D8F89}" name="Column13028"/>
    <tableColumn id="13060" xr3:uid="{C9E0B795-E1DA-4CD7-86BF-650059E34D70}" name="Column13029"/>
    <tableColumn id="13061" xr3:uid="{E46183C2-5AEC-4EFC-99A5-9CBAB700C85D}" name="Column13030"/>
    <tableColumn id="13062" xr3:uid="{3B91A2FC-C0B1-4F86-9323-A23B4C602249}" name="Column13031"/>
    <tableColumn id="13063" xr3:uid="{0CF2809A-A4D4-42A7-B39B-B461250333B6}" name="Column13032"/>
    <tableColumn id="13064" xr3:uid="{9ED181EE-714A-453F-9D70-C1C96BD05CAA}" name="Column13033"/>
    <tableColumn id="13065" xr3:uid="{F8FB95FE-FA29-44A6-AD24-5E3E32DE6E8D}" name="Column13034"/>
    <tableColumn id="13066" xr3:uid="{6CAFE572-42A8-4504-936E-FE2C9B3EEBB7}" name="Column13035"/>
    <tableColumn id="13067" xr3:uid="{77E3DF94-3283-4117-8346-4F6166CE5F0A}" name="Column13036"/>
    <tableColumn id="13068" xr3:uid="{FBBC9557-CC4C-4D62-97DA-C6D6694E6CDA}" name="Column13037"/>
    <tableColumn id="13069" xr3:uid="{52DDFBF2-5B20-494D-B1CF-1A49CDF15564}" name="Column13038"/>
    <tableColumn id="13070" xr3:uid="{0570B286-49FB-4223-ABB3-96EC0FEA2DA8}" name="Column13039"/>
    <tableColumn id="13071" xr3:uid="{DC5AF2D4-8549-4CEA-BBE8-2585E50FA6BB}" name="Column13040"/>
    <tableColumn id="13072" xr3:uid="{F32530D7-20FE-434C-AEF9-05A635E07F67}" name="Column13041"/>
    <tableColumn id="13073" xr3:uid="{052B270A-1D5B-4BEE-8C65-7468377437CB}" name="Column13042"/>
    <tableColumn id="13074" xr3:uid="{ABECCB7A-7C4F-4DF9-B6BC-B60547D870C6}" name="Column13043"/>
    <tableColumn id="13075" xr3:uid="{4D9A15EB-209B-4DF6-B7C2-1321F3CDB75A}" name="Column13044"/>
    <tableColumn id="13076" xr3:uid="{A7EE7967-03D9-403C-AA15-FD87ADB4A2A6}" name="Column13045"/>
    <tableColumn id="13077" xr3:uid="{D5BB4AC6-E719-41C6-A170-20C6C0BFC995}" name="Column13046"/>
    <tableColumn id="13078" xr3:uid="{31DC773E-691F-4CE9-B1D0-8F36F3CC0925}" name="Column13047"/>
    <tableColumn id="13079" xr3:uid="{F5E322DE-1AC5-4304-871F-55748DBFEB33}" name="Column13048"/>
    <tableColumn id="13080" xr3:uid="{1B389B5B-6629-4802-8D61-0B1F86C969D0}" name="Column13049"/>
    <tableColumn id="13081" xr3:uid="{1315090C-7F7D-453F-B568-A69D174399AC}" name="Column13050"/>
    <tableColumn id="13082" xr3:uid="{5E7EB107-63D2-46E5-AFC5-E4592BC6B2CA}" name="Column13051"/>
    <tableColumn id="13083" xr3:uid="{292174E9-6C7E-488C-9050-24BDD27685DC}" name="Column13052"/>
    <tableColumn id="13084" xr3:uid="{F0B86F4A-3C83-4C78-937E-C599CF6AC09A}" name="Column13053"/>
    <tableColumn id="13085" xr3:uid="{6D242305-15F5-4287-A526-E60CF194DBEE}" name="Column13054"/>
    <tableColumn id="13086" xr3:uid="{446150F2-480F-4571-B75F-4F0652979A72}" name="Column13055"/>
    <tableColumn id="13087" xr3:uid="{283D20CA-1216-4582-B244-ED08532BFBD1}" name="Column13056"/>
    <tableColumn id="13088" xr3:uid="{7FAA36EE-C626-4D17-83A2-F63EFE699D48}" name="Column13057"/>
    <tableColumn id="13089" xr3:uid="{B633F864-C891-4A79-8798-E8556C7E0B4B}" name="Column13058"/>
    <tableColumn id="13090" xr3:uid="{BA8038C4-DC36-4BB5-95A1-7C4577A9C488}" name="Column13059"/>
    <tableColumn id="13091" xr3:uid="{BB126409-4CA7-41A5-9D4E-016AED5EA5F9}" name="Column13060"/>
    <tableColumn id="13092" xr3:uid="{3BFCD565-98A4-4875-9706-1CC97F55768A}" name="Column13061"/>
    <tableColumn id="13093" xr3:uid="{A5227EC6-7E55-4FBC-B306-5894FF5DBE11}" name="Column13062"/>
    <tableColumn id="13094" xr3:uid="{2767A7AD-41CC-4C96-B01D-ED5599D4CC3A}" name="Column13063"/>
    <tableColumn id="13095" xr3:uid="{D0F5B59F-F80C-44C5-91EA-86ECD9F0D9EA}" name="Column13064"/>
    <tableColumn id="13096" xr3:uid="{39F4999F-2802-4DD6-98C8-D1A2B82EF45F}" name="Column13065"/>
    <tableColumn id="13097" xr3:uid="{B7CB9258-55CA-4632-8F15-16E3C32E177A}" name="Column13066"/>
    <tableColumn id="13098" xr3:uid="{B2714558-A078-45DC-A693-631B348FEC10}" name="Column13067"/>
    <tableColumn id="13099" xr3:uid="{C14676E0-CE62-416C-9181-E4E1EA39AE47}" name="Column13068"/>
    <tableColumn id="13100" xr3:uid="{C5818EEC-98B3-42D8-9F73-4D4D6308EC8D}" name="Column13069"/>
    <tableColumn id="13101" xr3:uid="{652AD07D-C899-4502-9803-A5D2D4124558}" name="Column13070"/>
    <tableColumn id="13102" xr3:uid="{14A5EA5B-62C6-47EA-9668-54768192AA71}" name="Column13071"/>
    <tableColumn id="13103" xr3:uid="{FF90E04B-8227-44DC-A024-159EDCFE99A6}" name="Column13072"/>
    <tableColumn id="13104" xr3:uid="{C79233DE-A2FD-4FD6-A383-300B7639F1DB}" name="Column13073"/>
    <tableColumn id="13105" xr3:uid="{93B7D684-5EDA-4D8F-8489-9237D572EFB0}" name="Column13074"/>
    <tableColumn id="13106" xr3:uid="{0749837D-635E-44C0-8640-BCB75292A6FA}" name="Column13075"/>
    <tableColumn id="13107" xr3:uid="{52EB301E-185E-46B3-A402-DD74EE68EF8B}" name="Column13076"/>
    <tableColumn id="13108" xr3:uid="{DF8FA4F6-900D-4EF3-9FF2-436ADE225DF6}" name="Column13077"/>
    <tableColumn id="13109" xr3:uid="{20CE282D-65A3-4674-9963-E9665E8C571D}" name="Column13078"/>
    <tableColumn id="13110" xr3:uid="{CF45CE20-E008-423A-BC43-5ECEFDD0C9A5}" name="Column13079"/>
    <tableColumn id="13111" xr3:uid="{64A150D1-6F4B-4994-AB16-8EA4BC2F1125}" name="Column13080"/>
    <tableColumn id="13112" xr3:uid="{7166E5CF-819A-4939-B247-B6653D625646}" name="Column13081"/>
    <tableColumn id="13113" xr3:uid="{D4B23AE4-B892-447E-81DD-358FF3250FA1}" name="Column13082"/>
    <tableColumn id="13114" xr3:uid="{33DECBB4-5E68-4D85-B4A7-0E644E1E9CCF}" name="Column13083"/>
    <tableColumn id="13115" xr3:uid="{9AB361D9-D5ED-4B68-9494-D56B532348E8}" name="Column13084"/>
    <tableColumn id="13116" xr3:uid="{15543A1F-7077-418D-87FA-0C29138615CB}" name="Column13085"/>
    <tableColumn id="13117" xr3:uid="{4BA9CB88-15B0-4377-BD68-DFBC97ACDB28}" name="Column13086"/>
    <tableColumn id="13118" xr3:uid="{A8E8B905-C356-4AB8-B02D-2CC0858471AA}" name="Column13087"/>
    <tableColumn id="13119" xr3:uid="{271CD579-8EC6-473C-8F29-721F6AA19CDF}" name="Column13088"/>
    <tableColumn id="13120" xr3:uid="{61F3F591-5262-4928-A330-D860D4265872}" name="Column13089"/>
    <tableColumn id="13121" xr3:uid="{D09E9BA0-BC63-44DF-AF7B-468CBC8AF57E}" name="Column13090"/>
    <tableColumn id="13122" xr3:uid="{7FB75507-9109-40D8-B4D6-877DD8FE2334}" name="Column13091"/>
    <tableColumn id="13123" xr3:uid="{E46902AD-ACF2-4D95-9EE1-18D0D33F6177}" name="Column13092"/>
    <tableColumn id="13124" xr3:uid="{E96F4127-DF09-4148-9B12-DCDA888C65F6}" name="Column13093"/>
    <tableColumn id="13125" xr3:uid="{15834D4D-4766-4924-802E-9A3621EA9A2A}" name="Column13094"/>
    <tableColumn id="13126" xr3:uid="{C60A1257-F100-4DB4-B152-F922B66A266F}" name="Column13095"/>
    <tableColumn id="13127" xr3:uid="{1C0A031A-FD10-4676-9EE0-76CF77563F5A}" name="Column13096"/>
    <tableColumn id="13128" xr3:uid="{BD2AA372-8BD5-46E6-A073-A65735B3B985}" name="Column13097"/>
    <tableColumn id="13129" xr3:uid="{8BD68325-D8F0-48F9-ACAC-83A648B24898}" name="Column13098"/>
    <tableColumn id="13130" xr3:uid="{C84B65B4-A20A-44BF-93E3-F134EAE34863}" name="Column13099"/>
    <tableColumn id="13131" xr3:uid="{42985A13-1EAF-404C-BD48-E9D785E50A96}" name="Column13100"/>
    <tableColumn id="13132" xr3:uid="{CF8341B0-95BC-4E76-B4DD-5DA995B5E1E3}" name="Column13101"/>
    <tableColumn id="13133" xr3:uid="{DDD020BD-E116-4339-AA0C-FCBA6F653531}" name="Column13102"/>
    <tableColumn id="13134" xr3:uid="{C0077B40-1E3F-4755-9464-BA7FA08BD526}" name="Column13103"/>
    <tableColumn id="13135" xr3:uid="{8D579203-C7A8-41F8-9C8C-15597680635F}" name="Column13104"/>
    <tableColumn id="13136" xr3:uid="{A04C518C-D232-4CDA-B28F-8D6187248FAC}" name="Column13105"/>
    <tableColumn id="13137" xr3:uid="{A8DD710F-37AB-482D-A214-2FBD97B2541A}" name="Column13106"/>
    <tableColumn id="13138" xr3:uid="{8F78DA23-602F-4F3E-BBC8-063A43203E6B}" name="Column13107"/>
    <tableColumn id="13139" xr3:uid="{D7DA7568-F12B-40B7-86CF-EB563D8A5896}" name="Column13108"/>
    <tableColumn id="13140" xr3:uid="{85FD68A0-4A02-48CB-8E7B-CA33D653B04A}" name="Column13109"/>
    <tableColumn id="13141" xr3:uid="{B1207FB4-9995-4DB3-B26D-B1236284FDDB}" name="Column13110"/>
    <tableColumn id="13142" xr3:uid="{2F7E6BE1-B8AD-45E3-9753-3F26C9CA0F61}" name="Column13111"/>
    <tableColumn id="13143" xr3:uid="{27E0A1D2-C6A7-40AD-B7D3-56730BF037A9}" name="Column13112"/>
    <tableColumn id="13144" xr3:uid="{F701C882-A8D7-4DDA-94B3-BF8C49F2B9C3}" name="Column13113"/>
    <tableColumn id="13145" xr3:uid="{35E7A5D9-E79D-4012-B8A5-BB62BF5677AB}" name="Column13114"/>
    <tableColumn id="13146" xr3:uid="{28A955B7-F05F-4A40-8D57-3231EB0DB587}" name="Column13115"/>
    <tableColumn id="13147" xr3:uid="{73FA2587-37BC-41A3-9F7B-AA0AB2405556}" name="Column13116"/>
    <tableColumn id="13148" xr3:uid="{0B0AD8D7-358B-410A-BF06-8509E9048B1F}" name="Column13117"/>
    <tableColumn id="13149" xr3:uid="{CDC10517-E89A-4EE1-8AB8-4F90F1F9057B}" name="Column13118"/>
    <tableColumn id="13150" xr3:uid="{713E35E8-7285-4616-8AAC-B1E6C9100D30}" name="Column13119"/>
    <tableColumn id="13151" xr3:uid="{7D579110-9A8E-442A-8A38-3AC85C899BD2}" name="Column13120"/>
    <tableColumn id="13152" xr3:uid="{65824438-4998-4597-9667-AB09E8DB0686}" name="Column13121"/>
    <tableColumn id="13153" xr3:uid="{0ED02D99-2706-44B8-A43D-6C2C80DDA0FE}" name="Column13122"/>
    <tableColumn id="13154" xr3:uid="{C82937E5-D531-4177-B015-0A42F6568B7E}" name="Column13123"/>
    <tableColumn id="13155" xr3:uid="{6829898B-47DD-4F21-8A76-ADDFF45584F4}" name="Column13124"/>
    <tableColumn id="13156" xr3:uid="{8A68041A-7729-490D-BD04-C88EB0D73EE1}" name="Column13125"/>
    <tableColumn id="13157" xr3:uid="{232AB99D-603E-4292-834A-AB506DECD6E9}" name="Column13126"/>
    <tableColumn id="13158" xr3:uid="{DA7E811D-EF37-472C-BE27-305B29756F21}" name="Column13127"/>
    <tableColumn id="13159" xr3:uid="{ECF8CF7E-B201-42BB-B2F5-6844A1ABB18C}" name="Column13128"/>
    <tableColumn id="13160" xr3:uid="{1BFEB3C1-3F06-48B6-A35D-2288C14C5F71}" name="Column13129"/>
    <tableColumn id="13161" xr3:uid="{B1C0751D-9BAA-4709-A202-D4863163D883}" name="Column13130"/>
    <tableColumn id="13162" xr3:uid="{AACB06E8-C53E-4335-B168-5FE5A7CB3906}" name="Column13131"/>
    <tableColumn id="13163" xr3:uid="{D40E3AD3-CC79-4A20-AE1E-C91ECEF9CE8E}" name="Column13132"/>
    <tableColumn id="13164" xr3:uid="{08D29B35-0C97-46E9-8457-587CEE264C6A}" name="Column13133"/>
    <tableColumn id="13165" xr3:uid="{45214999-0351-499A-874C-BBC2222C5584}" name="Column13134"/>
    <tableColumn id="13166" xr3:uid="{6A7BB0EE-C7FE-410E-B9E7-7EAED70ADDAC}" name="Column13135"/>
    <tableColumn id="13167" xr3:uid="{AC8AF1E3-95E5-45B4-A256-BF60FF3B3CE9}" name="Column13136"/>
    <tableColumn id="13168" xr3:uid="{3E24C26C-1725-442C-9965-18ABF0AA02C5}" name="Column13137"/>
    <tableColumn id="13169" xr3:uid="{BB55E6D7-57DF-4440-B671-4F9B4277DF59}" name="Column13138"/>
    <tableColumn id="13170" xr3:uid="{15A66CF1-01D8-46C3-906E-C473F192397D}" name="Column13139"/>
    <tableColumn id="13171" xr3:uid="{703324AF-A2C0-4C3A-B635-F0DD320A9CD6}" name="Column13140"/>
    <tableColumn id="13172" xr3:uid="{2C943FC3-EA29-484D-A787-88EA3086744E}" name="Column13141"/>
    <tableColumn id="13173" xr3:uid="{C36002C9-87A6-4A4A-BA5C-A4CED77409CF}" name="Column13142"/>
    <tableColumn id="13174" xr3:uid="{D1411003-CBEA-4758-A119-9C5DF944E0A8}" name="Column13143"/>
    <tableColumn id="13175" xr3:uid="{7220D825-6DF9-4EF3-9B6D-FAAF8C52084E}" name="Column13144"/>
    <tableColumn id="13176" xr3:uid="{9C7A5AA5-8303-4411-9FB9-C23FC4EF0B37}" name="Column13145"/>
    <tableColumn id="13177" xr3:uid="{EC118740-B8E3-4C16-ACE6-F43E8E0F3D76}" name="Column13146"/>
    <tableColumn id="13178" xr3:uid="{EE44A58B-9AB4-4EF8-95B7-DE87824A85C6}" name="Column13147"/>
    <tableColumn id="13179" xr3:uid="{CA83A23E-1282-4156-9FA6-4685356BB3C8}" name="Column13148"/>
    <tableColumn id="13180" xr3:uid="{8DBB65A9-6807-4136-A4A3-73B27871408D}" name="Column13149"/>
    <tableColumn id="13181" xr3:uid="{CD955E89-8318-4ACB-BA4E-B2ED29C9F62F}" name="Column13150"/>
    <tableColumn id="13182" xr3:uid="{2E3EF547-4376-4697-9A1C-B1E244C6C07B}" name="Column13151"/>
    <tableColumn id="13183" xr3:uid="{EBAA87C2-3EEC-421D-800A-801C201C0D61}" name="Column13152"/>
    <tableColumn id="13184" xr3:uid="{4376E952-B31C-4750-9F9A-0E16BD393587}" name="Column13153"/>
    <tableColumn id="13185" xr3:uid="{DF7248E8-EF60-45F4-8C73-61803621BB5A}" name="Column13154"/>
    <tableColumn id="13186" xr3:uid="{E4BE5C1A-1E28-4261-B2A3-3CE435064CE6}" name="Column13155"/>
    <tableColumn id="13187" xr3:uid="{9DA7F5B8-6421-4611-8A3D-137BA4485C7E}" name="Column13156"/>
    <tableColumn id="13188" xr3:uid="{66CBBD44-FD3F-4E44-AD6F-BE027BA65C16}" name="Column13157"/>
    <tableColumn id="13189" xr3:uid="{FF3BCB50-0164-4ABF-8315-3C98CEBA0723}" name="Column13158"/>
    <tableColumn id="13190" xr3:uid="{C36C8AF5-9BFC-4A16-A4F6-C31607D53F51}" name="Column13159"/>
    <tableColumn id="13191" xr3:uid="{F9DDD670-960B-4E65-8C88-F101DAE7C4BB}" name="Column13160"/>
    <tableColumn id="13192" xr3:uid="{368DEED3-5F90-45DC-8EE8-BFF9DF0BC415}" name="Column13161"/>
    <tableColumn id="13193" xr3:uid="{BCE1B3C9-41F5-4358-B4C7-6FE6E6E30017}" name="Column13162"/>
    <tableColumn id="13194" xr3:uid="{33936D83-2E6B-4268-A922-5996F78929BD}" name="Column13163"/>
    <tableColumn id="13195" xr3:uid="{C6999987-7935-4BE5-9F18-FE0582CEE2C4}" name="Column13164"/>
    <tableColumn id="13196" xr3:uid="{3D79D908-686E-405D-AE47-CA0CAAF9F30C}" name="Column13165"/>
    <tableColumn id="13197" xr3:uid="{76A3A360-40B4-4928-BE8E-87D855EA46F4}" name="Column13166"/>
    <tableColumn id="13198" xr3:uid="{7D7CEB4B-AA95-4CAB-A2A8-30E2B8B82A9A}" name="Column13167"/>
    <tableColumn id="13199" xr3:uid="{441AF561-EA7D-4A59-8FBF-0533B94D9B8A}" name="Column13168"/>
    <tableColumn id="13200" xr3:uid="{E74B9C22-1A48-4C8F-AC91-719454B6AF1A}" name="Column13169"/>
    <tableColumn id="13201" xr3:uid="{2AEAD078-E466-447C-A464-22E954D89208}" name="Column13170"/>
    <tableColumn id="13202" xr3:uid="{2C99A9D1-7A24-48F6-8636-15A63A305ABA}" name="Column13171"/>
    <tableColumn id="13203" xr3:uid="{ECEAC0C7-AE9F-41F9-AF89-DCD990B63FF2}" name="Column13172"/>
    <tableColumn id="13204" xr3:uid="{4FCD2B5E-26B5-41C0-A1F0-B37FEA20B347}" name="Column13173"/>
    <tableColumn id="13205" xr3:uid="{BC1526E1-833D-4EB4-98B6-C0804ABA5DDE}" name="Column13174"/>
    <tableColumn id="13206" xr3:uid="{93780D07-7B99-4945-A6D3-246A1FDC0F27}" name="Column13175"/>
    <tableColumn id="13207" xr3:uid="{97B96716-85DC-48BC-AD1A-87E4338511EF}" name="Column13176"/>
    <tableColumn id="13208" xr3:uid="{CA5592B0-3A29-4EBD-80B2-E42BB8384C27}" name="Column13177"/>
    <tableColumn id="13209" xr3:uid="{09F2F6FA-94E4-4488-9B21-857B0D54C9A3}" name="Column13178"/>
    <tableColumn id="13210" xr3:uid="{76CC4E55-B6EF-406C-8793-878744857DD6}" name="Column13179"/>
    <tableColumn id="13211" xr3:uid="{BA24568D-3310-49FA-9552-77F81CD2A767}" name="Column13180"/>
    <tableColumn id="13212" xr3:uid="{840ECCC4-290A-4B42-9251-887FAB582664}" name="Column13181"/>
    <tableColumn id="13213" xr3:uid="{DC6ADA16-8840-4443-B4FB-6C98D674B3D2}" name="Column13182"/>
    <tableColumn id="13214" xr3:uid="{08D028C7-A017-46AA-96ED-4AB29421A05F}" name="Column13183"/>
    <tableColumn id="13215" xr3:uid="{E9B779F4-57E9-4A4F-BA39-052E6C1D3A3D}" name="Column13184"/>
    <tableColumn id="13216" xr3:uid="{F20D5BE7-4BAB-4AD9-9433-0249C8E76BDA}" name="Column13185"/>
    <tableColumn id="13217" xr3:uid="{E796E365-312C-4C50-A495-BA7AF72AD219}" name="Column13186"/>
    <tableColumn id="13218" xr3:uid="{47975C9D-826D-4876-B640-1C00830BD7F5}" name="Column13187"/>
    <tableColumn id="13219" xr3:uid="{68C446FD-7E40-4DB6-8B42-AFFC762AAA64}" name="Column13188"/>
    <tableColumn id="13220" xr3:uid="{257B4B53-7F61-4E16-974B-E845DFD07B11}" name="Column13189"/>
    <tableColumn id="13221" xr3:uid="{03189AC8-9088-41B2-9F7E-E06934E8509F}" name="Column13190"/>
    <tableColumn id="13222" xr3:uid="{92F40216-0366-4B5D-AFAF-3BEF062D3F69}" name="Column13191"/>
    <tableColumn id="13223" xr3:uid="{8777375F-BE3F-47A9-BD88-FB5E50A84382}" name="Column13192"/>
    <tableColumn id="13224" xr3:uid="{669B37D8-66B3-4699-8C17-9EBE9D767355}" name="Column13193"/>
    <tableColumn id="13225" xr3:uid="{CD262EF5-9EC4-42F5-AD37-7048E32591BB}" name="Column13194"/>
    <tableColumn id="13226" xr3:uid="{DB4AD1DF-FE96-4855-9C39-950807D737F8}" name="Column13195"/>
    <tableColumn id="13227" xr3:uid="{EFBB81E9-E4E8-4F77-ACDE-81B0C1A2F548}" name="Column13196"/>
    <tableColumn id="13228" xr3:uid="{BA1AB035-62AB-4CBA-8509-59D84654D65D}" name="Column13197"/>
    <tableColumn id="13229" xr3:uid="{C9DAC346-D1BB-4AC2-BE16-FB39B8A19E8E}" name="Column13198"/>
    <tableColumn id="13230" xr3:uid="{0AF549C9-93E2-4D98-B760-BF85D6CF75EA}" name="Column13199"/>
    <tableColumn id="13231" xr3:uid="{D44B5BC4-A4E0-4AC9-A65B-66BA51D406F9}" name="Column13200"/>
    <tableColumn id="13232" xr3:uid="{1612146B-DCA6-4E23-8DA3-F733179114F3}" name="Column13201"/>
    <tableColumn id="13233" xr3:uid="{37417612-8306-493A-B3AC-98EF318F9AD6}" name="Column13202"/>
    <tableColumn id="13234" xr3:uid="{41D233EB-CA7E-43E3-8771-0BF1C0F3B02D}" name="Column13203"/>
    <tableColumn id="13235" xr3:uid="{16E73FF8-73FA-48A7-AB6E-48EAEE969B27}" name="Column13204"/>
    <tableColumn id="13236" xr3:uid="{7CDA3610-EE7F-4807-8DEF-E4F9D1D5F999}" name="Column13205"/>
    <tableColumn id="13237" xr3:uid="{1C1A0096-A155-46BA-B550-E2396AFEB962}" name="Column13206"/>
    <tableColumn id="13238" xr3:uid="{CF75C679-E8C9-4E18-A09F-C1956C1B89C3}" name="Column13207"/>
    <tableColumn id="13239" xr3:uid="{FB7C9DA4-AB51-4F4A-AB1A-0697AF8BAC53}" name="Column13208"/>
    <tableColumn id="13240" xr3:uid="{D06C39C4-AF85-40C4-9678-8C2852233E06}" name="Column13209"/>
    <tableColumn id="13241" xr3:uid="{3D3FC7A4-7B18-4FB1-8B52-D73A9FC84141}" name="Column13210"/>
    <tableColumn id="13242" xr3:uid="{2DC416E4-4C62-4F61-B2B1-9B20333016DE}" name="Column13211"/>
    <tableColumn id="13243" xr3:uid="{250BB322-3833-4251-8D5E-CB0AD57F76D9}" name="Column13212"/>
    <tableColumn id="13244" xr3:uid="{FC3EA173-BB48-4D06-89EF-D69566D9B384}" name="Column13213"/>
    <tableColumn id="13245" xr3:uid="{82DDB7B4-F78C-4FED-A9EF-A971A7716FC0}" name="Column13214"/>
    <tableColumn id="13246" xr3:uid="{D334A084-B244-4882-A315-9C2B1012EAF6}" name="Column13215"/>
    <tableColumn id="13247" xr3:uid="{D7ECBF4E-0788-4798-9143-67ED5B284D62}" name="Column13216"/>
    <tableColumn id="13248" xr3:uid="{DCCC4D40-57AC-47B6-9F09-5A7FCFAAC3B6}" name="Column13217"/>
    <tableColumn id="13249" xr3:uid="{F2577300-08AA-4EA6-BB7B-450A37E6A947}" name="Column13218"/>
    <tableColumn id="13250" xr3:uid="{B2C81E98-45C8-411E-8054-E34F72BE855B}" name="Column13219"/>
    <tableColumn id="13251" xr3:uid="{EA96734B-A308-48CC-9FA6-1F8CA24393FD}" name="Column13220"/>
    <tableColumn id="13252" xr3:uid="{5D4617CA-EC47-4D71-8EAE-AF96DB8918D0}" name="Column13221"/>
    <tableColumn id="13253" xr3:uid="{D3DFEFC5-7B9A-4255-9F02-A471ADF4235A}" name="Column13222"/>
    <tableColumn id="13254" xr3:uid="{B2E94CA8-205A-48C7-9E00-70EA19BF8748}" name="Column13223"/>
    <tableColumn id="13255" xr3:uid="{9121A553-F661-44C8-87FF-9DF820252F20}" name="Column13224"/>
    <tableColumn id="13256" xr3:uid="{963586C3-164E-4721-8F90-542FBB7D64E2}" name="Column13225"/>
    <tableColumn id="13257" xr3:uid="{FCC89AD1-56A4-4399-91EB-BDBF7805F174}" name="Column13226"/>
    <tableColumn id="13258" xr3:uid="{EB4061AF-554E-4AA8-BA7C-85DEC64DC779}" name="Column13227"/>
    <tableColumn id="13259" xr3:uid="{1FDF5016-D264-4B34-B342-66F964F62063}" name="Column13228"/>
    <tableColumn id="13260" xr3:uid="{B7F3D921-FC74-4106-A1F9-A273D3846B28}" name="Column13229"/>
    <tableColumn id="13261" xr3:uid="{8909530B-12B5-4A30-9C9E-88C048C48C36}" name="Column13230"/>
    <tableColumn id="13262" xr3:uid="{958EE5B1-A7E1-4B4D-8ACD-AC1AE8CEFFB8}" name="Column13231"/>
    <tableColumn id="13263" xr3:uid="{BADDCF7D-B748-47A7-95EA-02DCABABC65D}" name="Column13232"/>
    <tableColumn id="13264" xr3:uid="{E0186930-9E56-45C0-B4A2-653D1EC76C85}" name="Column13233"/>
    <tableColumn id="13265" xr3:uid="{DB09290D-51D0-482E-AFAB-8134BF1E6777}" name="Column13234"/>
    <tableColumn id="13266" xr3:uid="{64A39869-E6BE-4226-9944-07DAB5FF93C6}" name="Column13235"/>
    <tableColumn id="13267" xr3:uid="{D4514BDA-7838-47FD-8F9A-8E37B46BCA73}" name="Column13236"/>
    <tableColumn id="13268" xr3:uid="{D12CB973-1F0D-41ED-A923-A34F6A6638EB}" name="Column13237"/>
    <tableColumn id="13269" xr3:uid="{BFFEF07E-65D9-4422-8F39-BCCE73ED3C96}" name="Column13238"/>
    <tableColumn id="13270" xr3:uid="{BB325477-C86A-412D-BC12-0142B46053E0}" name="Column13239"/>
    <tableColumn id="13271" xr3:uid="{0067C60C-7FBB-4851-A2B3-CF04FDF250FD}" name="Column13240"/>
    <tableColumn id="13272" xr3:uid="{143D49BE-015E-40A6-8868-66390D6868CA}" name="Column13241"/>
    <tableColumn id="13273" xr3:uid="{32BB0913-82A0-43A2-BE03-1D3DCC61551F}" name="Column13242"/>
    <tableColumn id="13274" xr3:uid="{28F9E576-8157-4355-854E-1455B76A059F}" name="Column13243"/>
    <tableColumn id="13275" xr3:uid="{1F65A5FF-F575-4026-804E-2BEEBDEC5A6E}" name="Column13244"/>
    <tableColumn id="13276" xr3:uid="{E8FA0913-D817-4031-B775-3596967042A1}" name="Column13245"/>
    <tableColumn id="13277" xr3:uid="{28D8B38C-7AE8-498C-B666-65CE6D0BEA57}" name="Column13246"/>
    <tableColumn id="13278" xr3:uid="{DCFC1E59-A8F9-4C98-A75B-137FDD448C59}" name="Column13247"/>
    <tableColumn id="13279" xr3:uid="{DE585EDD-D191-4E4A-828F-C2BBF62C6278}" name="Column13248"/>
    <tableColumn id="13280" xr3:uid="{0FDDBEE5-8C13-46BF-8889-453EB1A1D4FA}" name="Column13249"/>
    <tableColumn id="13281" xr3:uid="{09CD6A35-F827-4300-B005-C031B2AB7483}" name="Column13250"/>
    <tableColumn id="13282" xr3:uid="{B322AD67-E33A-476A-88F6-3FA5791204BF}" name="Column13251"/>
    <tableColumn id="13283" xr3:uid="{141D8565-6870-4459-BBB4-F0ECCB5A320F}" name="Column13252"/>
    <tableColumn id="13284" xr3:uid="{B74D041C-1945-4280-82EC-4DA3C829B5B6}" name="Column13253"/>
    <tableColumn id="13285" xr3:uid="{E923730C-186C-46AF-973B-9F329B3EC850}" name="Column13254"/>
    <tableColumn id="13286" xr3:uid="{6C9153FC-D7AF-41CC-9CAB-159C68CBC661}" name="Column13255"/>
    <tableColumn id="13287" xr3:uid="{57BE77AD-FF4B-42D8-B1EF-A9E2B0AB00F8}" name="Column13256"/>
    <tableColumn id="13288" xr3:uid="{3B06EE6F-89DA-490B-BA7E-04C25DC16B4C}" name="Column13257"/>
    <tableColumn id="13289" xr3:uid="{E4181143-586C-4659-9837-663E460B3619}" name="Column13258"/>
    <tableColumn id="13290" xr3:uid="{3B53AB22-DF6F-4CDC-90EC-9BC605983969}" name="Column13259"/>
    <tableColumn id="13291" xr3:uid="{91CEBF5E-8BDB-4C9D-90C9-E9B20040A071}" name="Column13260"/>
    <tableColumn id="13292" xr3:uid="{40B0D04F-D5B9-41A3-AA6C-A864B84D73F7}" name="Column13261"/>
    <tableColumn id="13293" xr3:uid="{69AF6A0E-6F38-41A7-8E2E-723399C49FA7}" name="Column13262"/>
    <tableColumn id="13294" xr3:uid="{04D9E7B6-2984-4DFA-BA9F-0B7D5F39D41C}" name="Column13263"/>
    <tableColumn id="13295" xr3:uid="{9449CC48-2C72-44C3-8844-DCB2536DF38F}" name="Column13264"/>
    <tableColumn id="13296" xr3:uid="{2A1B3486-FFB9-4082-94B2-D5BF4A735581}" name="Column13265"/>
    <tableColumn id="13297" xr3:uid="{FB473ED4-17C4-4292-B64D-589D5DA535B0}" name="Column13266"/>
    <tableColumn id="13298" xr3:uid="{1D0B15AC-2A06-4842-A727-C0208A6B762E}" name="Column13267"/>
    <tableColumn id="13299" xr3:uid="{28675FA8-A92D-431B-9C16-A69C87258189}" name="Column13268"/>
    <tableColumn id="13300" xr3:uid="{38FE99D9-A575-4725-8B77-A6CF5399D9C0}" name="Column13269"/>
    <tableColumn id="13301" xr3:uid="{02DB8EF7-6909-4693-B760-63DBC1AAF8DB}" name="Column13270"/>
    <tableColumn id="13302" xr3:uid="{4A6B943F-40A8-430E-9DF2-4DEAB3F51430}" name="Column13271"/>
    <tableColumn id="13303" xr3:uid="{7C2FB89C-35C3-4612-8E16-8077953A3270}" name="Column13272"/>
    <tableColumn id="13304" xr3:uid="{94E38FEA-13B0-4433-B41F-2CDBE4AFAC81}" name="Column13273"/>
    <tableColumn id="13305" xr3:uid="{BD14A444-9BD6-4518-9CA6-058D749A4DB1}" name="Column13274"/>
    <tableColumn id="13306" xr3:uid="{5BF19B34-33AA-4D18-80E8-52B5CC5AD387}" name="Column13275"/>
    <tableColumn id="13307" xr3:uid="{D40378EA-D50C-4C8E-A84A-E37DA431C6C2}" name="Column13276"/>
    <tableColumn id="13308" xr3:uid="{314B55A3-C67A-44B0-BA1C-858F5BED958B}" name="Column13277"/>
    <tableColumn id="13309" xr3:uid="{12A4F491-A2FC-4E16-B842-8319D2CA3312}" name="Column13278"/>
    <tableColumn id="13310" xr3:uid="{29EDF154-4C7D-4946-8065-20F77365A6AF}" name="Column13279"/>
    <tableColumn id="13311" xr3:uid="{AB5DAC5D-E618-4460-8E0A-C60657DA5E16}" name="Column13280"/>
    <tableColumn id="13312" xr3:uid="{231F4CF0-789B-46A3-AFC0-CAE013C53625}" name="Column13281"/>
    <tableColumn id="13313" xr3:uid="{6FD8C4EB-31C7-4724-84DB-E3D62B7D8AC6}" name="Column13282"/>
    <tableColumn id="13314" xr3:uid="{F9991215-0159-4F64-B0A5-0FC055F9231D}" name="Column13283"/>
    <tableColumn id="13315" xr3:uid="{2465ECD8-9AC2-4BD5-BC88-5348AE75AACE}" name="Column13284"/>
    <tableColumn id="13316" xr3:uid="{AB562DBD-AC5A-4939-A237-5848E04FF543}" name="Column13285"/>
    <tableColumn id="13317" xr3:uid="{C67DDD8A-5681-400C-8640-FECB7527EA6A}" name="Column13286"/>
    <tableColumn id="13318" xr3:uid="{D51C0303-8D7A-4981-AD68-1EAA9EE13720}" name="Column13287"/>
    <tableColumn id="13319" xr3:uid="{6869C4B8-022B-4C9A-8872-1C2169F48395}" name="Column13288"/>
    <tableColumn id="13320" xr3:uid="{1F04389C-4183-4AAE-8E71-DE008F7FF4A5}" name="Column13289"/>
    <tableColumn id="13321" xr3:uid="{F3A8AC97-0A1C-4C68-B87F-E4DCE9369EC0}" name="Column13290"/>
    <tableColumn id="13322" xr3:uid="{985E29B9-D980-4938-8D60-3821363466A7}" name="Column13291"/>
    <tableColumn id="13323" xr3:uid="{90AF6CF1-EC2D-4BFE-A839-966D90D8E471}" name="Column13292"/>
    <tableColumn id="13324" xr3:uid="{8A496EB2-E590-4082-B58E-7B5D3D2B1934}" name="Column13293"/>
    <tableColumn id="13325" xr3:uid="{44CD7BD9-F3A6-497D-8D1A-0635A92D74E9}" name="Column13294"/>
    <tableColumn id="13326" xr3:uid="{72BE0860-749F-4180-ADD2-4A09A9959E68}" name="Column13295"/>
    <tableColumn id="13327" xr3:uid="{E99D0DDB-22AA-49B6-8125-F9DEAC5AC576}" name="Column13296"/>
    <tableColumn id="13328" xr3:uid="{2EF8BB60-66B6-42FD-BADF-0BCE8C08483F}" name="Column13297"/>
    <tableColumn id="13329" xr3:uid="{952C9B49-5DDD-400C-844E-D9E7A6B976ED}" name="Column13298"/>
    <tableColumn id="13330" xr3:uid="{AB05248C-B80E-436F-945C-43E90D6D2546}" name="Column13299"/>
    <tableColumn id="13331" xr3:uid="{8B561603-8180-4C42-9FBE-5FE04EBBD89F}" name="Column13300"/>
    <tableColumn id="13332" xr3:uid="{F6753D83-C1F9-40EF-873A-8BFAB67E503B}" name="Column13301"/>
    <tableColumn id="13333" xr3:uid="{007B3F14-ACFA-4099-B144-ACEE1F09F323}" name="Column13302"/>
    <tableColumn id="13334" xr3:uid="{32EAC1E1-89BE-4FE0-B93A-9BCB733D0612}" name="Column13303"/>
    <tableColumn id="13335" xr3:uid="{EF6323A7-2350-4D1D-84C8-583ACB705AF2}" name="Column13304"/>
    <tableColumn id="13336" xr3:uid="{C1872EE6-0EE8-4C11-8252-DD4811B5AC5E}" name="Column13305"/>
    <tableColumn id="13337" xr3:uid="{715D8ED6-8D6E-41F3-BA10-191A9C54C61A}" name="Column13306"/>
    <tableColumn id="13338" xr3:uid="{5A012A67-9692-4E78-A384-B4D5FA9BBFD2}" name="Column13307"/>
    <tableColumn id="13339" xr3:uid="{BEF5100B-3803-4EA0-8183-AC57A45683AF}" name="Column13308"/>
    <tableColumn id="13340" xr3:uid="{D2EE55C1-897A-441D-8B94-013EBABF9407}" name="Column13309"/>
    <tableColumn id="13341" xr3:uid="{BD4EA9BE-D02A-4239-A926-6F1FD203D485}" name="Column13310"/>
    <tableColumn id="13342" xr3:uid="{2A71818B-251A-4C9A-B58E-E6AB307C584F}" name="Column13311"/>
    <tableColumn id="13343" xr3:uid="{811E847D-3A1F-4FAC-856F-7A00E8F4C1D6}" name="Column13312"/>
    <tableColumn id="13344" xr3:uid="{3B6BAAC2-2FAF-44FE-9857-5D513F51B0C3}" name="Column13313"/>
    <tableColumn id="13345" xr3:uid="{3EF6D709-D63F-4E86-A358-47B9167831B5}" name="Column13314"/>
    <tableColumn id="13346" xr3:uid="{41578184-5821-4411-89AF-CC704711DFB6}" name="Column13315"/>
    <tableColumn id="13347" xr3:uid="{B90FFB66-44A2-4ED3-B0B0-BAD48BE6F898}" name="Column13316"/>
    <tableColumn id="13348" xr3:uid="{26EB57B2-4275-4776-AFD1-0345662043B8}" name="Column13317"/>
    <tableColumn id="13349" xr3:uid="{451D0A3B-B8C7-4BD7-8064-266DD446B9A9}" name="Column13318"/>
    <tableColumn id="13350" xr3:uid="{9850F9FD-4B7D-4970-BD26-037F60016AD7}" name="Column13319"/>
    <tableColumn id="13351" xr3:uid="{30948BEA-8C54-4C18-95B3-2D9FE69F98DF}" name="Column13320"/>
    <tableColumn id="13352" xr3:uid="{A8E1B976-E8F3-493E-B4A9-4F69FB0F7B0F}" name="Column13321"/>
    <tableColumn id="13353" xr3:uid="{4603D3CA-5F54-42C7-A070-02141BA00F5A}" name="Column13322"/>
    <tableColumn id="13354" xr3:uid="{A936334F-155B-4058-B977-1A807EDE7122}" name="Column13323"/>
    <tableColumn id="13355" xr3:uid="{675B860F-A390-4227-A89D-FA467CC1405D}" name="Column13324"/>
    <tableColumn id="13356" xr3:uid="{907572C8-265E-47D1-A319-9BF583C00D7C}" name="Column13325"/>
    <tableColumn id="13357" xr3:uid="{9584AEB7-6DC4-4BEE-BAC1-91DD7DF0E381}" name="Column13326"/>
    <tableColumn id="13358" xr3:uid="{66A6C3CE-FDA8-462E-9781-52009C77072E}" name="Column13327"/>
    <tableColumn id="13359" xr3:uid="{A89E142A-0F8D-4A0D-9FB9-2E580146EEB3}" name="Column13328"/>
    <tableColumn id="13360" xr3:uid="{3F2D18C9-ABBE-4B7A-A8A9-632A850D549C}" name="Column13329"/>
    <tableColumn id="13361" xr3:uid="{D17A5FB0-A3F9-4660-8896-8FBC56BBFB86}" name="Column13330"/>
    <tableColumn id="13362" xr3:uid="{F6EEF65C-67AC-48C3-8354-285D32A0F80A}" name="Column13331"/>
    <tableColumn id="13363" xr3:uid="{BB34AD91-75B6-4735-95E6-FAB27FAFC999}" name="Column13332"/>
    <tableColumn id="13364" xr3:uid="{C227ADF7-4BE6-4156-ACAC-73C6E66A09F9}" name="Column13333"/>
    <tableColumn id="13365" xr3:uid="{E73E51AD-137A-40BC-B3C5-7EBCC9C4B478}" name="Column13334"/>
    <tableColumn id="13366" xr3:uid="{358A69F2-993F-4E46-ACD8-B107AB6B895B}" name="Column13335"/>
    <tableColumn id="13367" xr3:uid="{CBDFDAC3-DA12-4B70-9FD6-F290F9F20F28}" name="Column13336"/>
    <tableColumn id="13368" xr3:uid="{B105685E-FF19-4A92-96AD-51AC2AC97DD1}" name="Column13337"/>
    <tableColumn id="13369" xr3:uid="{BB4D85BE-7511-418D-8917-A56AB30F0FEB}" name="Column13338"/>
    <tableColumn id="13370" xr3:uid="{F45450A8-87A3-40A3-95BB-89A3FB50A1EF}" name="Column13339"/>
    <tableColumn id="13371" xr3:uid="{A2F9D36C-9241-4A59-851E-C55A1634F403}" name="Column13340"/>
    <tableColumn id="13372" xr3:uid="{EFA615B4-68F4-4A36-8993-DD1A2C0A8E3A}" name="Column13341"/>
    <tableColumn id="13373" xr3:uid="{C785F7E4-8FAB-49E9-A278-548CAB23251D}" name="Column13342"/>
    <tableColumn id="13374" xr3:uid="{620DDE48-DE9E-4875-B5AD-41D70352C549}" name="Column13343"/>
    <tableColumn id="13375" xr3:uid="{CC066363-BC1D-4684-A2A7-41B632AC3A79}" name="Column13344"/>
    <tableColumn id="13376" xr3:uid="{156D67E9-5255-431C-BB65-AA12CB36BF3C}" name="Column13345"/>
    <tableColumn id="13377" xr3:uid="{05E11ED9-C108-4830-AA5D-AE377151617E}" name="Column13346"/>
    <tableColumn id="13378" xr3:uid="{A225EFF2-E4F7-4C9C-92FE-56AFB47E2118}" name="Column13347"/>
    <tableColumn id="13379" xr3:uid="{72C7A9C1-E6F8-496A-9202-81A20A37B428}" name="Column13348"/>
    <tableColumn id="13380" xr3:uid="{E3A46496-5E2C-4261-83BF-485EA3CEE7CB}" name="Column13349"/>
    <tableColumn id="13381" xr3:uid="{CBE10D7C-4CF9-4DF4-BC16-A45478A12C45}" name="Column13350"/>
    <tableColumn id="13382" xr3:uid="{1BAD0268-798E-4B01-8F24-D1C3E87DDA9A}" name="Column13351"/>
    <tableColumn id="13383" xr3:uid="{3EF405C2-2A17-46BF-ABE2-D65905C86F66}" name="Column13352"/>
    <tableColumn id="13384" xr3:uid="{25F0121E-1A7A-40C8-8D11-1652A77CD473}" name="Column13353"/>
    <tableColumn id="13385" xr3:uid="{91A87576-271B-4275-80C3-0F8E3A9FEE53}" name="Column13354"/>
    <tableColumn id="13386" xr3:uid="{4FF4C5E1-4FE5-4053-804B-77EC58CEA057}" name="Column13355"/>
    <tableColumn id="13387" xr3:uid="{5F7ED691-CAC1-47A3-8E6D-C91258E8B1D6}" name="Column13356"/>
    <tableColumn id="13388" xr3:uid="{01E9FBBB-AC52-43E0-A3A3-5FB06B0E5F5C}" name="Column13357"/>
    <tableColumn id="13389" xr3:uid="{D9593A47-7A22-43B4-BE1E-BB29B861495A}" name="Column13358"/>
    <tableColumn id="13390" xr3:uid="{671672BE-AB9A-4481-AD14-25A715AC9B18}" name="Column13359"/>
    <tableColumn id="13391" xr3:uid="{4C9C9B70-C282-44A2-BE80-4C50CD42A31C}" name="Column13360"/>
    <tableColumn id="13392" xr3:uid="{DA606E9B-C6B9-4212-8FB3-4F02273A1A77}" name="Column13361"/>
    <tableColumn id="13393" xr3:uid="{9F22BD08-F4A2-4B4E-A8B7-B0A35CF7C666}" name="Column13362"/>
    <tableColumn id="13394" xr3:uid="{8E0255AE-28D2-4308-ADA9-4B78F82F3711}" name="Column13363"/>
    <tableColumn id="13395" xr3:uid="{885C79B8-C325-4DE4-833C-55854E5BA149}" name="Column13364"/>
    <tableColumn id="13396" xr3:uid="{7E47A787-F1EB-4DB3-918D-36CAC6E75D37}" name="Column13365"/>
    <tableColumn id="13397" xr3:uid="{AD74CFD5-EE77-4EB3-A39C-1D472E558278}" name="Column13366"/>
    <tableColumn id="13398" xr3:uid="{3EBAFD3D-8F74-49E9-932D-85C3E729CE49}" name="Column13367"/>
    <tableColumn id="13399" xr3:uid="{FD236A30-E7F6-447D-BCE1-0CDC547EF0E2}" name="Column13368"/>
    <tableColumn id="13400" xr3:uid="{ED3C353B-EB7C-4E19-B17B-1901BD225A24}" name="Column13369"/>
    <tableColumn id="13401" xr3:uid="{5281004B-22D6-41FD-B794-B8C94839D0C1}" name="Column13370"/>
    <tableColumn id="13402" xr3:uid="{39C2C879-2545-4E21-9121-C8A62EDB02E2}" name="Column13371"/>
    <tableColumn id="13403" xr3:uid="{3815B9F7-4BB5-41EE-8BA2-55042BE6F7D2}" name="Column13372"/>
    <tableColumn id="13404" xr3:uid="{47BE4260-7873-4D31-A5A0-1F530033E959}" name="Column13373"/>
    <tableColumn id="13405" xr3:uid="{E8383FEE-8306-4990-9FE3-F5F7880DCCC0}" name="Column13374"/>
    <tableColumn id="13406" xr3:uid="{95D20BA2-70A2-4944-A2D4-8E342E9A2F15}" name="Column13375"/>
    <tableColumn id="13407" xr3:uid="{91935257-8464-42AB-AD3B-4C808BDA310A}" name="Column13376"/>
    <tableColumn id="13408" xr3:uid="{530FA055-949C-4C87-9F04-8F897CBDF767}" name="Column13377"/>
    <tableColumn id="13409" xr3:uid="{F8D42853-C5D5-4DD5-8D9D-56A668AD45AE}" name="Column13378"/>
    <tableColumn id="13410" xr3:uid="{A5BD2339-EEAA-4E42-ABA3-9054D1519319}" name="Column13379"/>
    <tableColumn id="13411" xr3:uid="{D881553B-CCB5-425A-8EA2-35F3E1A233D8}" name="Column13380"/>
    <tableColumn id="13412" xr3:uid="{AA848071-4BA9-4B54-8B7A-64A0C5FB2647}" name="Column13381"/>
    <tableColumn id="13413" xr3:uid="{4E6AF585-7D89-4947-8DEC-17024220FC19}" name="Column13382"/>
    <tableColumn id="13414" xr3:uid="{0C80C5E8-0165-4B89-97F0-B537B836C214}" name="Column13383"/>
    <tableColumn id="13415" xr3:uid="{27A3BF59-561A-49C5-A1B7-8A46BC0118DF}" name="Column13384"/>
    <tableColumn id="13416" xr3:uid="{2F0D34F7-C446-4D6A-9488-0F94C18DA8C4}" name="Column13385"/>
    <tableColumn id="13417" xr3:uid="{D918ADB2-AEE6-4438-BE9B-B5297C062E8E}" name="Column13386"/>
    <tableColumn id="13418" xr3:uid="{7DE4492E-C3A3-4938-B53B-B40A9C08A1E3}" name="Column13387"/>
    <tableColumn id="13419" xr3:uid="{CDAF2E53-49C6-42BF-A22B-2E8C7AC727C6}" name="Column13388"/>
    <tableColumn id="13420" xr3:uid="{B5D5F8D8-9BD8-4B07-AF13-128F5975027C}" name="Column13389"/>
    <tableColumn id="13421" xr3:uid="{BAB60417-C107-42D8-8FFB-DF1C93FFBAD4}" name="Column13390"/>
    <tableColumn id="13422" xr3:uid="{BBB47CAE-3A54-44D5-88AA-BF76AD2EA00A}" name="Column13391"/>
    <tableColumn id="13423" xr3:uid="{F3BE41BF-9A14-40CA-A493-D0CBA2A70226}" name="Column13392"/>
    <tableColumn id="13424" xr3:uid="{4A003448-0D5F-46BE-A941-55D6C6575FA5}" name="Column13393"/>
    <tableColumn id="13425" xr3:uid="{9E4B65A7-552A-493A-B846-2C481C44CD20}" name="Column13394"/>
    <tableColumn id="13426" xr3:uid="{D2788326-A1C1-4E69-9DDB-28595A90DDCE}" name="Column13395"/>
    <tableColumn id="13427" xr3:uid="{FCE74941-3E2E-4481-959E-0DB1E062A944}" name="Column13396"/>
    <tableColumn id="13428" xr3:uid="{6A21B8AB-CA88-4EE5-AB0D-D4E6440FDD6D}" name="Column13397"/>
    <tableColumn id="13429" xr3:uid="{AD81BE22-7F0F-4FC8-A8A7-8C92DF8C1D3E}" name="Column13398"/>
    <tableColumn id="13430" xr3:uid="{3D19E87C-D07D-48B8-BDD7-861C59AF2B44}" name="Column13399"/>
    <tableColumn id="13431" xr3:uid="{1F7461A7-3A40-452F-B500-F55A63143875}" name="Column13400"/>
    <tableColumn id="13432" xr3:uid="{8DEC0E27-BB5B-432B-934E-11E0A2ABF54E}" name="Column13401"/>
    <tableColumn id="13433" xr3:uid="{520A640F-0ED0-4148-9C35-E8874531FF58}" name="Column13402"/>
    <tableColumn id="13434" xr3:uid="{1E82A7CE-E1EF-40E6-8149-578D55006B09}" name="Column13403"/>
    <tableColumn id="13435" xr3:uid="{4D84259B-92DA-410E-802F-79366C1C346D}" name="Column13404"/>
    <tableColumn id="13436" xr3:uid="{2F625B31-C73A-4C60-8A7D-E9DB09C4964E}" name="Column13405"/>
    <tableColumn id="13437" xr3:uid="{20C71DBC-D553-46C7-A0FC-D90F2C77E97E}" name="Column13406"/>
    <tableColumn id="13438" xr3:uid="{C6D6911C-ED84-4910-BC90-A8472C4ABC3B}" name="Column13407"/>
    <tableColumn id="13439" xr3:uid="{FB1A8E22-D51E-492A-8A30-0C55D51DA987}" name="Column13408"/>
    <tableColumn id="13440" xr3:uid="{2FEF50E2-90DE-41DD-AAB6-47712F77393C}" name="Column13409"/>
    <tableColumn id="13441" xr3:uid="{958903C5-B58B-4A81-AFD8-A5AB73C2ADFE}" name="Column13410"/>
    <tableColumn id="13442" xr3:uid="{7DD3008A-5B64-44E2-83C8-3AC38ED804DB}" name="Column13411"/>
    <tableColumn id="13443" xr3:uid="{3169A3DA-7ABE-4182-9249-7FABD18A9538}" name="Column13412"/>
    <tableColumn id="13444" xr3:uid="{F79FC027-0CF5-4D82-9931-2F74C1609092}" name="Column13413"/>
    <tableColumn id="13445" xr3:uid="{F021A9A5-CB57-4812-A8CA-FB0129E71C5A}" name="Column13414"/>
    <tableColumn id="13446" xr3:uid="{04968F77-E299-4BC1-9946-A67C0CE7652C}" name="Column13415"/>
    <tableColumn id="13447" xr3:uid="{CBBE3DCC-5210-4FA6-860E-145B9ABA54FE}" name="Column13416"/>
    <tableColumn id="13448" xr3:uid="{BB1D9C07-4632-47D5-B3E0-7F1A2CC4CB80}" name="Column13417"/>
    <tableColumn id="13449" xr3:uid="{D4521F7E-6EB6-450B-923F-F9EE5A1FD980}" name="Column13418"/>
    <tableColumn id="13450" xr3:uid="{380FA079-0399-47C5-84AA-475A0D27ABB6}" name="Column13419"/>
    <tableColumn id="13451" xr3:uid="{4ADD8253-AA75-40EE-BFE2-B54A95512BF7}" name="Column13420"/>
    <tableColumn id="13452" xr3:uid="{F431F576-1B77-456A-98A2-3DB6ACA5A7A1}" name="Column13421"/>
    <tableColumn id="13453" xr3:uid="{CAB16168-C8D5-4189-A429-EA0D17810CDC}" name="Column13422"/>
    <tableColumn id="13454" xr3:uid="{3006C9B6-ADBE-45F5-A0FC-93F21E917742}" name="Column13423"/>
    <tableColumn id="13455" xr3:uid="{8C3038F5-FC87-46FB-BFEE-29159296C398}" name="Column13424"/>
    <tableColumn id="13456" xr3:uid="{59A0165C-54E4-4B84-9DC9-D14BF258FB91}" name="Column13425"/>
    <tableColumn id="13457" xr3:uid="{3AAC2CDC-0D8A-4C9B-951D-B86444205762}" name="Column13426"/>
    <tableColumn id="13458" xr3:uid="{69B68B25-0042-47E7-8136-F575822B6431}" name="Column13427"/>
    <tableColumn id="13459" xr3:uid="{B4607141-A22E-49DC-9D3D-707E8623DC84}" name="Column13428"/>
    <tableColumn id="13460" xr3:uid="{1F48DC03-D9BB-4A36-AFA6-4D7796D8134F}" name="Column13429"/>
    <tableColumn id="13461" xr3:uid="{110F3732-F930-41B4-BC42-9487A5D6E53F}" name="Column13430"/>
    <tableColumn id="13462" xr3:uid="{9E48A0EB-90D8-4518-82FE-C834C21C8870}" name="Column13431"/>
    <tableColumn id="13463" xr3:uid="{A4545032-81F4-4064-907F-09C6AF466C4D}" name="Column13432"/>
    <tableColumn id="13464" xr3:uid="{01482D69-7E81-480E-9098-408A45B7FB23}" name="Column13433"/>
    <tableColumn id="13465" xr3:uid="{F63F5FA9-1A9B-46B9-9E4C-4D8006B5642B}" name="Column13434"/>
    <tableColumn id="13466" xr3:uid="{0F7B477B-EC61-4940-B3FB-5F56743FA2EB}" name="Column13435"/>
    <tableColumn id="13467" xr3:uid="{485B363E-1B59-4D06-855E-EECA5E29D711}" name="Column13436"/>
    <tableColumn id="13468" xr3:uid="{1DE63BC8-CB91-4829-B06B-DE8C8C96D3DC}" name="Column13437"/>
    <tableColumn id="13469" xr3:uid="{442805B3-DCAE-40CE-AAA9-6EBE67FF105F}" name="Column13438"/>
    <tableColumn id="13470" xr3:uid="{EDBE1EC7-F4F3-4DBC-9FBF-1B7A5F50A437}" name="Column13439"/>
    <tableColumn id="13471" xr3:uid="{F058AB35-29C7-4AA8-855C-720964660DB3}" name="Column13440"/>
    <tableColumn id="13472" xr3:uid="{293F67E3-2D44-416F-8DF5-5B7B22CA632A}" name="Column13441"/>
    <tableColumn id="13473" xr3:uid="{E87B7451-B747-4ECC-86D5-FACB7927A929}" name="Column13442"/>
    <tableColumn id="13474" xr3:uid="{DACCB903-3DA3-4410-B4A4-1BDDDD314DC1}" name="Column13443"/>
    <tableColumn id="13475" xr3:uid="{D459A556-E30A-4D3B-86B0-DA416B4B17B5}" name="Column13444"/>
    <tableColumn id="13476" xr3:uid="{554DAC94-812B-4D62-9134-06FE8817F5B8}" name="Column13445"/>
    <tableColumn id="13477" xr3:uid="{6F5893D5-EB9D-49EE-9DA9-99920135FA36}" name="Column13446"/>
    <tableColumn id="13478" xr3:uid="{DEF78D30-D2A1-484A-88AC-6FE964AE583E}" name="Column13447"/>
    <tableColumn id="13479" xr3:uid="{6CB6EFE8-37EA-4AA9-A849-40C437C47A08}" name="Column13448"/>
    <tableColumn id="13480" xr3:uid="{55753564-83C8-4AAC-B5BB-4CC55F8583DC}" name="Column13449"/>
    <tableColumn id="13481" xr3:uid="{81FCC40B-0342-4383-AE4C-5D87AFBABE8A}" name="Column13450"/>
    <tableColumn id="13482" xr3:uid="{846EA5D4-F004-4ED9-A193-A97FFD05CFE1}" name="Column13451"/>
    <tableColumn id="13483" xr3:uid="{BAEED122-565E-40D6-8491-052FFAEC59EB}" name="Column13452"/>
    <tableColumn id="13484" xr3:uid="{4CBF5EC8-BA05-4F2D-91B9-AD416B627CF6}" name="Column13453"/>
    <tableColumn id="13485" xr3:uid="{BD34AB7D-F0CA-416B-8762-1CE691009A6F}" name="Column13454"/>
    <tableColumn id="13486" xr3:uid="{7C8E8759-BA7B-426D-8EC0-CC2D396BDBCC}" name="Column13455"/>
    <tableColumn id="13487" xr3:uid="{C27EB548-482A-4C35-AF01-EE60B571DC9D}" name="Column13456"/>
    <tableColumn id="13488" xr3:uid="{5FCCDD09-A80F-49B3-888B-3A6428D22838}" name="Column13457"/>
    <tableColumn id="13489" xr3:uid="{D136BE15-F132-4776-BF9E-AFAD696807EC}" name="Column13458"/>
    <tableColumn id="13490" xr3:uid="{6ACB87E6-056D-4CC8-A764-7EFF20010FF1}" name="Column13459"/>
    <tableColumn id="13491" xr3:uid="{5BD09FF9-D99A-4B4B-997B-288213AC0F0C}" name="Column13460"/>
    <tableColumn id="13492" xr3:uid="{F9568984-6AD7-4C6F-B864-D18893257B50}" name="Column13461"/>
    <tableColumn id="13493" xr3:uid="{47F5B7D4-7B67-4B5A-996B-C713B221EEF5}" name="Column13462"/>
    <tableColumn id="13494" xr3:uid="{2E88C7D3-64EC-46DE-A7C1-59B0BA299F88}" name="Column13463"/>
    <tableColumn id="13495" xr3:uid="{B422A1BA-C7CB-4CA5-9373-9DD229FAF635}" name="Column13464"/>
    <tableColumn id="13496" xr3:uid="{8DFC7B4E-5842-4089-A0AE-681185171876}" name="Column13465"/>
    <tableColumn id="13497" xr3:uid="{D2B53E9A-0D25-4E86-948D-31B863CF66AE}" name="Column13466"/>
    <tableColumn id="13498" xr3:uid="{A041DB3F-3D17-4C88-93D6-2F2A107797CC}" name="Column13467"/>
    <tableColumn id="13499" xr3:uid="{3B79B6C5-AFB6-48B0-8DE3-30BC872B3450}" name="Column13468"/>
    <tableColumn id="13500" xr3:uid="{58AE17C8-AABF-4DDE-B5F3-210532DEA898}" name="Column13469"/>
    <tableColumn id="13501" xr3:uid="{B1EAC169-69BA-4ECD-AF4A-7DD821DA357D}" name="Column13470"/>
    <tableColumn id="13502" xr3:uid="{E4D9109F-519C-4897-9653-1BF96E0BBF94}" name="Column13471"/>
    <tableColumn id="13503" xr3:uid="{C594D68D-93C0-4F16-B3DA-3462B7F64123}" name="Column13472"/>
    <tableColumn id="13504" xr3:uid="{643D3368-BE8C-4AB4-8D38-3CE5CBB8818D}" name="Column13473"/>
    <tableColumn id="13505" xr3:uid="{B5879ED3-D247-4303-ABF6-6EA2731BA1D1}" name="Column13474"/>
    <tableColumn id="13506" xr3:uid="{35D9526F-F4F2-447F-8038-02D7AB2E839E}" name="Column13475"/>
    <tableColumn id="13507" xr3:uid="{2573171C-85DD-4479-BE76-7E20382B1692}" name="Column13476"/>
    <tableColumn id="13508" xr3:uid="{0690595D-CD84-4A22-B196-59CC54C6886B}" name="Column13477"/>
    <tableColumn id="13509" xr3:uid="{9E787A31-F7A1-4EEF-A15C-B64237171A3B}" name="Column13478"/>
    <tableColumn id="13510" xr3:uid="{3FFA0582-7B39-48F4-A03D-72E0B9C518B6}" name="Column13479"/>
    <tableColumn id="13511" xr3:uid="{02CD4040-EC10-4CB4-A855-A2BBE3E8134A}" name="Column13480"/>
    <tableColumn id="13512" xr3:uid="{D8B6B2BA-999B-4A6D-B43D-D260517AEF42}" name="Column13481"/>
    <tableColumn id="13513" xr3:uid="{C07E1E4B-034D-43D1-8910-E1B28D66871A}" name="Column13482"/>
    <tableColumn id="13514" xr3:uid="{1534212E-584B-41F2-9948-437A1F9AFC73}" name="Column13483"/>
    <tableColumn id="13515" xr3:uid="{0146D604-3B09-4E8E-BF1A-DBA01E540A39}" name="Column13484"/>
    <tableColumn id="13516" xr3:uid="{8BC7ACB5-9E7A-41ED-AF42-331948B00475}" name="Column13485"/>
    <tableColumn id="13517" xr3:uid="{B013C4F0-E3D0-44E2-8C19-1A59777A931B}" name="Column13486"/>
    <tableColumn id="13518" xr3:uid="{4703830F-EA90-4637-B061-2CFC7E473EBA}" name="Column13487"/>
    <tableColumn id="13519" xr3:uid="{536EDC82-360F-4D09-B661-1EFD04F430FE}" name="Column13488"/>
    <tableColumn id="13520" xr3:uid="{3251F179-5760-4AB9-B906-D003755387A0}" name="Column13489"/>
    <tableColumn id="13521" xr3:uid="{E7393C76-4F84-410F-ABBA-E11A26313929}" name="Column13490"/>
    <tableColumn id="13522" xr3:uid="{09650A3E-06F4-45DB-B514-35E4357020E0}" name="Column13491"/>
    <tableColumn id="13523" xr3:uid="{0B424B83-A6B1-4BEB-9910-0B3F7FF3ABD5}" name="Column13492"/>
    <tableColumn id="13524" xr3:uid="{CCCA39FC-A55F-4BFB-A8E7-5CCFCED63B2B}" name="Column13493"/>
    <tableColumn id="13525" xr3:uid="{88179F27-18DB-46BE-A612-4E20814A7C6D}" name="Column13494"/>
    <tableColumn id="13526" xr3:uid="{685ED28E-1242-456D-8033-8A9F91A13B36}" name="Column13495"/>
    <tableColumn id="13527" xr3:uid="{92A46244-5F43-42AB-BAA4-88A0105EC965}" name="Column13496"/>
    <tableColumn id="13528" xr3:uid="{9CE1CD8B-E886-4CDE-9262-340B88119161}" name="Column13497"/>
    <tableColumn id="13529" xr3:uid="{0C696F81-68D7-4711-94B9-BBA7F44E8D21}" name="Column13498"/>
    <tableColumn id="13530" xr3:uid="{179AF258-2208-4925-8A8F-58DC79F7F3DD}" name="Column13499"/>
    <tableColumn id="13531" xr3:uid="{A13219C3-CDBC-4B3D-A570-9EA883089A50}" name="Column13500"/>
    <tableColumn id="13532" xr3:uid="{ADB7C883-7900-4648-9B82-3E719DE81C2B}" name="Column13501"/>
    <tableColumn id="13533" xr3:uid="{31DBF12D-F667-4758-8480-F402E74A8054}" name="Column13502"/>
    <tableColumn id="13534" xr3:uid="{63B1CB21-017F-4B77-8856-B485556FC7E6}" name="Column13503"/>
    <tableColumn id="13535" xr3:uid="{BD590899-51EC-48B4-94B9-D59311ABA155}" name="Column13504"/>
    <tableColumn id="13536" xr3:uid="{F499D72D-D8DB-4491-986B-EA5AA5A7A2E0}" name="Column13505"/>
    <tableColumn id="13537" xr3:uid="{1FBB2A81-6BD9-4EF2-8F38-DB1A74292F28}" name="Column13506"/>
    <tableColumn id="13538" xr3:uid="{8E3B77F0-23F4-4FD3-BF2D-FF5BEC79FFA3}" name="Column13507"/>
    <tableColumn id="13539" xr3:uid="{D482E976-4479-4C8E-A3ED-4223520E833C}" name="Column13508"/>
    <tableColumn id="13540" xr3:uid="{6F51B2AD-D47B-4E0C-B61F-55CFB4D0FE61}" name="Column13509"/>
    <tableColumn id="13541" xr3:uid="{2443688C-A413-4B5C-9A57-6A4E4DCCF560}" name="Column13510"/>
    <tableColumn id="13542" xr3:uid="{7F9786C0-BA4E-41E2-9BFA-1422343BDB49}" name="Column13511"/>
    <tableColumn id="13543" xr3:uid="{C573AA77-FF96-4B6A-830F-7CE7FD60F21B}" name="Column13512"/>
    <tableColumn id="13544" xr3:uid="{5CCBA42C-43F7-4B6D-953F-B425726B5BCB}" name="Column13513"/>
    <tableColumn id="13545" xr3:uid="{BE07A33F-932A-4323-8512-39B7A676CA9C}" name="Column13514"/>
    <tableColumn id="13546" xr3:uid="{97ED6741-0344-4123-8054-AB912983E96E}" name="Column13515"/>
    <tableColumn id="13547" xr3:uid="{6DA12778-FB0B-4B7E-A24A-7463279DFD4E}" name="Column13516"/>
    <tableColumn id="13548" xr3:uid="{24AEE52D-1885-4AD5-B4F8-B9C96A1886C4}" name="Column13517"/>
    <tableColumn id="13549" xr3:uid="{B173C779-3B9D-4788-94C7-FE709B216195}" name="Column13518"/>
    <tableColumn id="13550" xr3:uid="{0378B33A-33C0-406C-9CE1-7C5F7AD85C4C}" name="Column13519"/>
    <tableColumn id="13551" xr3:uid="{531C5086-C85C-4708-8E3D-0ADD11612AB0}" name="Column13520"/>
    <tableColumn id="13552" xr3:uid="{80351EBD-15A6-4736-A571-38D988E47DDB}" name="Column13521"/>
    <tableColumn id="13553" xr3:uid="{FC8C4E1E-D2BE-4012-AA4F-48498B11FC73}" name="Column13522"/>
    <tableColumn id="13554" xr3:uid="{6059A937-0928-4848-A16B-0635AF2ADD2C}" name="Column13523"/>
    <tableColumn id="13555" xr3:uid="{C4F51C5C-C15B-47BC-986D-1C52158C8119}" name="Column13524"/>
    <tableColumn id="13556" xr3:uid="{226AE912-FE06-42CA-B558-9B53FD0D4F51}" name="Column13525"/>
    <tableColumn id="13557" xr3:uid="{E527CF67-72EF-43E6-ABF7-B626F6861709}" name="Column13526"/>
    <tableColumn id="13558" xr3:uid="{463DD513-149C-4261-BC56-654E10900445}" name="Column13527"/>
    <tableColumn id="13559" xr3:uid="{F2D14955-AF71-4B46-A78D-4ED978647D9F}" name="Column13528"/>
    <tableColumn id="13560" xr3:uid="{98F2F1D9-9484-4755-8B3B-C640EA116268}" name="Column13529"/>
    <tableColumn id="13561" xr3:uid="{45051078-10E7-4F55-8057-FAA029606A64}" name="Column13530"/>
    <tableColumn id="13562" xr3:uid="{BDB025C4-7C42-49D9-8A9A-365C7E7CFE2B}" name="Column13531"/>
    <tableColumn id="13563" xr3:uid="{5B68A666-682D-47F8-A57D-43DD2A496387}" name="Column13532"/>
    <tableColumn id="13564" xr3:uid="{4B6201FB-838C-4A75-A672-A33DF0849BE1}" name="Column13533"/>
    <tableColumn id="13565" xr3:uid="{9A0A9991-7780-4A53-A404-958D826DF653}" name="Column13534"/>
    <tableColumn id="13566" xr3:uid="{81AD7360-CBA8-4F32-AA8A-A6FBA9AE324F}" name="Column13535"/>
    <tableColumn id="13567" xr3:uid="{52219509-CF94-4E84-B315-2821B1AABC41}" name="Column13536"/>
    <tableColumn id="13568" xr3:uid="{EF9C836F-9AED-45C4-B83D-F488B2864296}" name="Column13537"/>
    <tableColumn id="13569" xr3:uid="{82B48CBD-3A0F-4644-863E-8067FF8F74F5}" name="Column13538"/>
    <tableColumn id="13570" xr3:uid="{19C0B3AD-4057-4AE1-8092-04CCEF4BB6A0}" name="Column13539"/>
    <tableColumn id="13571" xr3:uid="{1D0C0ED9-9B59-4216-B895-2B2FE4FD4803}" name="Column13540"/>
    <tableColumn id="13572" xr3:uid="{D0AF6424-7EDA-4855-BBE5-4FC52B157ED7}" name="Column13541"/>
    <tableColumn id="13573" xr3:uid="{66605AED-A2A8-4E3B-A458-E3CBD4834EDD}" name="Column13542"/>
    <tableColumn id="13574" xr3:uid="{720F138C-1CD0-4787-920E-865F952B03F5}" name="Column13543"/>
    <tableColumn id="13575" xr3:uid="{F2E58945-3111-4BA4-8013-6C2DF97FC170}" name="Column13544"/>
    <tableColumn id="13576" xr3:uid="{D0CF06D6-793B-43DE-BA09-8BD185DDF047}" name="Column13545"/>
    <tableColumn id="13577" xr3:uid="{4DC86CD8-B783-407A-866D-84EA63EB0F27}" name="Column13546"/>
    <tableColumn id="13578" xr3:uid="{F790D20D-2F5C-4449-8A9E-3E03BC2C27C8}" name="Column13547"/>
    <tableColumn id="13579" xr3:uid="{06153622-D2E6-4CC1-B1C3-BEA52E8E75CA}" name="Column13548"/>
    <tableColumn id="13580" xr3:uid="{A7E71927-DC93-4DCF-BFE2-264F6FE37903}" name="Column13549"/>
    <tableColumn id="13581" xr3:uid="{79C0BBF3-0E4D-459E-A4DA-4F983C5C585E}" name="Column13550"/>
    <tableColumn id="13582" xr3:uid="{E39C1837-F66F-468D-9FB2-C919CCA65BCC}" name="Column13551"/>
    <tableColumn id="13583" xr3:uid="{F81D7F0B-FD1F-4926-A448-C7D09D2124CC}" name="Column13552"/>
    <tableColumn id="13584" xr3:uid="{76871B5A-87A5-4C97-BC51-4CF7117F69ED}" name="Column13553"/>
    <tableColumn id="13585" xr3:uid="{931F6011-A826-4283-81C9-3443FCBEEBF2}" name="Column13554"/>
    <tableColumn id="13586" xr3:uid="{A85CE6FA-30D2-454B-BCA9-2A117EB7C86F}" name="Column13555"/>
    <tableColumn id="13587" xr3:uid="{07545FB3-57D5-4635-AF08-85404D652EC8}" name="Column13556"/>
    <tableColumn id="13588" xr3:uid="{458C411B-A32D-4266-9046-C28A4353B8E4}" name="Column13557"/>
    <tableColumn id="13589" xr3:uid="{70D79782-55AC-48C1-937B-6B36826B0790}" name="Column13558"/>
    <tableColumn id="13590" xr3:uid="{1A0B1B02-89B3-48E6-A5A4-13445DDDC2E0}" name="Column13559"/>
    <tableColumn id="13591" xr3:uid="{00E17B6C-807C-4696-A42F-02027D51B183}" name="Column13560"/>
    <tableColumn id="13592" xr3:uid="{2E56D28E-F25B-4DA1-B253-7631FC5B409D}" name="Column13561"/>
    <tableColumn id="13593" xr3:uid="{836F5471-EB48-4822-BBFB-656230239971}" name="Column13562"/>
    <tableColumn id="13594" xr3:uid="{E7C3F3D9-BF96-4B89-94DE-615FF2B8E896}" name="Column13563"/>
    <tableColumn id="13595" xr3:uid="{8E95E70D-4619-429E-B644-3FF36F4BFAD5}" name="Column13564"/>
    <tableColumn id="13596" xr3:uid="{E6AAE304-6CF8-4E17-A6C2-299F662F0B5F}" name="Column13565"/>
    <tableColumn id="13597" xr3:uid="{F8AD5BAD-8217-4C99-8A3E-8D2B4B63ADE4}" name="Column13566"/>
    <tableColumn id="13598" xr3:uid="{5F670CA1-BDC9-4F8A-9B23-82FC65805321}" name="Column13567"/>
    <tableColumn id="13599" xr3:uid="{430A26A1-0AC6-4AB1-8F57-A53BF3B77C1E}" name="Column13568"/>
    <tableColumn id="13600" xr3:uid="{9BCA6161-26E0-48B5-B6C5-B8949146C5E1}" name="Column13569"/>
    <tableColumn id="13601" xr3:uid="{2F9E2698-1CE1-4C23-AF9D-64794FDF0A68}" name="Column13570"/>
    <tableColumn id="13602" xr3:uid="{84F42944-9283-4298-9F97-A411D18ADDFF}" name="Column13571"/>
    <tableColumn id="13603" xr3:uid="{110E2080-1FF9-4808-B983-000FCD232051}" name="Column13572"/>
    <tableColumn id="13604" xr3:uid="{39CBE0C2-A09E-460B-BAEB-28223A48997C}" name="Column13573"/>
    <tableColumn id="13605" xr3:uid="{50AD3C06-D4D6-4644-AAC7-6462F7922E73}" name="Column13574"/>
    <tableColumn id="13606" xr3:uid="{4B8AB314-2665-4F27-B667-FE8EBE7841DD}" name="Column13575"/>
    <tableColumn id="13607" xr3:uid="{FAFC8F9C-F365-44F8-ACC8-9EE4417C625C}" name="Column13576"/>
    <tableColumn id="13608" xr3:uid="{0C5BEA91-1519-41C9-B743-4F25E1DCE3A8}" name="Column13577"/>
    <tableColumn id="13609" xr3:uid="{5060E933-D759-4D4E-B261-B03C368A3A6C}" name="Column13578"/>
    <tableColumn id="13610" xr3:uid="{B7F4D780-E703-4BF0-A3CA-6152060D1CB7}" name="Column13579"/>
    <tableColumn id="13611" xr3:uid="{2AA33BA5-DEE7-4722-B68B-FD8945F1627E}" name="Column13580"/>
    <tableColumn id="13612" xr3:uid="{D2C930A7-E17D-4632-9F7A-3C034715ED9E}" name="Column13581"/>
    <tableColumn id="13613" xr3:uid="{2DC0217C-1BE0-429C-9080-C7913BFDBF2D}" name="Column13582"/>
    <tableColumn id="13614" xr3:uid="{B8C542EC-E766-4B51-809D-C500ECDB66DA}" name="Column13583"/>
    <tableColumn id="13615" xr3:uid="{83CF9EF2-AD4F-4E99-9343-313E70F1FA05}" name="Column13584"/>
    <tableColumn id="13616" xr3:uid="{2DCAC67D-FAFA-498D-94A3-5A3DB5E1DEDD}" name="Column13585"/>
    <tableColumn id="13617" xr3:uid="{261B6704-29A4-4EC3-8E82-0B93D0C6AED4}" name="Column13586"/>
    <tableColumn id="13618" xr3:uid="{49A1E245-1DC6-41D4-AAE6-1CD08403FC4A}" name="Column13587"/>
    <tableColumn id="13619" xr3:uid="{438BE898-A095-40C1-9AA1-E1B72287055C}" name="Column13588"/>
    <tableColumn id="13620" xr3:uid="{2DC099A8-72D1-44AE-BCEE-32C53E3DA959}" name="Column13589"/>
    <tableColumn id="13621" xr3:uid="{547205B5-4129-48A0-990F-6C4E6C697870}" name="Column13590"/>
    <tableColumn id="13622" xr3:uid="{60990E7E-01C3-4D9A-A4BD-9ED8912B0011}" name="Column13591"/>
    <tableColumn id="13623" xr3:uid="{37ABF7A7-A6C8-4C2E-87F4-10F8344436D8}" name="Column13592"/>
    <tableColumn id="13624" xr3:uid="{78014394-6518-4E34-87F0-519C864F282C}" name="Column13593"/>
    <tableColumn id="13625" xr3:uid="{2E32621F-6A2F-4C02-A47A-50DF832905BE}" name="Column13594"/>
    <tableColumn id="13626" xr3:uid="{639A7DE7-0D40-42F9-937E-3CFCBE86F383}" name="Column13595"/>
    <tableColumn id="13627" xr3:uid="{79FC8123-1464-4CE7-B4F9-DE6968C44C07}" name="Column13596"/>
    <tableColumn id="13628" xr3:uid="{D6DC3C1C-96A2-46DE-BE82-CCEAFD453083}" name="Column13597"/>
    <tableColumn id="13629" xr3:uid="{665D1B05-9B99-41A5-AC85-703B8C7CB6D1}" name="Column13598"/>
    <tableColumn id="13630" xr3:uid="{BCA026C2-7E2B-487F-A1EA-9608CF796778}" name="Column13599"/>
    <tableColumn id="13631" xr3:uid="{179DDE89-52BE-45F6-9BE7-362F7432165F}" name="Column13600"/>
    <tableColumn id="13632" xr3:uid="{2452E8F8-CF08-4665-8FC7-5480CA464A49}" name="Column13601"/>
    <tableColumn id="13633" xr3:uid="{A272F96F-DA94-4845-9C4D-16FBD00EAD58}" name="Column13602"/>
    <tableColumn id="13634" xr3:uid="{D37CFA41-E668-4F3F-9C92-DCF520BD9CD0}" name="Column13603"/>
    <tableColumn id="13635" xr3:uid="{3AFE0C84-DB0B-4479-8139-1F9319124E6B}" name="Column13604"/>
    <tableColumn id="13636" xr3:uid="{FDAED14C-9571-4ADC-BDA0-669C1D49770E}" name="Column13605"/>
    <tableColumn id="13637" xr3:uid="{35DF6989-930F-4A73-850B-9A7FA0C4E98C}" name="Column13606"/>
    <tableColumn id="13638" xr3:uid="{3B4FAA86-F062-48BA-B183-FF217A3C41AA}" name="Column13607"/>
    <tableColumn id="13639" xr3:uid="{FBCCF44D-53B2-4FF5-BF71-76E6CB8C9DCC}" name="Column13608"/>
    <tableColumn id="13640" xr3:uid="{58DB7F20-D2A0-49A0-9742-C916510E987E}" name="Column13609"/>
    <tableColumn id="13641" xr3:uid="{C9C70D15-2756-465E-9AB4-EA2F8B0D4F38}" name="Column13610"/>
    <tableColumn id="13642" xr3:uid="{6054EE04-8E27-4E93-A52D-6F17AD63A561}" name="Column13611"/>
    <tableColumn id="13643" xr3:uid="{BBEC4BB0-95DD-45CC-9199-5484FA70398E}" name="Column13612"/>
    <tableColumn id="13644" xr3:uid="{68BE30A3-0744-4F9C-9B10-193667336F32}" name="Column13613"/>
    <tableColumn id="13645" xr3:uid="{A4FEAB64-1F2B-46F4-8804-382C96CE6E7E}" name="Column13614"/>
    <tableColumn id="13646" xr3:uid="{27B49095-3D66-4D88-80B0-22C028E12403}" name="Column13615"/>
    <tableColumn id="13647" xr3:uid="{1A3E3D07-E29D-45C7-B228-F8DC63D0FB0F}" name="Column13616"/>
    <tableColumn id="13648" xr3:uid="{FD08ADD8-97A2-4593-8A66-0F4AAFA9985A}" name="Column13617"/>
    <tableColumn id="13649" xr3:uid="{F39892BC-C401-4ACB-B185-0DFDD2A0F3A0}" name="Column13618"/>
    <tableColumn id="13650" xr3:uid="{37D9F6A0-3123-49CE-BBD5-AD70568F7485}" name="Column13619"/>
    <tableColumn id="13651" xr3:uid="{952287D2-0E46-4566-84EE-01D78719CF46}" name="Column13620"/>
    <tableColumn id="13652" xr3:uid="{4A047E04-92C8-4D4D-8A93-7F66571866D2}" name="Column13621"/>
    <tableColumn id="13653" xr3:uid="{7DC4D401-5732-45A9-AFFA-5EBBFA96125D}" name="Column13622"/>
    <tableColumn id="13654" xr3:uid="{902E642B-93BC-43F9-9B79-B765476B87E6}" name="Column13623"/>
    <tableColumn id="13655" xr3:uid="{21A730EA-800F-4E63-92C3-EEDA6EF228ED}" name="Column13624"/>
    <tableColumn id="13656" xr3:uid="{4BAE90FB-7647-4168-89D7-1B8AC898248C}" name="Column13625"/>
    <tableColumn id="13657" xr3:uid="{924DEDA5-CB66-4953-B226-2A53546C943C}" name="Column13626"/>
    <tableColumn id="13658" xr3:uid="{9FF56056-90BA-48D8-BEFC-F3735071F011}" name="Column13627"/>
    <tableColumn id="13659" xr3:uid="{5E1A5EF7-5DC0-4382-8A61-3ED49FBB2A98}" name="Column13628"/>
    <tableColumn id="13660" xr3:uid="{228692DB-C09F-4468-A30D-A92E2C368999}" name="Column13629"/>
    <tableColumn id="13661" xr3:uid="{4B90922B-F988-47D7-8BBD-3DE88FBF4B34}" name="Column13630"/>
    <tableColumn id="13662" xr3:uid="{493548C7-2C28-4103-A24A-8B9DBBFF9352}" name="Column13631"/>
    <tableColumn id="13663" xr3:uid="{0169731A-D7D9-4418-89C6-09BCF99501F2}" name="Column13632"/>
    <tableColumn id="13664" xr3:uid="{1DA37E47-38BF-4A2F-9051-8F9A4C88A97A}" name="Column13633"/>
    <tableColumn id="13665" xr3:uid="{6945ED37-06DC-46E1-8964-FC8928DB6AE6}" name="Column13634"/>
    <tableColumn id="13666" xr3:uid="{F71A95B6-F47D-48DE-8F2F-6C15B60DB34F}" name="Column13635"/>
    <tableColumn id="13667" xr3:uid="{BA9A113A-62D8-42AD-8E36-4243C4F56055}" name="Column13636"/>
    <tableColumn id="13668" xr3:uid="{A9635FEC-44A2-498C-8520-BC12C3A68DD1}" name="Column13637"/>
    <tableColumn id="13669" xr3:uid="{87238ACA-679A-4668-AD1C-BAFF18C40093}" name="Column13638"/>
    <tableColumn id="13670" xr3:uid="{2A551BC1-39F3-48D3-90B4-CA0008F6C996}" name="Column13639"/>
    <tableColumn id="13671" xr3:uid="{C015B5F5-FDE8-4FFD-BEE3-9F61800BF8FC}" name="Column13640"/>
    <tableColumn id="13672" xr3:uid="{82F106AD-8CA6-4569-AE8D-6D8B4002F037}" name="Column13641"/>
    <tableColumn id="13673" xr3:uid="{17501DFD-0F41-4334-A024-34DD7AFF6C5B}" name="Column13642"/>
    <tableColumn id="13674" xr3:uid="{39F5AE55-3C2B-4347-A7B8-8492E4E834A6}" name="Column13643"/>
    <tableColumn id="13675" xr3:uid="{639F954A-1468-4C1D-B558-79890825B862}" name="Column13644"/>
    <tableColumn id="13676" xr3:uid="{2092CC6C-94E1-4EC5-B840-E3A54AC61CBA}" name="Column13645"/>
    <tableColumn id="13677" xr3:uid="{93B216BA-EE08-4587-85E4-1552229ECDFB}" name="Column13646"/>
    <tableColumn id="13678" xr3:uid="{833A86D6-01A3-4412-AD61-1F6E455841E3}" name="Column13647"/>
    <tableColumn id="13679" xr3:uid="{73651A84-62BF-4076-ABB6-DEA313821242}" name="Column13648"/>
    <tableColumn id="13680" xr3:uid="{761DE3EB-71A1-4FE8-8038-31C8F0748682}" name="Column13649"/>
    <tableColumn id="13681" xr3:uid="{39CD2E2B-EBE7-47EE-8986-4DB3125769A8}" name="Column13650"/>
    <tableColumn id="13682" xr3:uid="{7EF2DFB3-BF8B-4908-91EB-AA0D1839489E}" name="Column13651"/>
    <tableColumn id="13683" xr3:uid="{D0113EAF-FE6C-454C-8E40-0B6FF0F69184}" name="Column13652"/>
    <tableColumn id="13684" xr3:uid="{E7FA1EAE-F193-4840-9669-DEB0C8D8681B}" name="Column13653"/>
    <tableColumn id="13685" xr3:uid="{1A6D50C2-08B4-4F59-808E-19B29B982108}" name="Column13654"/>
    <tableColumn id="13686" xr3:uid="{DFE71AFB-93B7-4451-9C58-675049FF3279}" name="Column13655"/>
    <tableColumn id="13687" xr3:uid="{9D2F1D3C-3F85-478C-B248-87288B049CD2}" name="Column13656"/>
    <tableColumn id="13688" xr3:uid="{906B2111-40F3-4E96-89E7-B9930B535857}" name="Column13657"/>
    <tableColumn id="13689" xr3:uid="{C774AD7D-5C87-43D5-B058-F4E4138041E4}" name="Column13658"/>
    <tableColumn id="13690" xr3:uid="{1C1447E3-A312-4263-823E-D10A7821530F}" name="Column13659"/>
    <tableColumn id="13691" xr3:uid="{7D1D6EA1-B847-48C8-80A4-A65F2A91C9E3}" name="Column13660"/>
    <tableColumn id="13692" xr3:uid="{742011A6-47F6-4161-BA4B-E876B096DDC0}" name="Column13661"/>
    <tableColumn id="13693" xr3:uid="{182AB286-13EA-4D41-9545-AB9DA8522877}" name="Column13662"/>
    <tableColumn id="13694" xr3:uid="{59ED8C14-143B-4740-A2D5-80DD107E06C6}" name="Column13663"/>
    <tableColumn id="13695" xr3:uid="{7718167B-B3D1-447F-9C0E-A88F0E44A01A}" name="Column13664"/>
    <tableColumn id="13696" xr3:uid="{44B668C8-BE8B-4176-AB33-9D020D8AA808}" name="Column13665"/>
    <tableColumn id="13697" xr3:uid="{4BA03B20-43F9-404C-AE1A-A4C368E18504}" name="Column13666"/>
    <tableColumn id="13698" xr3:uid="{A2879DD2-2403-49E1-BC5F-6CF10612B78D}" name="Column13667"/>
    <tableColumn id="13699" xr3:uid="{5CF7C836-DBFE-45D7-95AA-9538EDAE8488}" name="Column13668"/>
    <tableColumn id="13700" xr3:uid="{E871ACA7-641F-4EFC-AACA-ECE8A72539B3}" name="Column13669"/>
    <tableColumn id="13701" xr3:uid="{AEDB6DF2-9B55-4526-96B0-8C6FFBBD47E6}" name="Column13670"/>
    <tableColumn id="13702" xr3:uid="{7D9BB82A-9A2E-4AE9-9056-FE638AAA9F82}" name="Column13671"/>
    <tableColumn id="13703" xr3:uid="{1023BE11-A750-45DC-B323-174A6EE922DC}" name="Column13672"/>
    <tableColumn id="13704" xr3:uid="{D228A4D9-12CD-4236-9EF4-2D3474DCED07}" name="Column13673"/>
    <tableColumn id="13705" xr3:uid="{8F5B3B79-789B-4E30-A468-345955F82D86}" name="Column13674"/>
    <tableColumn id="13706" xr3:uid="{BC8C0617-A25C-4DED-82F3-9607AEA083B5}" name="Column13675"/>
    <tableColumn id="13707" xr3:uid="{F55D5DC4-708C-43C9-A2CA-6E8A8F9F45B0}" name="Column13676"/>
    <tableColumn id="13708" xr3:uid="{433F2C58-3AF9-444B-A37C-FB6553D2BA02}" name="Column13677"/>
    <tableColumn id="13709" xr3:uid="{864D82A1-0D7E-4D4E-B552-D4F1A7A293E7}" name="Column13678"/>
    <tableColumn id="13710" xr3:uid="{10C95D69-34BB-4160-944C-0EF39654EC31}" name="Column13679"/>
    <tableColumn id="13711" xr3:uid="{7A2A9FCE-0F93-4687-89E9-C43A2E180485}" name="Column13680"/>
    <tableColumn id="13712" xr3:uid="{F6047C25-5FE1-4500-AB16-F7FD076089B5}" name="Column13681"/>
    <tableColumn id="13713" xr3:uid="{CD6058AA-EACF-4AB1-8AC2-97C2A723C8B4}" name="Column13682"/>
    <tableColumn id="13714" xr3:uid="{EEBC9A21-53C3-4B62-8253-7FE365700BDE}" name="Column13683"/>
    <tableColumn id="13715" xr3:uid="{39CEFD79-A08F-49FB-8045-ABD9E6D4A7A5}" name="Column13684"/>
    <tableColumn id="13716" xr3:uid="{E88F539B-E66E-4A0A-8DBF-59DD37AF3B08}" name="Column13685"/>
    <tableColumn id="13717" xr3:uid="{5543AE64-0B75-484D-A3BE-1109EBF8D41B}" name="Column13686"/>
    <tableColumn id="13718" xr3:uid="{4F0161EA-39F5-4E8F-B195-8D375CB524AE}" name="Column13687"/>
    <tableColumn id="13719" xr3:uid="{F549A4F2-447E-473D-BE19-8D5A88974D46}" name="Column13688"/>
    <tableColumn id="13720" xr3:uid="{C9E6E820-9C11-4C87-BB5B-DCEE4BFCA526}" name="Column13689"/>
    <tableColumn id="13721" xr3:uid="{948055C2-B38D-41B3-9650-7F3089696CE5}" name="Column13690"/>
    <tableColumn id="13722" xr3:uid="{B21A17C1-6F2C-465E-9F04-B30B20DE1CC8}" name="Column13691"/>
    <tableColumn id="13723" xr3:uid="{F7BA9649-35F6-4FD2-BFFD-9831C11D2CC9}" name="Column13692"/>
    <tableColumn id="13724" xr3:uid="{9C8442B1-71DE-4722-9DED-030A8E318DC2}" name="Column13693"/>
    <tableColumn id="13725" xr3:uid="{8281EC3E-823B-43BF-9DBC-AB799861E1F7}" name="Column13694"/>
    <tableColumn id="13726" xr3:uid="{B90CCFB2-B8B1-4B95-8564-672E2D991D64}" name="Column13695"/>
    <tableColumn id="13727" xr3:uid="{24C887B7-576D-4F78-AE83-FF25BC5D2312}" name="Column13696"/>
    <tableColumn id="13728" xr3:uid="{81DE2AC4-C652-4C90-9C9D-6E5B16AA6F5B}" name="Column13697"/>
    <tableColumn id="13729" xr3:uid="{9C92C414-BAC0-4741-AE0B-3EC45F64D3FA}" name="Column13698"/>
    <tableColumn id="13730" xr3:uid="{A6E5EB5D-298C-49E1-ACB1-400DC38963D1}" name="Column13699"/>
    <tableColumn id="13731" xr3:uid="{E90C1BD7-6B44-4D2F-8EA5-E1815DFD86A6}" name="Column13700"/>
    <tableColumn id="13732" xr3:uid="{C108D3EA-6765-4B5B-961F-501AC5B53C55}" name="Column13701"/>
    <tableColumn id="13733" xr3:uid="{7F1E5A15-39BE-4EAE-AAC3-F1A6F0305834}" name="Column13702"/>
    <tableColumn id="13734" xr3:uid="{4DD93C34-472D-49A2-92D1-0804EC5D9FB9}" name="Column13703"/>
    <tableColumn id="13735" xr3:uid="{3D9B4FA6-3336-4771-A7B4-C319F7D00776}" name="Column13704"/>
    <tableColumn id="13736" xr3:uid="{334F3175-EAED-43AF-8AD3-A657BDE5B47E}" name="Column13705"/>
    <tableColumn id="13737" xr3:uid="{96DEA09D-1C98-4488-8746-56170C4927B4}" name="Column13706"/>
    <tableColumn id="13738" xr3:uid="{F7E98FEB-FA18-4149-BE13-577EE4C1602D}" name="Column13707"/>
    <tableColumn id="13739" xr3:uid="{8EE23221-05A4-4155-9FBF-B0A6BA95EA26}" name="Column13708"/>
    <tableColumn id="13740" xr3:uid="{BA2317B5-79A3-4171-AAF5-BE2F4594917B}" name="Column13709"/>
    <tableColumn id="13741" xr3:uid="{62DAC79F-6158-4A26-9E95-7FF59FBAF093}" name="Column13710"/>
    <tableColumn id="13742" xr3:uid="{B913480E-FDFA-4260-84F5-26B8DD3F5940}" name="Column13711"/>
    <tableColumn id="13743" xr3:uid="{9A50CC62-B93E-4535-A720-01596F0EC299}" name="Column13712"/>
    <tableColumn id="13744" xr3:uid="{98269402-1C64-40D1-BC2C-76888DAAE168}" name="Column13713"/>
    <tableColumn id="13745" xr3:uid="{98CACAC0-B12A-4D68-ABDD-FF9C62E091D4}" name="Column13714"/>
    <tableColumn id="13746" xr3:uid="{118445B7-5C15-443F-95A8-9A270337AB88}" name="Column13715"/>
    <tableColumn id="13747" xr3:uid="{1B479574-DEE9-46EC-975E-4B4EE835BDB0}" name="Column13716"/>
    <tableColumn id="13748" xr3:uid="{0E30A605-1001-4DA6-A1D3-C7EC61FFB807}" name="Column13717"/>
    <tableColumn id="13749" xr3:uid="{4DA8CF61-6453-41E6-A2C5-B36AAEB208D7}" name="Column13718"/>
    <tableColumn id="13750" xr3:uid="{385D91B1-9FF7-4718-BB40-0AE82E000705}" name="Column13719"/>
    <tableColumn id="13751" xr3:uid="{5B33E8E1-AC90-480B-B17B-1F55A1BAEB44}" name="Column13720"/>
    <tableColumn id="13752" xr3:uid="{DDBE182D-3FC0-4B04-9A15-564D782A8007}" name="Column13721"/>
    <tableColumn id="13753" xr3:uid="{F7A3F66C-2E9C-4596-A915-7FAE0400FA85}" name="Column13722"/>
    <tableColumn id="13754" xr3:uid="{6D2785C0-3693-4488-A50C-1FC3DD46DF53}" name="Column13723"/>
    <tableColumn id="13755" xr3:uid="{07CED836-E45F-4162-8A01-CA56740BEEB3}" name="Column13724"/>
    <tableColumn id="13756" xr3:uid="{90FEC156-8294-4A5E-A206-D225B4217622}" name="Column13725"/>
    <tableColumn id="13757" xr3:uid="{DFA9C799-FCB0-4509-8CFA-7082E7959431}" name="Column13726"/>
    <tableColumn id="13758" xr3:uid="{EDD62F5D-9277-4E39-BE01-CA42B3908322}" name="Column13727"/>
    <tableColumn id="13759" xr3:uid="{2602C6E1-09D4-4E21-9337-5AB10CC1D31E}" name="Column13728"/>
    <tableColumn id="13760" xr3:uid="{39E3069E-70AF-48CA-B24F-234535CF9B02}" name="Column13729"/>
    <tableColumn id="13761" xr3:uid="{6CB15AE7-8F89-48BC-84EF-406043F7E18D}" name="Column13730"/>
    <tableColumn id="13762" xr3:uid="{C10F4F14-43AA-4C95-B9CB-7229E0761E26}" name="Column13731"/>
    <tableColumn id="13763" xr3:uid="{B8AB3097-4330-42FA-AB9B-C4D16EFF57F5}" name="Column13732"/>
    <tableColumn id="13764" xr3:uid="{5F8686A2-7559-42AF-A651-1961EEAD9575}" name="Column13733"/>
    <tableColumn id="13765" xr3:uid="{1797F548-5A8B-4C6B-AE34-F60B08FD0202}" name="Column13734"/>
    <tableColumn id="13766" xr3:uid="{C022827F-BF24-43B9-A854-17D8973ABA0B}" name="Column13735"/>
    <tableColumn id="13767" xr3:uid="{FADBA7D0-F291-41EB-92D6-4DA95358E3FF}" name="Column13736"/>
    <tableColumn id="13768" xr3:uid="{799E83E3-47BD-4DED-BABA-001F5A6ECB46}" name="Column13737"/>
    <tableColumn id="13769" xr3:uid="{A7E1C9DD-B07B-443A-8EAC-FB34DD8A09A3}" name="Column13738"/>
    <tableColumn id="13770" xr3:uid="{2B641D5A-879D-4770-B0CB-545A98563A00}" name="Column13739"/>
    <tableColumn id="13771" xr3:uid="{2CB50ECE-A371-4789-A8F9-50A5B36429CF}" name="Column13740"/>
    <tableColumn id="13772" xr3:uid="{828AD2EF-D699-4804-B5B2-CF8EB5D4CCF1}" name="Column13741"/>
    <tableColumn id="13773" xr3:uid="{3B118CA2-BDF5-44BC-BAD2-4AB8C04AA94B}" name="Column13742"/>
    <tableColumn id="13774" xr3:uid="{D106268F-2BED-47D9-82F4-0E845AFA13C3}" name="Column13743"/>
    <tableColumn id="13775" xr3:uid="{7C579891-68EF-4E52-8761-9B44D2255612}" name="Column13744"/>
    <tableColumn id="13776" xr3:uid="{62F22AE8-91BA-4A68-B53C-26D72958466B}" name="Column13745"/>
    <tableColumn id="13777" xr3:uid="{272D4F8E-4392-401D-80F6-35D8F59AC5A4}" name="Column13746"/>
    <tableColumn id="13778" xr3:uid="{DA517D57-577B-4BBC-85F1-F36D3395334C}" name="Column13747"/>
    <tableColumn id="13779" xr3:uid="{04A400AB-87BF-47AE-AFDB-9943A98BCCF4}" name="Column13748"/>
    <tableColumn id="13780" xr3:uid="{D36425C8-CAE2-4E97-BE4B-E0B8F1585297}" name="Column13749"/>
    <tableColumn id="13781" xr3:uid="{DE24A981-5146-48BB-8035-57639D979D16}" name="Column13750"/>
    <tableColumn id="13782" xr3:uid="{4DAB281F-EE6F-49EF-BB11-A1DCDCD980D5}" name="Column13751"/>
    <tableColumn id="13783" xr3:uid="{62F98066-6079-475A-8741-3272B6CDD5A3}" name="Column13752"/>
    <tableColumn id="13784" xr3:uid="{31F93F2D-277C-43A3-902E-49535FAFBD82}" name="Column13753"/>
    <tableColumn id="13785" xr3:uid="{1DDEE067-48B9-4EE7-A23A-50410A3CD3A9}" name="Column13754"/>
    <tableColumn id="13786" xr3:uid="{502B0A84-9F21-4E43-8CDB-BC65F2D5C81D}" name="Column13755"/>
    <tableColumn id="13787" xr3:uid="{FB7DFDC5-4852-40FB-9BB6-570B2949848B}" name="Column13756"/>
    <tableColumn id="13788" xr3:uid="{ABF5571E-4D87-4AB6-8CEE-AB0EABF6B7AB}" name="Column13757"/>
    <tableColumn id="13789" xr3:uid="{2FEA877A-E769-4DE9-A1B5-901B8CC040D5}" name="Column13758"/>
    <tableColumn id="13790" xr3:uid="{C5897A79-24E9-4731-A0AE-C6DC66DD01C9}" name="Column13759"/>
    <tableColumn id="13791" xr3:uid="{626F6BFF-697F-4557-800E-97939FB456C5}" name="Column13760"/>
    <tableColumn id="13792" xr3:uid="{11D51242-86D7-430E-867C-C2190498B579}" name="Column13761"/>
    <tableColumn id="13793" xr3:uid="{A11E7B99-5C97-4490-82C0-74D12ACCD714}" name="Column13762"/>
    <tableColumn id="13794" xr3:uid="{89AD2382-FA14-4616-94CF-99F4F5D04CC5}" name="Column13763"/>
    <tableColumn id="13795" xr3:uid="{C6626C5B-3C36-4E80-808E-C12346BFB392}" name="Column13764"/>
    <tableColumn id="13796" xr3:uid="{2CA2D992-3022-46FF-A836-7B95606354B4}" name="Column13765"/>
    <tableColumn id="13797" xr3:uid="{F2F68777-393B-4E81-856D-93292462F997}" name="Column13766"/>
    <tableColumn id="13798" xr3:uid="{233AA0C3-B3EF-4733-A1CB-EE4885E015A1}" name="Column13767"/>
    <tableColumn id="13799" xr3:uid="{B8CC49E4-E0B0-4FD3-9B8B-B37236591904}" name="Column13768"/>
    <tableColumn id="13800" xr3:uid="{7C5EAB7A-92AC-4DE9-A389-E72463D8546B}" name="Column13769"/>
    <tableColumn id="13801" xr3:uid="{5CA65021-FD42-4A76-82C5-F364DC7720EC}" name="Column13770"/>
    <tableColumn id="13802" xr3:uid="{4F244F55-DDCF-43EC-8D99-84E58FA2B126}" name="Column13771"/>
    <tableColumn id="13803" xr3:uid="{03E17DAD-9232-469D-8B36-9A36F310CC44}" name="Column13772"/>
    <tableColumn id="13804" xr3:uid="{1C9C090C-9DAA-4689-BC63-C3F3B44E7566}" name="Column13773"/>
    <tableColumn id="13805" xr3:uid="{16D2836D-F650-48CC-98B0-5EB3C1252978}" name="Column13774"/>
    <tableColumn id="13806" xr3:uid="{A57A6E33-7A23-4AC3-ABD6-A3F39CA38FBD}" name="Column13775"/>
    <tableColumn id="13807" xr3:uid="{D9E9171D-6C8C-4C8B-8C64-0A33D54D36EA}" name="Column13776"/>
    <tableColumn id="13808" xr3:uid="{D4C050C2-62FA-489B-8204-448FA074FE27}" name="Column13777"/>
    <tableColumn id="13809" xr3:uid="{46AFB268-4C8B-4CC3-B87D-9EFCF34BE076}" name="Column13778"/>
    <tableColumn id="13810" xr3:uid="{51938D5E-FB91-43C5-85EB-6376D98D72FE}" name="Column13779"/>
    <tableColumn id="13811" xr3:uid="{20D8B9BF-82B3-4970-B137-56A62986493E}" name="Column13780"/>
    <tableColumn id="13812" xr3:uid="{05EB1475-9AA1-4C80-9A07-7A47D566ACB8}" name="Column13781"/>
    <tableColumn id="13813" xr3:uid="{23D43DAD-BC3A-4B4E-A0A7-A5FF772F7220}" name="Column13782"/>
    <tableColumn id="13814" xr3:uid="{D4A1D9CE-75F7-44E1-8698-CF5DFE24A435}" name="Column13783"/>
    <tableColumn id="13815" xr3:uid="{39907801-1A11-4F00-AB08-9D77C5181DBD}" name="Column13784"/>
    <tableColumn id="13816" xr3:uid="{FC1831A2-3328-4875-810B-CB96540F4E85}" name="Column13785"/>
    <tableColumn id="13817" xr3:uid="{B6316427-2793-4CA8-8900-20221CEB73C3}" name="Column13786"/>
    <tableColumn id="13818" xr3:uid="{F05513D6-BF97-4E7D-B2C5-D64D2F8933AC}" name="Column13787"/>
    <tableColumn id="13819" xr3:uid="{5FB6FFE9-4B85-4E38-B778-EA8E202A90EC}" name="Column13788"/>
    <tableColumn id="13820" xr3:uid="{88886E4A-4512-4339-9C9B-5F49DA3385F5}" name="Column13789"/>
    <tableColumn id="13821" xr3:uid="{4A1524A7-C364-4EC1-AE2B-9951022B5F42}" name="Column13790"/>
    <tableColumn id="13822" xr3:uid="{6737E65E-F012-498A-A23C-F31D87A595F7}" name="Column13791"/>
    <tableColumn id="13823" xr3:uid="{358599D3-278B-4681-BB7C-6621A0267D88}" name="Column13792"/>
    <tableColumn id="13824" xr3:uid="{85F6B587-13A3-4740-86C8-B88EEF8411E8}" name="Column13793"/>
    <tableColumn id="13825" xr3:uid="{3905DC6D-5CFC-4718-B382-4A7CD1F6031B}" name="Column13794"/>
    <tableColumn id="13826" xr3:uid="{54D05711-FB20-4402-887B-D2A98326A02F}" name="Column13795"/>
    <tableColumn id="13827" xr3:uid="{2C6167E7-3E29-4F4A-9540-C755E7F596FD}" name="Column13796"/>
    <tableColumn id="13828" xr3:uid="{C07CF279-AC12-4D65-BF8A-57EC57ED70D7}" name="Column13797"/>
    <tableColumn id="13829" xr3:uid="{F9570AC9-0FAB-4BE2-938D-0BC282D6E055}" name="Column13798"/>
    <tableColumn id="13830" xr3:uid="{F63BDF41-038E-4B28-BD84-D61E76302C4B}" name="Column13799"/>
    <tableColumn id="13831" xr3:uid="{0966F3BB-E70A-46C6-9399-87F3C0190457}" name="Column13800"/>
    <tableColumn id="13832" xr3:uid="{9F6E7F6A-FDE6-4100-8C5A-C9422086ABB2}" name="Column13801"/>
    <tableColumn id="13833" xr3:uid="{D9C01153-A421-4354-98DA-7099D83416E7}" name="Column13802"/>
    <tableColumn id="13834" xr3:uid="{6DAF31D6-4949-4646-A3F4-11808603F162}" name="Column13803"/>
    <tableColumn id="13835" xr3:uid="{925E8CBD-FA90-4879-B266-F0D921396B2D}" name="Column13804"/>
    <tableColumn id="13836" xr3:uid="{37B19D4C-C9D4-46D5-8539-285D80D42E68}" name="Column13805"/>
    <tableColumn id="13837" xr3:uid="{E39C74A4-C8AB-4B37-A500-1D9A08A21D48}" name="Column13806"/>
    <tableColumn id="13838" xr3:uid="{A2CFE9E5-F4CC-4C12-B181-D7D50523764C}" name="Column13807"/>
    <tableColumn id="13839" xr3:uid="{DD5B6C51-F04C-4F39-A346-D912791F4645}" name="Column13808"/>
    <tableColumn id="13840" xr3:uid="{A78FE0AF-A140-430B-8230-C9792A177D6D}" name="Column13809"/>
    <tableColumn id="13841" xr3:uid="{1853022E-7F49-46D2-AEB6-0C54BE71D78B}" name="Column13810"/>
    <tableColumn id="13842" xr3:uid="{74C0E656-5324-434D-A73E-5A895FD1B80A}" name="Column13811"/>
    <tableColumn id="13843" xr3:uid="{4F84A226-F900-4D6C-BA9A-5E05F1B9D5AB}" name="Column13812"/>
    <tableColumn id="13844" xr3:uid="{DCA2C6CB-0688-4051-8C97-244976283821}" name="Column13813"/>
    <tableColumn id="13845" xr3:uid="{FB101EA2-020C-4910-B3A1-091F7E10995A}" name="Column13814"/>
    <tableColumn id="13846" xr3:uid="{C5DAD27E-7970-427C-8A12-74942541BCD1}" name="Column13815"/>
    <tableColumn id="13847" xr3:uid="{12E9B6D1-38F5-4070-82F2-DB21B510218D}" name="Column13816"/>
    <tableColumn id="13848" xr3:uid="{F8FE53C6-E2B7-45ED-9E36-425BD94B7505}" name="Column13817"/>
    <tableColumn id="13849" xr3:uid="{7C18C74F-D189-4DE4-AE20-F5C2F7DD0055}" name="Column13818"/>
    <tableColumn id="13850" xr3:uid="{31759025-D6CC-4628-945A-37883019C86E}" name="Column13819"/>
    <tableColumn id="13851" xr3:uid="{B15F96AA-837F-4859-BABE-5991A7034DB9}" name="Column13820"/>
    <tableColumn id="13852" xr3:uid="{10EA6638-DC91-41ED-8405-B15A623F3E91}" name="Column13821"/>
    <tableColumn id="13853" xr3:uid="{3D139FD3-A270-406F-B137-F1CEE0845DF1}" name="Column13822"/>
    <tableColumn id="13854" xr3:uid="{A82D0E0D-17F9-4895-A3F6-D17C18E229A1}" name="Column13823"/>
    <tableColumn id="13855" xr3:uid="{129F0D2E-BB47-4EFD-8092-B5820705B394}" name="Column13824"/>
    <tableColumn id="13856" xr3:uid="{3E77A504-00A6-4FB9-BFB6-3CE426644E00}" name="Column13825"/>
    <tableColumn id="13857" xr3:uid="{C36C3871-80FD-4DD6-A184-C104FDA9B45C}" name="Column13826"/>
    <tableColumn id="13858" xr3:uid="{E2A7BE97-2030-4EE1-8621-1F25F49028C0}" name="Column13827"/>
    <tableColumn id="13859" xr3:uid="{428A2AF1-B83D-46DC-A879-9FDDFF899271}" name="Column13828"/>
    <tableColumn id="13860" xr3:uid="{8392AEA9-286B-43A7-B517-96B907B8A758}" name="Column13829"/>
    <tableColumn id="13861" xr3:uid="{19E58332-A19E-43DB-9DDD-E98CA42C8D65}" name="Column13830"/>
    <tableColumn id="13862" xr3:uid="{B0D4B247-290A-4149-A205-F1A91CCCDBD6}" name="Column13831"/>
    <tableColumn id="13863" xr3:uid="{9B8A8A56-B55F-4808-AD1A-7765744A0D25}" name="Column13832"/>
    <tableColumn id="13864" xr3:uid="{FCF5B474-ECBB-473F-B921-184EE98A8489}" name="Column13833"/>
    <tableColumn id="13865" xr3:uid="{BE4F2EAB-E965-4A2E-877F-070752BA98A0}" name="Column13834"/>
    <tableColumn id="13866" xr3:uid="{06C80F53-5C02-45C3-B8C1-140555A9B028}" name="Column13835"/>
    <tableColumn id="13867" xr3:uid="{F0382EBA-A29D-407F-A48B-4EFDCA6432DD}" name="Column13836"/>
    <tableColumn id="13868" xr3:uid="{CFCE5693-6428-4D2C-B8D4-6FFDF55AF0FE}" name="Column13837"/>
    <tableColumn id="13869" xr3:uid="{A55C0B38-AD05-4FFD-9271-8F28A6FF72E5}" name="Column13838"/>
    <tableColumn id="13870" xr3:uid="{8D55CBA4-48BB-4304-9162-CCA8808987C0}" name="Column13839"/>
    <tableColumn id="13871" xr3:uid="{CEBD01B3-9AEB-4AB3-BFAD-3B3BBE2F856C}" name="Column13840"/>
    <tableColumn id="13872" xr3:uid="{353D6B37-EC14-424E-B90A-688C0C51A864}" name="Column13841"/>
    <tableColumn id="13873" xr3:uid="{1E85CBF8-0430-4E36-8294-0896C554D640}" name="Column13842"/>
    <tableColumn id="13874" xr3:uid="{BF510476-FB3B-497C-8D2D-4FA79F834627}" name="Column13843"/>
    <tableColumn id="13875" xr3:uid="{C9C9A7C4-8C4F-4257-8276-0AFC696C32EE}" name="Column13844"/>
    <tableColumn id="13876" xr3:uid="{5CE3652F-3C0D-4CF1-80AF-9AD36D54544E}" name="Column13845"/>
    <tableColumn id="13877" xr3:uid="{7DC4B68B-E0BB-4953-9944-3186884ECFC6}" name="Column13846"/>
    <tableColumn id="13878" xr3:uid="{5AC042B4-12BC-4B85-B7E6-1CE5C759737F}" name="Column13847"/>
    <tableColumn id="13879" xr3:uid="{74E217EA-1D87-41F2-804C-A30BECE3253F}" name="Column13848"/>
    <tableColumn id="13880" xr3:uid="{CCF6BF60-4E64-4777-9F62-C36E5764358A}" name="Column13849"/>
    <tableColumn id="13881" xr3:uid="{326B2BC0-C6AA-4C66-93AC-26E2CC742051}" name="Column13850"/>
    <tableColumn id="13882" xr3:uid="{3EDCAC89-6896-41FE-B68C-DBBA03D5DFF5}" name="Column13851"/>
    <tableColumn id="13883" xr3:uid="{2DBEBA0E-5386-41CE-AE24-9F8BFF55A10C}" name="Column13852"/>
    <tableColumn id="13884" xr3:uid="{F6D073A6-92C9-4284-BDAB-BE0DCC471824}" name="Column13853"/>
    <tableColumn id="13885" xr3:uid="{DB236563-5911-44D0-B352-DB5311E25147}" name="Column13854"/>
    <tableColumn id="13886" xr3:uid="{F4ECCFCF-5D72-4878-B7AB-926441A6997E}" name="Column13855"/>
    <tableColumn id="13887" xr3:uid="{80A5CB76-E0AC-4D51-84F0-9536B448461D}" name="Column13856"/>
    <tableColumn id="13888" xr3:uid="{2E82836B-A43F-4F76-96F6-F3A3BEB9E88E}" name="Column13857"/>
    <tableColumn id="13889" xr3:uid="{BCF96476-2E72-4AD4-BC5D-F05250371412}" name="Column13858"/>
    <tableColumn id="13890" xr3:uid="{7B1CD512-49AC-4B04-A790-FD0EB39531E4}" name="Column13859"/>
    <tableColumn id="13891" xr3:uid="{1822F9E2-6C14-46A6-B1C5-9023F07D8339}" name="Column13860"/>
    <tableColumn id="13892" xr3:uid="{C6F88ABB-0C12-43A9-9816-3E25D9094D49}" name="Column13861"/>
    <tableColumn id="13893" xr3:uid="{752C83E1-AE02-4207-AF61-033800E7B1FB}" name="Column13862"/>
    <tableColumn id="13894" xr3:uid="{422CB439-01BC-4BF0-86AC-B749F8951A39}" name="Column13863"/>
    <tableColumn id="13895" xr3:uid="{E80124B3-B538-4FC6-99E9-3C099FFB830D}" name="Column13864"/>
    <tableColumn id="13896" xr3:uid="{98F52C41-16C9-4FE6-833D-CB786AE033AE}" name="Column13865"/>
    <tableColumn id="13897" xr3:uid="{C2DE8EF3-C53E-489F-8366-B39B3E62C279}" name="Column13866"/>
    <tableColumn id="13898" xr3:uid="{3A46DA83-C370-481F-B658-58733DD4DFEE}" name="Column13867"/>
    <tableColumn id="13899" xr3:uid="{8ACF73B5-66A2-494A-A536-D7D6CABE2BDA}" name="Column13868"/>
    <tableColumn id="13900" xr3:uid="{435D565B-CCE4-46DE-9E5A-04717592F947}" name="Column13869"/>
    <tableColumn id="13901" xr3:uid="{CF845DA3-2078-4BB9-AC9D-4D6B74005673}" name="Column13870"/>
    <tableColumn id="13902" xr3:uid="{8BA9B71F-AF73-4147-9294-F767CF307C66}" name="Column13871"/>
    <tableColumn id="13903" xr3:uid="{C6313AC6-D144-4FDC-A4F8-C609A470F435}" name="Column13872"/>
    <tableColumn id="13904" xr3:uid="{7181102F-BFCC-4702-BB97-C2890D16E12F}" name="Column13873"/>
    <tableColumn id="13905" xr3:uid="{19CCD111-D2E6-4B40-916A-A7A753CB333B}" name="Column13874"/>
    <tableColumn id="13906" xr3:uid="{CA6966E8-6EF2-4EBC-98E1-810E8E6BC59B}" name="Column13875"/>
    <tableColumn id="13907" xr3:uid="{D46EDA0A-C049-4233-8001-A670D225022E}" name="Column13876"/>
    <tableColumn id="13908" xr3:uid="{6EBBDF34-3570-4CD0-A0DC-D4923F5A9442}" name="Column13877"/>
    <tableColumn id="13909" xr3:uid="{E40553EC-31B5-4277-B951-07C90AE33FEA}" name="Column13878"/>
    <tableColumn id="13910" xr3:uid="{4A2658BA-1943-482F-A938-CF6843ED8D00}" name="Column13879"/>
    <tableColumn id="13911" xr3:uid="{A169A5CA-F6FC-4361-92ED-D9D185DD4617}" name="Column13880"/>
    <tableColumn id="13912" xr3:uid="{27060491-88F9-4DFD-872C-8EB6C7E4968B}" name="Column13881"/>
    <tableColumn id="13913" xr3:uid="{E644B6C5-CC18-4CC7-A50F-9D742D6911C8}" name="Column13882"/>
    <tableColumn id="13914" xr3:uid="{B60E3BF9-E427-42DA-9D58-335BA69BF656}" name="Column13883"/>
    <tableColumn id="13915" xr3:uid="{893AC8BB-ADFB-4316-A0C9-465DD3FB0AA6}" name="Column13884"/>
    <tableColumn id="13916" xr3:uid="{3F97D278-A115-4B8E-9FBF-E8C69ECA8589}" name="Column13885"/>
    <tableColumn id="13917" xr3:uid="{DCE08188-D3D6-498B-A077-99210B4637D7}" name="Column13886"/>
    <tableColumn id="13918" xr3:uid="{9064DC18-24DC-4106-A742-823518A94602}" name="Column13887"/>
    <tableColumn id="13919" xr3:uid="{5A38B605-59F8-428A-AC58-19D1E611B47E}" name="Column13888"/>
    <tableColumn id="13920" xr3:uid="{D8CD88B6-9C2D-4F8F-9061-CF2DF50B3197}" name="Column13889"/>
    <tableColumn id="13921" xr3:uid="{92CAAFF8-6DA1-4800-AEF7-47FF1CCB0D91}" name="Column13890"/>
    <tableColumn id="13922" xr3:uid="{DAFB4F95-3F03-453C-B288-BDFBDD7BDD34}" name="Column13891"/>
    <tableColumn id="13923" xr3:uid="{A62FBE9F-A00B-4D18-B309-D1560EA9238C}" name="Column13892"/>
    <tableColumn id="13924" xr3:uid="{5E574E4E-A6F8-459D-87E3-94CD26F48844}" name="Column13893"/>
    <tableColumn id="13925" xr3:uid="{E2FA76D0-9CDE-48F7-BCD8-240CAD60C87F}" name="Column13894"/>
    <tableColumn id="13926" xr3:uid="{4148C229-CD47-4CC7-A299-E0E278E5F236}" name="Column13895"/>
    <tableColumn id="13927" xr3:uid="{96B0CC6A-843F-4AD8-A357-D296CD568E99}" name="Column13896"/>
    <tableColumn id="13928" xr3:uid="{7D190693-569C-470C-ACEC-440590283640}" name="Column13897"/>
    <tableColumn id="13929" xr3:uid="{50362687-7703-4D02-83E9-13C59FBB993B}" name="Column13898"/>
    <tableColumn id="13930" xr3:uid="{DA616A4B-370B-45A9-82B1-50CBFA46EE69}" name="Column13899"/>
    <tableColumn id="13931" xr3:uid="{86EC53BB-A85A-493D-9D4F-7AAABC3ECDC1}" name="Column13900"/>
    <tableColumn id="13932" xr3:uid="{01CDEC11-29E4-4A5C-9C7C-10E51FD8832F}" name="Column13901"/>
    <tableColumn id="13933" xr3:uid="{C864891A-1804-4F2C-9319-8A6D5BBAC749}" name="Column13902"/>
    <tableColumn id="13934" xr3:uid="{8A004216-8220-49B9-8D44-4D084CA8652D}" name="Column13903"/>
    <tableColumn id="13935" xr3:uid="{A684A12A-307D-48B2-8344-318FB58ABB2E}" name="Column13904"/>
    <tableColumn id="13936" xr3:uid="{8CC7A3B2-E94B-4908-9AAF-A0A4729AD6BA}" name="Column13905"/>
    <tableColumn id="13937" xr3:uid="{B544E128-CF41-4090-8ECD-E2B7018BEDAA}" name="Column13906"/>
    <tableColumn id="13938" xr3:uid="{3BD1DFDE-A10F-4FD4-A80F-361CD3B2AEAA}" name="Column13907"/>
    <tableColumn id="13939" xr3:uid="{EC4E5A15-7030-4331-8C43-F747D9424B31}" name="Column13908"/>
    <tableColumn id="13940" xr3:uid="{D9643A84-B7F3-497A-909F-8BB27B38BE99}" name="Column13909"/>
    <tableColumn id="13941" xr3:uid="{D29CEF53-C7C3-458C-AA21-72B341E4E26F}" name="Column13910"/>
    <tableColumn id="13942" xr3:uid="{2518FDB8-5094-4B0E-918C-4C777E92A966}" name="Column13911"/>
    <tableColumn id="13943" xr3:uid="{E9B9D94F-8C48-4B54-94DC-5F22B3F51757}" name="Column13912"/>
    <tableColumn id="13944" xr3:uid="{3902D73E-2ABC-4899-A6F1-FC3595002537}" name="Column13913"/>
    <tableColumn id="13945" xr3:uid="{6F871152-3FB3-4FED-B0F5-886B13F1BA4A}" name="Column13914"/>
    <tableColumn id="13946" xr3:uid="{B5A4B6F5-F26A-482D-BA2A-9094D0201B5B}" name="Column13915"/>
    <tableColumn id="13947" xr3:uid="{95570986-3D4C-4332-964B-29F68F04B55F}" name="Column13916"/>
    <tableColumn id="13948" xr3:uid="{26A25BF1-F3B5-45F6-A7F9-63FA999B9B36}" name="Column13917"/>
    <tableColumn id="13949" xr3:uid="{22ACAA68-3E05-46BB-BD23-DEBB9A477E66}" name="Column13918"/>
    <tableColumn id="13950" xr3:uid="{E0B9B771-6459-4E87-ADDF-482D0CECD480}" name="Column13919"/>
    <tableColumn id="13951" xr3:uid="{933605DF-D707-45E1-BDF5-526CCC576BC2}" name="Column13920"/>
    <tableColumn id="13952" xr3:uid="{9D9F8424-9ABB-41E9-AF0D-ED0DE949AADC}" name="Column13921"/>
    <tableColumn id="13953" xr3:uid="{CF683FA4-7192-4327-A3C9-6E3B9A642B83}" name="Column13922"/>
    <tableColumn id="13954" xr3:uid="{1946ADD1-AA94-49D4-84D9-B2F4DD04778C}" name="Column13923"/>
    <tableColumn id="13955" xr3:uid="{75A0A43A-1D7B-4735-B045-A83072F00561}" name="Column13924"/>
    <tableColumn id="13956" xr3:uid="{8C2B4C78-48D6-49E6-AFDB-829BD3EAC270}" name="Column13925"/>
    <tableColumn id="13957" xr3:uid="{F972E9AB-CD27-43F8-9BEC-7B2A1EFF4C74}" name="Column13926"/>
    <tableColumn id="13958" xr3:uid="{D8DEBA36-B0A6-451B-8BE2-6C9A46E228E6}" name="Column13927"/>
    <tableColumn id="13959" xr3:uid="{EC1C658B-8F2D-4731-AEDF-01331ACA8417}" name="Column13928"/>
    <tableColumn id="13960" xr3:uid="{E08A1B74-B503-4B4E-B8D4-742284A0E4D6}" name="Column13929"/>
    <tableColumn id="13961" xr3:uid="{80BE0C7C-D5FB-4673-A6EE-52ADE6A9257E}" name="Column13930"/>
    <tableColumn id="13962" xr3:uid="{78B24724-27B4-4F3E-9188-BCBE5DD878B2}" name="Column13931"/>
    <tableColumn id="13963" xr3:uid="{7194103A-665C-4CBD-A158-9B0FA5AEEFFE}" name="Column13932"/>
    <tableColumn id="13964" xr3:uid="{E2825189-1EBF-4816-B26B-C5D3A7C23703}" name="Column13933"/>
    <tableColumn id="13965" xr3:uid="{64034784-318C-46EF-ACE8-DE9189127A9A}" name="Column13934"/>
    <tableColumn id="13966" xr3:uid="{84BC1AC5-EE64-4C5C-B1C4-9FD248B98B13}" name="Column13935"/>
    <tableColumn id="13967" xr3:uid="{D405015E-1E18-4C63-BBD1-6228EC7BA015}" name="Column13936"/>
    <tableColumn id="13968" xr3:uid="{0E47D33C-1786-49A5-8C61-6E55720ECBF6}" name="Column13937"/>
    <tableColumn id="13969" xr3:uid="{444DEFC0-7D5E-4169-A4FC-C3555592A882}" name="Column13938"/>
    <tableColumn id="13970" xr3:uid="{75FB0AE9-0536-4033-9F64-E11A2C4EB7CB}" name="Column13939"/>
    <tableColumn id="13971" xr3:uid="{D8A23DCF-B0FD-4BA0-B248-75885541A539}" name="Column13940"/>
    <tableColumn id="13972" xr3:uid="{6F4A96BB-5E63-4D6D-8FF8-C14120D884A7}" name="Column13941"/>
    <tableColumn id="13973" xr3:uid="{ABE339D5-3E2C-4B84-AD31-6A8C55DC0341}" name="Column13942"/>
    <tableColumn id="13974" xr3:uid="{1356FA73-F4EE-46F3-9DC4-E6B6C4E5254A}" name="Column13943"/>
    <tableColumn id="13975" xr3:uid="{385C8D83-BB7B-4143-8AFC-A4C851806164}" name="Column13944"/>
    <tableColumn id="13976" xr3:uid="{AF899D0E-6BCE-463B-B17C-5744A0E6E0FF}" name="Column13945"/>
    <tableColumn id="13977" xr3:uid="{8DFBFE1C-D46A-4902-8658-B966D31F74F1}" name="Column13946"/>
    <tableColumn id="13978" xr3:uid="{421D2F90-4493-4152-9255-E4A9C4200C5B}" name="Column13947"/>
    <tableColumn id="13979" xr3:uid="{5292F91B-1841-4540-8A76-4065ABBB12A1}" name="Column13948"/>
    <tableColumn id="13980" xr3:uid="{88FA76AE-E879-48C8-80CF-4C3DC68D4821}" name="Column13949"/>
    <tableColumn id="13981" xr3:uid="{525EC333-F304-45E0-B0DF-491E5F3272C4}" name="Column13950"/>
    <tableColumn id="13982" xr3:uid="{F6ED3C9D-548F-45DA-82A2-307C950632D2}" name="Column13951"/>
    <tableColumn id="13983" xr3:uid="{8C5CC98B-6D10-4091-9722-3DC07BBE6BF7}" name="Column13952"/>
    <tableColumn id="13984" xr3:uid="{7957184F-6A9A-4621-9F52-5BD4B18FCAF5}" name="Column13953"/>
    <tableColumn id="13985" xr3:uid="{0F06B672-2F0D-4290-AEAB-45D2968AA277}" name="Column13954"/>
    <tableColumn id="13986" xr3:uid="{08DCA05F-CF57-4B85-8D6D-A982B88B2A74}" name="Column13955"/>
    <tableColumn id="13987" xr3:uid="{1CE5F957-DBA5-41E9-9C6D-52259ADD9F0E}" name="Column13956"/>
    <tableColumn id="13988" xr3:uid="{C556084A-1335-4A1C-861C-250D604D39C3}" name="Column13957"/>
    <tableColumn id="13989" xr3:uid="{F679B2FA-09EC-4442-93A2-D2C364F84473}" name="Column13958"/>
    <tableColumn id="13990" xr3:uid="{B3E3053C-8193-48DF-A2E5-1FFDEC9FCC6B}" name="Column13959"/>
    <tableColumn id="13991" xr3:uid="{A291EECE-E3BF-4467-8D54-0E2721DD77E9}" name="Column13960"/>
    <tableColumn id="13992" xr3:uid="{3F16F77A-E9AA-487F-A7D7-A06195F8FE5E}" name="Column13961"/>
    <tableColumn id="13993" xr3:uid="{A6B4E3B7-3387-4430-88D3-4ED207C1A637}" name="Column13962"/>
    <tableColumn id="13994" xr3:uid="{57784BD2-820F-4F69-B61A-F5556EE58D2C}" name="Column13963"/>
    <tableColumn id="13995" xr3:uid="{1181A362-391D-43F8-9CCC-10B95DCD43DA}" name="Column13964"/>
    <tableColumn id="13996" xr3:uid="{4AEF3D13-0D9F-4C13-8FF5-9B58A47FBC4E}" name="Column13965"/>
    <tableColumn id="13997" xr3:uid="{0D63C2C5-0E1C-4815-9522-C2BBA20124A8}" name="Column13966"/>
    <tableColumn id="13998" xr3:uid="{C33C9D87-2087-44CC-8285-4653A6EE771B}" name="Column13967"/>
    <tableColumn id="13999" xr3:uid="{1B2685A0-51CE-44AD-9F86-CC14FC784866}" name="Column13968"/>
    <tableColumn id="14000" xr3:uid="{E55F1BE5-6157-4694-AC33-380609B72F0F}" name="Column13969"/>
    <tableColumn id="14001" xr3:uid="{F1CFD06E-6FE1-45EA-A6D2-50874918B56B}" name="Column13970"/>
    <tableColumn id="14002" xr3:uid="{317473D8-D3CF-44A0-B33E-F6DA35611CC8}" name="Column13971"/>
    <tableColumn id="14003" xr3:uid="{3D8E1986-A95F-4E9D-B6D0-1F2D6B637C73}" name="Column13972"/>
    <tableColumn id="14004" xr3:uid="{3EDB888C-0587-45DA-A63F-7C7B288DC091}" name="Column13973"/>
    <tableColumn id="14005" xr3:uid="{116F9BC3-F3B9-4987-9224-12E156FCDA69}" name="Column13974"/>
    <tableColumn id="14006" xr3:uid="{A846210E-F882-426A-BE36-5A48FE0EEED5}" name="Column13975"/>
    <tableColumn id="14007" xr3:uid="{91953370-21B5-4970-AE59-C80CCF1E8CFF}" name="Column13976"/>
    <tableColumn id="14008" xr3:uid="{D2B3B6C3-9B44-4954-8582-C1CD78899534}" name="Column13977"/>
    <tableColumn id="14009" xr3:uid="{E48BD54C-A01E-4104-8ED3-5F049B1FFA0E}" name="Column13978"/>
    <tableColumn id="14010" xr3:uid="{194D56CE-BB52-44B2-9558-B0E6EF7ADB25}" name="Column13979"/>
    <tableColumn id="14011" xr3:uid="{974F37EF-5A1F-4940-879A-4F2E1094B8DC}" name="Column13980"/>
    <tableColumn id="14012" xr3:uid="{15EE5439-3C50-48EE-B1A1-D7BF1135A02F}" name="Column13981"/>
    <tableColumn id="14013" xr3:uid="{2850781F-B86F-47EA-B197-525A2D81DF16}" name="Column13982"/>
    <tableColumn id="14014" xr3:uid="{659D9E64-D3E2-480F-B72C-D92E6E85C5E0}" name="Column13983"/>
    <tableColumn id="14015" xr3:uid="{E8DBE83A-D941-4E71-9CE5-EE7A54482068}" name="Column13984"/>
    <tableColumn id="14016" xr3:uid="{9F48F4AD-21ED-4513-81EA-0351DE57938C}" name="Column13985"/>
    <tableColumn id="14017" xr3:uid="{5D4E7EF8-5973-4AA0-83AB-240032209489}" name="Column13986"/>
    <tableColumn id="14018" xr3:uid="{0F04375D-1C54-4320-A855-A6B6206C0AC4}" name="Column13987"/>
    <tableColumn id="14019" xr3:uid="{7BD968D7-B0D8-4BAC-BC6F-B987AB2E4D02}" name="Column13988"/>
    <tableColumn id="14020" xr3:uid="{7D29E72D-AD3B-40BF-9ABF-D22230F1DF44}" name="Column13989"/>
    <tableColumn id="14021" xr3:uid="{C2D2765C-0150-4929-B5B6-889777C6D286}" name="Column13990"/>
    <tableColumn id="14022" xr3:uid="{CCF09862-97F9-4E72-B474-D1CCA60F0164}" name="Column13991"/>
    <tableColumn id="14023" xr3:uid="{ACE79471-4A60-4214-9A6F-EF65A8AE06C4}" name="Column13992"/>
    <tableColumn id="14024" xr3:uid="{A127CED9-74B9-489E-8C92-176ABA8F34D2}" name="Column13993"/>
    <tableColumn id="14025" xr3:uid="{15DBEA00-BE81-408A-BB4E-05B4F2AB3B16}" name="Column13994"/>
    <tableColumn id="14026" xr3:uid="{4C470619-08C9-4487-829E-8390227515F8}" name="Column13995"/>
    <tableColumn id="14027" xr3:uid="{5732070F-9675-48BE-AE53-F2C1C54FD593}" name="Column13996"/>
    <tableColumn id="14028" xr3:uid="{02821DE0-E303-4350-BAED-49260F843B43}" name="Column13997"/>
    <tableColumn id="14029" xr3:uid="{4895463C-E2C1-42B6-A05B-417AC1B88F66}" name="Column13998"/>
    <tableColumn id="14030" xr3:uid="{7FE22B91-2BA4-4638-96BD-E50883D22B74}" name="Column13999"/>
    <tableColumn id="14031" xr3:uid="{E417CF88-CC36-4B88-A448-43CE02F9A03F}" name="Column14000"/>
    <tableColumn id="14032" xr3:uid="{867F8E09-CB9C-43E8-80DD-C35258DD064A}" name="Column14001"/>
    <tableColumn id="14033" xr3:uid="{5D2C4F53-D057-409B-A0F0-70F2B90BE3EE}" name="Column14002"/>
    <tableColumn id="14034" xr3:uid="{A57AB875-C056-46DD-8937-E3B589268B34}" name="Column14003"/>
    <tableColumn id="14035" xr3:uid="{B33D6199-49FF-4F78-BE10-26AD6E8796DD}" name="Column14004"/>
    <tableColumn id="14036" xr3:uid="{994F30C2-057D-41B3-B64B-9DA9AB23982C}" name="Column14005"/>
    <tableColumn id="14037" xr3:uid="{2BF1A46F-6674-47A7-9019-B51AF75BF874}" name="Column14006"/>
    <tableColumn id="14038" xr3:uid="{323B59B4-72FC-441F-9A9B-285A79DBE80C}" name="Column14007"/>
    <tableColumn id="14039" xr3:uid="{C6729498-347D-4EE4-856D-3C4E42A4CBA6}" name="Column14008"/>
    <tableColumn id="14040" xr3:uid="{93A7843A-BE29-4508-9FE6-3CCBD783306F}" name="Column14009"/>
    <tableColumn id="14041" xr3:uid="{BC67AB58-7987-43EB-8392-042379D2880F}" name="Column14010"/>
    <tableColumn id="14042" xr3:uid="{C95A102A-74B0-47C3-9DB2-DD48E25534FD}" name="Column14011"/>
    <tableColumn id="14043" xr3:uid="{2BADBFA7-54AA-4C08-A7D4-75CDFAA7C091}" name="Column14012"/>
    <tableColumn id="14044" xr3:uid="{F313FD6D-C6E8-448C-A794-6048572B8797}" name="Column14013"/>
    <tableColumn id="14045" xr3:uid="{54B7162D-7E61-4AD4-A8E5-8600650864BF}" name="Column14014"/>
    <tableColumn id="14046" xr3:uid="{3F3C3D44-B588-442C-805A-261A0FA43340}" name="Column14015"/>
    <tableColumn id="14047" xr3:uid="{C6BD4582-D743-4AAA-B788-F68344A8C4A6}" name="Column14016"/>
    <tableColumn id="14048" xr3:uid="{16E95C8A-6EF2-40AE-AED6-A3E6114FEF74}" name="Column14017"/>
    <tableColumn id="14049" xr3:uid="{B14CD145-EB71-43BE-A0D9-3CAFB0762318}" name="Column14018"/>
    <tableColumn id="14050" xr3:uid="{62B27656-D35E-445A-BEF6-92DB9685688F}" name="Column14019"/>
    <tableColumn id="14051" xr3:uid="{D242B0C3-4A97-4FC0-952F-82E216267245}" name="Column14020"/>
    <tableColumn id="14052" xr3:uid="{DBD2B241-3AC9-4D0A-BAF8-0FE1762BDAB0}" name="Column14021"/>
    <tableColumn id="14053" xr3:uid="{5600D25F-B176-49FA-B3B6-82E7ED209E77}" name="Column14022"/>
    <tableColumn id="14054" xr3:uid="{F99B7677-6785-42A9-AC82-B19FCC850840}" name="Column14023"/>
    <tableColumn id="14055" xr3:uid="{FA12B0B0-3C47-4659-88F9-D5FABD660FB3}" name="Column14024"/>
    <tableColumn id="14056" xr3:uid="{17A2A321-182B-4A4B-9BC2-E7A85E1C0F95}" name="Column14025"/>
    <tableColumn id="14057" xr3:uid="{01A35CBA-C8CD-45B2-8831-016BC33920E5}" name="Column14026"/>
    <tableColumn id="14058" xr3:uid="{43A10570-67D0-4CE0-B090-08F2A67327CE}" name="Column14027"/>
    <tableColumn id="14059" xr3:uid="{383D3A8B-E5AB-438A-8FDB-A6AFAD5F0E3D}" name="Column14028"/>
    <tableColumn id="14060" xr3:uid="{B4AE2978-31E6-48BA-A5F6-6468D4226A7C}" name="Column14029"/>
    <tableColumn id="14061" xr3:uid="{093DE9F5-441C-4833-94EA-D51C7D506A2E}" name="Column14030"/>
    <tableColumn id="14062" xr3:uid="{5F3E86A0-2857-4784-9DCA-0F0E1323F7EC}" name="Column14031"/>
    <tableColumn id="14063" xr3:uid="{DA7ACA02-0F40-4F25-AF14-5F072D7C72B6}" name="Column14032"/>
    <tableColumn id="14064" xr3:uid="{D8A6CFAD-C9AD-4E5D-BF44-2319D4991FB4}" name="Column14033"/>
    <tableColumn id="14065" xr3:uid="{5BABC8C1-436B-4B07-AC6E-A480587799D6}" name="Column14034"/>
    <tableColumn id="14066" xr3:uid="{6F27FC84-CA23-4C2D-A074-318F2AA2D6F6}" name="Column14035"/>
    <tableColumn id="14067" xr3:uid="{5224007D-56AB-402C-BCCB-7632B9E72582}" name="Column14036"/>
    <tableColumn id="14068" xr3:uid="{73FEAA5C-70C2-45C6-987A-290268D9B5B0}" name="Column14037"/>
    <tableColumn id="14069" xr3:uid="{7B1C5789-E3C0-46AC-A47F-30667AE045FD}" name="Column14038"/>
    <tableColumn id="14070" xr3:uid="{B63FE5CA-4FC3-4391-8158-50085255DFF7}" name="Column14039"/>
    <tableColumn id="14071" xr3:uid="{E2206E03-D2DB-4C49-9851-9B4613C1CA17}" name="Column14040"/>
    <tableColumn id="14072" xr3:uid="{DAEE8D94-AF81-474F-89BE-9852D60DA95B}" name="Column14041"/>
    <tableColumn id="14073" xr3:uid="{1DE2229F-E0EE-4883-BE34-44B9F54DD5A6}" name="Column14042"/>
    <tableColumn id="14074" xr3:uid="{F3E92BC6-1944-4F1D-BB5D-E08752D76030}" name="Column14043"/>
    <tableColumn id="14075" xr3:uid="{1C00C6E4-89B7-4948-A090-F52482AC317F}" name="Column14044"/>
    <tableColumn id="14076" xr3:uid="{61BCC6CF-21B5-4101-9077-2B7E410B16D2}" name="Column14045"/>
    <tableColumn id="14077" xr3:uid="{F003FFAB-64BC-4B66-8151-AA6C08CE5A81}" name="Column14046"/>
    <tableColumn id="14078" xr3:uid="{6A9E8EE0-E5C9-47EE-995A-FF515DA0FA54}" name="Column14047"/>
    <tableColumn id="14079" xr3:uid="{C2F72FE9-7852-4AB7-ABF3-581E60CB9419}" name="Column14048"/>
    <tableColumn id="14080" xr3:uid="{2D0853FE-DA87-4F23-9078-36959DE8B7BD}" name="Column14049"/>
    <tableColumn id="14081" xr3:uid="{128FBE80-3572-4D4F-8781-82AC3A11EEA1}" name="Column14050"/>
    <tableColumn id="14082" xr3:uid="{6C6B1ED5-5068-4D2C-A7B7-1CA55CCB29FC}" name="Column14051"/>
    <tableColumn id="14083" xr3:uid="{CBEC374D-412E-45A0-9F0D-3E3279E5DB6B}" name="Column14052"/>
    <tableColumn id="14084" xr3:uid="{312C2DCA-5A2B-4640-9F82-C21E7FD48059}" name="Column14053"/>
    <tableColumn id="14085" xr3:uid="{596515C3-34B4-4E9F-AFFA-6924C48EBAA5}" name="Column14054"/>
    <tableColumn id="14086" xr3:uid="{8011FE1C-1AEE-4E99-A113-82A72B78A41E}" name="Column14055"/>
    <tableColumn id="14087" xr3:uid="{51FF7C09-D170-4921-9C99-811AE611B041}" name="Column14056"/>
    <tableColumn id="14088" xr3:uid="{563ED933-87C5-4693-AAB8-6E059711550D}" name="Column14057"/>
    <tableColumn id="14089" xr3:uid="{51F2CAB5-C170-4692-9672-49F25D7DD177}" name="Column14058"/>
    <tableColumn id="14090" xr3:uid="{991855BF-9071-4CA7-96DE-2133A11F89D8}" name="Column14059"/>
    <tableColumn id="14091" xr3:uid="{FCA64098-1489-49C3-9505-4B1A6BA8275A}" name="Column14060"/>
    <tableColumn id="14092" xr3:uid="{15A65E41-5869-400C-BCFE-ECCAA5DEFE37}" name="Column14061"/>
    <tableColumn id="14093" xr3:uid="{8F2A2FE9-689E-4108-9EBA-F2E54D821031}" name="Column14062"/>
    <tableColumn id="14094" xr3:uid="{52B97941-9323-4234-A307-A3DF2145CFD7}" name="Column14063"/>
    <tableColumn id="14095" xr3:uid="{3C7A2325-5E51-4EE3-8298-F4E32A6D343B}" name="Column14064"/>
    <tableColumn id="14096" xr3:uid="{D9964374-9140-4E1A-BDF1-7BDD2A8A8F40}" name="Column14065"/>
    <tableColumn id="14097" xr3:uid="{79D8A8E6-78E5-437C-B076-C64B1977DE73}" name="Column14066"/>
    <tableColumn id="14098" xr3:uid="{760841E8-6CE6-4139-BB8D-314A5A1ED97A}" name="Column14067"/>
    <tableColumn id="14099" xr3:uid="{0C18C08E-E539-4BC4-BB9D-6B8FF3713894}" name="Column14068"/>
    <tableColumn id="14100" xr3:uid="{A797FDF7-ACB1-492F-9A94-A628056F068F}" name="Column14069"/>
    <tableColumn id="14101" xr3:uid="{21E2D70D-1795-4425-8DA5-B13DF55A5D46}" name="Column14070"/>
    <tableColumn id="14102" xr3:uid="{612CC99B-6425-4F6C-B1E7-1D5EE5BCC1D6}" name="Column14071"/>
    <tableColumn id="14103" xr3:uid="{B035E133-C799-469D-A230-DA7447EE5D8C}" name="Column14072"/>
    <tableColumn id="14104" xr3:uid="{336A73DE-8027-4820-B2BB-5E6BEAE26603}" name="Column14073"/>
    <tableColumn id="14105" xr3:uid="{6B4B172D-1CDB-45AE-BB55-05C274C1CEC7}" name="Column14074"/>
    <tableColumn id="14106" xr3:uid="{B8334979-85CB-4A72-A254-89A5D9A8E7CB}" name="Column14075"/>
    <tableColumn id="14107" xr3:uid="{EB4AE0DC-EFDF-4389-BC65-6BBDCC36F8FB}" name="Column14076"/>
    <tableColumn id="14108" xr3:uid="{FDA99037-520B-4F32-80BA-94FBB8BE82F9}" name="Column14077"/>
    <tableColumn id="14109" xr3:uid="{64EB770D-7EFE-4E83-9E06-60C0BC6A35B7}" name="Column14078"/>
    <tableColumn id="14110" xr3:uid="{4BB17E13-77D0-4AA8-976E-A8B4677DB29B}" name="Column14079"/>
    <tableColumn id="14111" xr3:uid="{EADF2D6C-07D5-4863-8519-DF1E9EDAFF95}" name="Column14080"/>
    <tableColumn id="14112" xr3:uid="{E7008352-11A3-4249-8FE2-79AD7FDD8932}" name="Column14081"/>
    <tableColumn id="14113" xr3:uid="{486B4964-1193-413D-A961-4E8368794CD6}" name="Column14082"/>
    <tableColumn id="14114" xr3:uid="{990723B0-FABB-4673-9115-DEE96CB5EB02}" name="Column14083"/>
    <tableColumn id="14115" xr3:uid="{2B0E21FF-A7F3-46BB-9538-231DA7A8B7D7}" name="Column14084"/>
    <tableColumn id="14116" xr3:uid="{2DE80F74-3560-4162-B2FC-F5483556BB93}" name="Column14085"/>
    <tableColumn id="14117" xr3:uid="{D50AEC6E-C4DD-49AB-B4F2-5C58736ECD6E}" name="Column14086"/>
    <tableColumn id="14118" xr3:uid="{4FE55A8E-598C-4814-BF4D-D1D219F3E71F}" name="Column14087"/>
    <tableColumn id="14119" xr3:uid="{EF7C4576-A178-4386-961C-7FBD658ECE52}" name="Column14088"/>
    <tableColumn id="14120" xr3:uid="{F71A62F0-DD05-458D-8002-D110CE22B190}" name="Column14089"/>
    <tableColumn id="14121" xr3:uid="{844FAECE-ED66-4AD9-9AD0-C78746795AD2}" name="Column14090"/>
    <tableColumn id="14122" xr3:uid="{9911CC2D-D3B4-4771-A922-26A210439473}" name="Column14091"/>
    <tableColumn id="14123" xr3:uid="{CC7AF9F9-B010-4197-A74F-F248C58DD370}" name="Column14092"/>
    <tableColumn id="14124" xr3:uid="{043FC31B-B6D0-4713-B346-A046C2AA8311}" name="Column14093"/>
    <tableColumn id="14125" xr3:uid="{151C1E6D-BF85-4773-A566-7F7B0BEACDC4}" name="Column14094"/>
    <tableColumn id="14126" xr3:uid="{79241A51-442C-4B0F-BE62-B6C00C96A24F}" name="Column14095"/>
    <tableColumn id="14127" xr3:uid="{11FD58F1-984B-43AE-B287-5B4084D91E85}" name="Column14096"/>
    <tableColumn id="14128" xr3:uid="{7B6F8DAA-7427-45FF-9EC1-56DE2B1B2E7B}" name="Column14097"/>
    <tableColumn id="14129" xr3:uid="{8606CF56-AF9A-474E-9584-7A7AAA466091}" name="Column14098"/>
    <tableColumn id="14130" xr3:uid="{117C3A62-5D23-4626-835E-97110A249330}" name="Column14099"/>
    <tableColumn id="14131" xr3:uid="{07309EB7-393A-4345-B87D-7FAF06843624}" name="Column14100"/>
    <tableColumn id="14132" xr3:uid="{39978208-A7AD-42F0-B2E3-4691EAFF6156}" name="Column14101"/>
    <tableColumn id="14133" xr3:uid="{0D21CD9D-7402-45D6-96DB-A2B48AAE3905}" name="Column14102"/>
    <tableColumn id="14134" xr3:uid="{D58045E0-E590-46EC-9EB7-4487EE381AC4}" name="Column14103"/>
    <tableColumn id="14135" xr3:uid="{F079D76D-6CF7-44A1-8FFB-FAA91707D2AB}" name="Column14104"/>
    <tableColumn id="14136" xr3:uid="{02F01E1B-61C5-4F80-9F02-98EE24B918ED}" name="Column14105"/>
    <tableColumn id="14137" xr3:uid="{71652D5C-9E93-4C5A-930D-4480A293438A}" name="Column14106"/>
    <tableColumn id="14138" xr3:uid="{944E8CD1-4024-4D73-AEA8-5FC1DEDE2A17}" name="Column14107"/>
    <tableColumn id="14139" xr3:uid="{62C78BA1-A76D-4E5C-8631-969759DF38B0}" name="Column14108"/>
    <tableColumn id="14140" xr3:uid="{DFCBF85F-70F6-4C15-8C1B-4951AA3F881D}" name="Column14109"/>
    <tableColumn id="14141" xr3:uid="{1C3AFE4F-3549-4738-8A66-F2B210097B9A}" name="Column14110"/>
    <tableColumn id="14142" xr3:uid="{F604D0EB-2934-4AFF-89EA-B3F0384BD8E5}" name="Column14111"/>
    <tableColumn id="14143" xr3:uid="{7A2B07E7-12B6-4E27-871C-16606BB81D82}" name="Column14112"/>
    <tableColumn id="14144" xr3:uid="{24E75323-4A3B-4AE6-AD71-2E3E5E9F163D}" name="Column14113"/>
    <tableColumn id="14145" xr3:uid="{D6E43CEB-7682-425E-90E6-7C363BC2C0DC}" name="Column14114"/>
    <tableColumn id="14146" xr3:uid="{17EAC8EE-43C7-45BE-996C-F36732007356}" name="Column14115"/>
    <tableColumn id="14147" xr3:uid="{524DD7C8-CC36-4A37-8906-4CB53BBB57A9}" name="Column14116"/>
    <tableColumn id="14148" xr3:uid="{4CACD7EC-2A93-4E78-8BAD-2680F0165716}" name="Column14117"/>
    <tableColumn id="14149" xr3:uid="{CC9C9C01-8F78-4652-B949-E7EBB7BE35C5}" name="Column14118"/>
    <tableColumn id="14150" xr3:uid="{C108764B-F78F-49C5-A65A-7B198B46224D}" name="Column14119"/>
    <tableColumn id="14151" xr3:uid="{671A5031-C587-4C58-8D56-04F191D47981}" name="Column14120"/>
    <tableColumn id="14152" xr3:uid="{6438C730-5CD4-4DC1-8583-14A9FA933C58}" name="Column14121"/>
    <tableColumn id="14153" xr3:uid="{C2246C31-994A-4754-A9ED-9DB6F9F5566E}" name="Column14122"/>
    <tableColumn id="14154" xr3:uid="{BDEBB161-C121-42CB-9F05-FD1FBD294C07}" name="Column14123"/>
    <tableColumn id="14155" xr3:uid="{33330F74-F1BA-4FAF-BF04-EC48078F276C}" name="Column14124"/>
    <tableColumn id="14156" xr3:uid="{309EB34E-B984-4CC8-BE37-62E0704497E2}" name="Column14125"/>
    <tableColumn id="14157" xr3:uid="{785E1C2A-F610-4081-8DF2-1A6575F305F3}" name="Column14126"/>
    <tableColumn id="14158" xr3:uid="{267B663B-620B-4ACC-8147-F8472F69D101}" name="Column14127"/>
    <tableColumn id="14159" xr3:uid="{6EFD8AE3-E3EA-4E27-BE33-412904EE8F90}" name="Column14128"/>
    <tableColumn id="14160" xr3:uid="{97E0BF29-069A-46A3-BC29-9E4BE58F2A9A}" name="Column14129"/>
    <tableColumn id="14161" xr3:uid="{F2FC7156-96E8-432F-888F-D70B0CDB638F}" name="Column14130"/>
    <tableColumn id="14162" xr3:uid="{8B677B03-D607-4FDC-8CB0-194E7449BE0F}" name="Column14131"/>
    <tableColumn id="14163" xr3:uid="{86938F4A-877C-41DD-BC2B-F6337CDA144B}" name="Column14132"/>
    <tableColumn id="14164" xr3:uid="{FC38E700-B5B7-4BF8-A1ED-7AD7A09CB9E6}" name="Column14133"/>
    <tableColumn id="14165" xr3:uid="{4D9ADAAC-4062-4993-8D58-2AB18C396472}" name="Column14134"/>
    <tableColumn id="14166" xr3:uid="{CABE4B15-18AD-46C8-96FB-A2A2935794C6}" name="Column14135"/>
    <tableColumn id="14167" xr3:uid="{3E422ECB-0A1D-4E10-91CA-71446A0149BD}" name="Column14136"/>
    <tableColumn id="14168" xr3:uid="{A3E54033-C73A-4166-9BD7-7B361A718BBB}" name="Column14137"/>
    <tableColumn id="14169" xr3:uid="{A5C5D347-E583-4A52-ACBC-FA334F247952}" name="Column14138"/>
    <tableColumn id="14170" xr3:uid="{57BF6B35-478E-46B2-A7AE-3CA0F14611B1}" name="Column14139"/>
    <tableColumn id="14171" xr3:uid="{6A2451D2-047A-4B71-8B81-5150CC0F83A4}" name="Column14140"/>
    <tableColumn id="14172" xr3:uid="{F839DB2B-574C-48F0-B653-D8C334025666}" name="Column14141"/>
    <tableColumn id="14173" xr3:uid="{CFE31D68-24AC-4150-8D0A-339C01B89AAC}" name="Column14142"/>
    <tableColumn id="14174" xr3:uid="{E4278759-AB4F-4D30-B608-9D0B0F4E1CD5}" name="Column14143"/>
    <tableColumn id="14175" xr3:uid="{3FB91B40-8064-4B77-800B-5EE415C4F792}" name="Column14144"/>
    <tableColumn id="14176" xr3:uid="{5BAFD9E8-74C2-425A-893C-83C14EE10B6E}" name="Column14145"/>
    <tableColumn id="14177" xr3:uid="{B54CE4D3-B36B-44DE-B1CC-AD290C1B44B4}" name="Column14146"/>
    <tableColumn id="14178" xr3:uid="{F2B03431-5200-4852-B9EB-96CDA0507FDA}" name="Column14147"/>
    <tableColumn id="14179" xr3:uid="{24E813D6-3DC0-48F2-80F8-8E2791D8E0B0}" name="Column14148"/>
    <tableColumn id="14180" xr3:uid="{3DC6BEED-09C4-45B7-83BD-178F36DFD9FA}" name="Column14149"/>
    <tableColumn id="14181" xr3:uid="{F12CAA35-DE99-4438-A360-8DA9A78B1B45}" name="Column14150"/>
    <tableColumn id="14182" xr3:uid="{8FFDDD34-9D65-49D4-9563-4523226F0B86}" name="Column14151"/>
    <tableColumn id="14183" xr3:uid="{F4E10105-B6EC-4A2A-838F-7CF41ADC409C}" name="Column14152"/>
    <tableColumn id="14184" xr3:uid="{F049CF37-CC38-418F-86C5-5C99F561B6BE}" name="Column14153"/>
    <tableColumn id="14185" xr3:uid="{4560453F-30E6-4CF2-B8AA-BF9E07F5E52C}" name="Column14154"/>
    <tableColumn id="14186" xr3:uid="{3FBFCA92-79BF-4AF9-8655-D1E2C727DFF7}" name="Column14155"/>
    <tableColumn id="14187" xr3:uid="{688FDC53-95CF-4ACD-BEB5-65C1F59148CB}" name="Column14156"/>
    <tableColumn id="14188" xr3:uid="{29AA4BE7-3A53-4500-9A06-11849BEC2C43}" name="Column14157"/>
    <tableColumn id="14189" xr3:uid="{482A9A0F-22D0-4A59-BA66-AB0BF4E41B6A}" name="Column14158"/>
    <tableColumn id="14190" xr3:uid="{BC4C8410-9606-4E52-B8C8-8C17601C9176}" name="Column14159"/>
    <tableColumn id="14191" xr3:uid="{DCC2E3B1-B233-4E50-85BC-78DEEEB606A7}" name="Column14160"/>
    <tableColumn id="14192" xr3:uid="{C5E36AFA-F993-40F2-810B-10338E383DB3}" name="Column14161"/>
    <tableColumn id="14193" xr3:uid="{31C6BDFC-4633-4EAA-ADFB-FAA49EF9B5D9}" name="Column14162"/>
    <tableColumn id="14194" xr3:uid="{DA2FD399-34D4-40CD-969E-AE45081722BA}" name="Column14163"/>
    <tableColumn id="14195" xr3:uid="{3A3C6E51-7D9D-4E54-8766-969AA121C446}" name="Column14164"/>
    <tableColumn id="14196" xr3:uid="{71100567-D926-41F1-93C5-D17A96C4DE4D}" name="Column14165"/>
    <tableColumn id="14197" xr3:uid="{6FAF10BB-87A5-43A3-803B-C3F5FB3D0801}" name="Column14166"/>
    <tableColumn id="14198" xr3:uid="{B79F03F5-EA70-4C15-9DF1-7AC7474A26F9}" name="Column14167"/>
    <tableColumn id="14199" xr3:uid="{B1AA9608-11A9-45AF-9527-2A3DF48E533F}" name="Column14168"/>
    <tableColumn id="14200" xr3:uid="{EE8AF980-5D09-4C65-B12D-85EF6A00DD13}" name="Column14169"/>
    <tableColumn id="14201" xr3:uid="{401D870F-7C40-49BF-8251-2241DADD945A}" name="Column14170"/>
    <tableColumn id="14202" xr3:uid="{8E6F19E6-A6AE-417B-AC0B-F1366974C14F}" name="Column14171"/>
    <tableColumn id="14203" xr3:uid="{C2BD9D57-CC00-4CA8-8420-5B9B64F3D252}" name="Column14172"/>
    <tableColumn id="14204" xr3:uid="{FF2D1B8C-3E41-4CBE-9A02-3528549EC016}" name="Column14173"/>
    <tableColumn id="14205" xr3:uid="{FC50545A-77AE-4A7C-BB3E-4D77B2970ED6}" name="Column14174"/>
    <tableColumn id="14206" xr3:uid="{C32895E8-727F-45BD-8261-0F97E1CF393F}" name="Column14175"/>
    <tableColumn id="14207" xr3:uid="{E7A3C300-D79A-4897-A820-829CE9504D6D}" name="Column14176"/>
    <tableColumn id="14208" xr3:uid="{E531AEAF-8F82-4911-B738-01CF67BBA873}" name="Column14177"/>
    <tableColumn id="14209" xr3:uid="{93C04B83-978E-48E8-B386-963C8A3C3F82}" name="Column14178"/>
    <tableColumn id="14210" xr3:uid="{93D7DB95-3CB7-499E-B5FF-3305EE2F7C28}" name="Column14179"/>
    <tableColumn id="14211" xr3:uid="{30FF8FD9-63BC-4A2A-828D-21BC7A2D0721}" name="Column14180"/>
    <tableColumn id="14212" xr3:uid="{C6CB7A64-26D1-4462-ABA7-7F8492AB3B23}" name="Column14181"/>
    <tableColumn id="14213" xr3:uid="{59D7D46F-DB40-4635-938E-1EC038B0A435}" name="Column14182"/>
    <tableColumn id="14214" xr3:uid="{92443616-D86A-4F9C-B6D3-111B8C0BD0ED}" name="Column14183"/>
    <tableColumn id="14215" xr3:uid="{497B0952-08AA-44F1-841A-7032E7AB76A6}" name="Column14184"/>
    <tableColumn id="14216" xr3:uid="{E8EE107B-979E-4FFB-8333-E2A3098BEC73}" name="Column14185"/>
    <tableColumn id="14217" xr3:uid="{D0FED010-F7A3-44B8-A0BF-5AEEFAF5196F}" name="Column14186"/>
    <tableColumn id="14218" xr3:uid="{B3DAB6B9-CC96-4446-A2A6-25B6125918C5}" name="Column14187"/>
    <tableColumn id="14219" xr3:uid="{41C78918-53C5-473D-9ACC-E6B915184BB4}" name="Column14188"/>
    <tableColumn id="14220" xr3:uid="{BE4836E3-7A6F-473D-9F5B-9AB27260C1CF}" name="Column14189"/>
    <tableColumn id="14221" xr3:uid="{3E73BC74-D7A0-4709-803F-0C12EE4812C7}" name="Column14190"/>
    <tableColumn id="14222" xr3:uid="{B19DE2C2-463D-4F75-B1C9-19D3C6E1245A}" name="Column14191"/>
    <tableColumn id="14223" xr3:uid="{A3B84A63-7BD5-48F6-9364-13FFF5FFA6B9}" name="Column14192"/>
    <tableColumn id="14224" xr3:uid="{83E5397F-8D70-46D9-9247-2BC10BEFAFB3}" name="Column14193"/>
    <tableColumn id="14225" xr3:uid="{5CE747D5-FBB8-4B6A-9583-2A81389355AE}" name="Column14194"/>
    <tableColumn id="14226" xr3:uid="{9DA82DA7-7003-4FCE-BAF7-F7F525329924}" name="Column14195"/>
    <tableColumn id="14227" xr3:uid="{8C52D431-E50E-445C-96D6-76975506CED1}" name="Column14196"/>
    <tableColumn id="14228" xr3:uid="{C3CC3EFC-A6FB-434A-BB0B-E8001FD31BCA}" name="Column14197"/>
    <tableColumn id="14229" xr3:uid="{22FD3BE9-224C-456E-A21A-53D0D6BAED5C}" name="Column14198"/>
    <tableColumn id="14230" xr3:uid="{C5BB0153-C5CE-4922-96B9-6EE6A6FA8DA1}" name="Column14199"/>
    <tableColumn id="14231" xr3:uid="{BD9EA2EE-75C0-4164-89CB-C5190B38417C}" name="Column14200"/>
    <tableColumn id="14232" xr3:uid="{EF29AD6B-1767-4E11-8940-CE4A52C0EA62}" name="Column14201"/>
    <tableColumn id="14233" xr3:uid="{EB1D24A8-C620-4AAA-ACD9-EC3C12D894F4}" name="Column14202"/>
    <tableColumn id="14234" xr3:uid="{1CC9B1A5-A60A-471A-BCD1-9D967C197E76}" name="Column14203"/>
    <tableColumn id="14235" xr3:uid="{A6804389-C26B-4757-8636-2B2996CB57FE}" name="Column14204"/>
    <tableColumn id="14236" xr3:uid="{35D31810-5A57-4752-9B27-94208F7F187F}" name="Column14205"/>
    <tableColumn id="14237" xr3:uid="{0B3CD92A-5DE8-4CEB-B006-A148BAADC069}" name="Column14206"/>
    <tableColumn id="14238" xr3:uid="{E814E260-2FA5-43F4-8108-C4C6B886EAFC}" name="Column14207"/>
    <tableColumn id="14239" xr3:uid="{A7B68D5D-EE7F-40BD-A662-844A7718E145}" name="Column14208"/>
    <tableColumn id="14240" xr3:uid="{3C80ED23-D311-4AD6-8563-A8226BEBD84A}" name="Column14209"/>
    <tableColumn id="14241" xr3:uid="{308AB7BA-7D30-48F8-8AE2-43B1A1F5BDB4}" name="Column14210"/>
    <tableColumn id="14242" xr3:uid="{6AA4B537-5271-409E-BA09-B71FB57825F8}" name="Column14211"/>
    <tableColumn id="14243" xr3:uid="{725F4544-4D89-49D6-ABF1-EC2E342D6873}" name="Column14212"/>
    <tableColumn id="14244" xr3:uid="{D87FA51B-9E55-4D34-85E7-0EB63628B77D}" name="Column14213"/>
    <tableColumn id="14245" xr3:uid="{792C6DBE-AA6A-4CF7-9668-1F0779753741}" name="Column14214"/>
    <tableColumn id="14246" xr3:uid="{4EE7183C-01C1-405D-B671-690C86643DA0}" name="Column14215"/>
    <tableColumn id="14247" xr3:uid="{E166C2D8-EFBB-444B-880A-59B90B6B7CB7}" name="Column14216"/>
    <tableColumn id="14248" xr3:uid="{6895909C-960A-4351-A75B-1D02251CA05F}" name="Column14217"/>
    <tableColumn id="14249" xr3:uid="{1AA4A168-5ABA-4CD7-B30A-B69EFDC91544}" name="Column14218"/>
    <tableColumn id="14250" xr3:uid="{0E484E42-7353-4C13-A59A-227CB11A9036}" name="Column14219"/>
    <tableColumn id="14251" xr3:uid="{81218F86-9BC3-478F-A94F-DCCC08DDE55A}" name="Column14220"/>
    <tableColumn id="14252" xr3:uid="{BFF91B5E-F9C7-4F31-A302-4362B8D0B9B6}" name="Column14221"/>
    <tableColumn id="14253" xr3:uid="{D094DABA-6567-43DA-AD1F-0E0248EDCBBA}" name="Column14222"/>
    <tableColumn id="14254" xr3:uid="{D17C9FEB-7E4E-4CD3-9C0E-980A6D18FE24}" name="Column14223"/>
    <tableColumn id="14255" xr3:uid="{E643B735-070E-444F-877A-4BB013557A69}" name="Column14224"/>
    <tableColumn id="14256" xr3:uid="{8C46120D-F4C2-4D3C-87D4-A9927A18F4A7}" name="Column14225"/>
    <tableColumn id="14257" xr3:uid="{2040C137-E8EE-490A-840C-70C464149F67}" name="Column14226"/>
    <tableColumn id="14258" xr3:uid="{1CF5AF17-7361-4709-B715-428A0D0986AD}" name="Column14227"/>
    <tableColumn id="14259" xr3:uid="{81147692-E493-4555-855D-BF71DBA6B74B}" name="Column14228"/>
    <tableColumn id="14260" xr3:uid="{01380F2B-7261-45BB-B607-788D6A322F40}" name="Column14229"/>
    <tableColumn id="14261" xr3:uid="{16D15E10-3908-4A6D-B6F1-BE335AD11A03}" name="Column14230"/>
    <tableColumn id="14262" xr3:uid="{F455C829-9AEE-431D-A2D1-F030E3EB072B}" name="Column14231"/>
    <tableColumn id="14263" xr3:uid="{87BA771A-36A1-4575-98A0-434FB12EC7EB}" name="Column14232"/>
    <tableColumn id="14264" xr3:uid="{B1866C69-1559-49F6-B355-3E575611B754}" name="Column14233"/>
    <tableColumn id="14265" xr3:uid="{F9CD2D4B-C41B-4C50-AECF-A2C17CEEBDF2}" name="Column14234"/>
    <tableColumn id="14266" xr3:uid="{F403C2AB-111A-4B8E-A8FC-A00546B0AE43}" name="Column14235"/>
    <tableColumn id="14267" xr3:uid="{F71AB1FE-C59E-4080-A1EE-26720B4FBEBB}" name="Column14236"/>
    <tableColumn id="14268" xr3:uid="{38725B5D-6EBC-4E29-B8C7-427CA061678D}" name="Column14237"/>
    <tableColumn id="14269" xr3:uid="{81AAC766-4C32-427A-85EA-F54E5744AB0F}" name="Column14238"/>
    <tableColumn id="14270" xr3:uid="{9C2984EC-515C-45B7-BB59-619EE566A34A}" name="Column14239"/>
    <tableColumn id="14271" xr3:uid="{02281143-4944-4C53-BF63-75BAECE5FBE6}" name="Column14240"/>
    <tableColumn id="14272" xr3:uid="{57A74428-4519-45EB-9385-2210DAEDF45E}" name="Column14241"/>
    <tableColumn id="14273" xr3:uid="{10DCD265-9517-46ED-9270-3CBCF019421B}" name="Column14242"/>
    <tableColumn id="14274" xr3:uid="{BAA78270-9096-4F27-A297-BF0C47B0A32B}" name="Column14243"/>
    <tableColumn id="14275" xr3:uid="{4C6D9C2D-A242-4964-B5AB-55BA6B1FFD7A}" name="Column14244"/>
    <tableColumn id="14276" xr3:uid="{D5DD0C0C-74F1-4648-9D40-960495D2963B}" name="Column14245"/>
    <tableColumn id="14277" xr3:uid="{2FA1D296-4F84-4EAF-BBEC-6D68990F07D7}" name="Column14246"/>
    <tableColumn id="14278" xr3:uid="{BFE189C7-02BA-4FA1-B692-EEE1AC4A1DAB}" name="Column14247"/>
    <tableColumn id="14279" xr3:uid="{AC9B5B6B-B608-4D0E-AC82-60E621E9531C}" name="Column14248"/>
    <tableColumn id="14280" xr3:uid="{C2C3531D-DEB7-4E0B-AAC6-A45535F8FC78}" name="Column14249"/>
    <tableColumn id="14281" xr3:uid="{94C97969-07B0-4533-B079-67338466B40C}" name="Column14250"/>
    <tableColumn id="14282" xr3:uid="{C50A7583-52C1-4BE1-B887-549C7BB50972}" name="Column14251"/>
    <tableColumn id="14283" xr3:uid="{51FCD637-FF1E-41DA-A151-BE880726E8E4}" name="Column14252"/>
    <tableColumn id="14284" xr3:uid="{F68715F0-B710-43AD-B116-FEC936909FE9}" name="Column14253"/>
    <tableColumn id="14285" xr3:uid="{B77FA5F3-1616-480D-8636-9FB76E761C57}" name="Column14254"/>
    <tableColumn id="14286" xr3:uid="{85640253-A07D-45EC-B3CA-D2484BD74A06}" name="Column14255"/>
    <tableColumn id="14287" xr3:uid="{211A4C19-8A67-4755-8B90-E6E409019620}" name="Column14256"/>
    <tableColumn id="14288" xr3:uid="{8A97DF92-7023-41E5-AA65-D44C27D8DE7C}" name="Column14257"/>
    <tableColumn id="14289" xr3:uid="{75B9D3E2-AC1F-42D4-8955-7B78A661DB74}" name="Column14258"/>
    <tableColumn id="14290" xr3:uid="{07B2F148-1551-49FA-A19B-CA2D6AC0D318}" name="Column14259"/>
    <tableColumn id="14291" xr3:uid="{DB9E7D3D-72F4-47C4-9417-6D3BAC92B960}" name="Column14260"/>
    <tableColumn id="14292" xr3:uid="{5C93F0AA-C5D2-4534-91B9-DD587D12E13C}" name="Column14261"/>
    <tableColumn id="14293" xr3:uid="{8C1FD53E-15D5-4BCB-85D7-652A9F331A25}" name="Column14262"/>
    <tableColumn id="14294" xr3:uid="{18187A91-CFDF-4B63-8ADC-CB2D3D740B44}" name="Column14263"/>
    <tableColumn id="14295" xr3:uid="{72409C28-1C30-4A64-A7A1-F724FF09EA70}" name="Column14264"/>
    <tableColumn id="14296" xr3:uid="{51D35181-7BAA-4D1F-BE03-6BFD1BB00C02}" name="Column14265"/>
    <tableColumn id="14297" xr3:uid="{02DD3928-0241-4759-92E7-EB6415F7F3E2}" name="Column14266"/>
    <tableColumn id="14298" xr3:uid="{F65E4C2E-EA57-4905-8F75-63201BB9C842}" name="Column14267"/>
    <tableColumn id="14299" xr3:uid="{4C7664DC-F557-4D7A-9031-11DC2029EB97}" name="Column14268"/>
    <tableColumn id="14300" xr3:uid="{A642F841-940E-432C-B57A-0A263454FAA0}" name="Column14269"/>
    <tableColumn id="14301" xr3:uid="{EBB14DB0-B4B2-4E66-B3FE-DA666F8D0E2C}" name="Column14270"/>
    <tableColumn id="14302" xr3:uid="{FDD4F548-5925-4520-92EF-7D04C7664889}" name="Column14271"/>
    <tableColumn id="14303" xr3:uid="{9046209C-A720-41E6-9411-B1EECB0E557B}" name="Column14272"/>
    <tableColumn id="14304" xr3:uid="{9CBE97C3-5D8C-48DB-8FB3-D70A02463346}" name="Column14273"/>
    <tableColumn id="14305" xr3:uid="{5BD95EB2-25A3-490D-9B1B-699E7D14BC95}" name="Column14274"/>
    <tableColumn id="14306" xr3:uid="{86F91210-92F9-4263-9806-9F11E91F00E2}" name="Column14275"/>
    <tableColumn id="14307" xr3:uid="{A091B9F0-A1D4-4D8E-BE43-270902FC8E4C}" name="Column14276"/>
    <tableColumn id="14308" xr3:uid="{563881D6-CB5D-498F-BECC-6753F455392D}" name="Column14277"/>
    <tableColumn id="14309" xr3:uid="{1F6A42BA-D6E9-46CF-B12E-0F3F87FFC790}" name="Column14278"/>
    <tableColumn id="14310" xr3:uid="{B7C6DA4F-9786-4D9C-8EFD-4F28AA18F06A}" name="Column14279"/>
    <tableColumn id="14311" xr3:uid="{A3CC876E-9C8F-4366-8D3A-2FD1B3A8089A}" name="Column14280"/>
    <tableColumn id="14312" xr3:uid="{975AAEF4-3D37-4415-ADCC-8CD126497601}" name="Column14281"/>
    <tableColumn id="14313" xr3:uid="{A5E734A9-3FE6-4765-A758-B0BF839D999A}" name="Column14282"/>
    <tableColumn id="14314" xr3:uid="{3C0EBE23-141D-43AD-9C5C-7B9A534278ED}" name="Column14283"/>
    <tableColumn id="14315" xr3:uid="{97D2302E-E56A-48A9-9D64-AC20EE8130E2}" name="Column14284"/>
    <tableColumn id="14316" xr3:uid="{F9BF0C71-C7A9-4E14-ABEF-E2DB5D813472}" name="Column14285"/>
    <tableColumn id="14317" xr3:uid="{83810921-E317-4DC0-8A3F-B63C0A8A1E91}" name="Column14286"/>
    <tableColumn id="14318" xr3:uid="{0397D022-AB27-4BE2-9922-124A23BC580E}" name="Column14287"/>
    <tableColumn id="14319" xr3:uid="{93C45D26-5C3C-493C-A880-B22D1283106F}" name="Column14288"/>
    <tableColumn id="14320" xr3:uid="{683D5E01-2B59-4D43-9746-C05B79A9920D}" name="Column14289"/>
    <tableColumn id="14321" xr3:uid="{FDFCB72E-1792-4053-98ED-E1072ABA1EBD}" name="Column14290"/>
    <tableColumn id="14322" xr3:uid="{89E5C7CA-7908-43D3-BAA7-FFAAB8038DAD}" name="Column14291"/>
    <tableColumn id="14323" xr3:uid="{C72D31F1-B40B-488C-8AD5-6D19A3FC6007}" name="Column14292"/>
    <tableColumn id="14324" xr3:uid="{5678DC7C-9A03-4A91-8DDE-829F002A8554}" name="Column14293"/>
    <tableColumn id="14325" xr3:uid="{D241438A-BF4A-49E1-ABD1-6032763EB95D}" name="Column14294"/>
    <tableColumn id="14326" xr3:uid="{CF5C0612-7374-47DC-B54C-8CD6DCDF2E42}" name="Column14295"/>
    <tableColumn id="14327" xr3:uid="{90AD215A-E4F7-4BD5-9FF0-4904A9B4B3E5}" name="Column14296"/>
    <tableColumn id="14328" xr3:uid="{44BD6998-1302-4E4A-ACB2-D27DF5142453}" name="Column14297"/>
    <tableColumn id="14329" xr3:uid="{FC958385-88A0-43CA-B693-F730DC3117BC}" name="Column14298"/>
    <tableColumn id="14330" xr3:uid="{8FDBFFE5-1794-481D-8EA6-7D06DBE03AD0}" name="Column14299"/>
    <tableColumn id="14331" xr3:uid="{3F1BD049-C009-4A00-A29C-96DB35F61173}" name="Column14300"/>
    <tableColumn id="14332" xr3:uid="{0DEA8992-4C62-4AA9-B81B-47B48468221D}" name="Column14301"/>
    <tableColumn id="14333" xr3:uid="{D369E1B1-D83E-44EF-B326-08F07724C6DB}" name="Column14302"/>
    <tableColumn id="14334" xr3:uid="{4A887C54-9F58-400F-9AAE-85D56DF354BD}" name="Column14303"/>
    <tableColumn id="14335" xr3:uid="{AB24ECBD-E1FB-40C6-8516-D4BF25CF800F}" name="Column14304"/>
    <tableColumn id="14336" xr3:uid="{4BB47AE6-5D19-4741-AA9A-6C1A81F4B41D}" name="Column14305"/>
    <tableColumn id="14337" xr3:uid="{6BA4B7D4-621D-4B87-B113-F16D7A77D81C}" name="Column14306"/>
    <tableColumn id="14338" xr3:uid="{A5A8AF9C-8FC2-4865-B3DE-0F1B9F9E5E88}" name="Column14307"/>
    <tableColumn id="14339" xr3:uid="{29D4821F-4FF3-44F1-8720-0683454F4198}" name="Column14308"/>
    <tableColumn id="14340" xr3:uid="{264BA2A9-4B47-4D96-A1B8-664A8A500C9F}" name="Column14309"/>
    <tableColumn id="14341" xr3:uid="{02496936-4789-4C19-AA16-C5C6427F38B5}" name="Column14310"/>
    <tableColumn id="14342" xr3:uid="{FC344317-D694-409E-B634-1C1C15CD7B6A}" name="Column14311"/>
    <tableColumn id="14343" xr3:uid="{9827E8E9-1DB7-476E-9ECA-23E489DC4F5A}" name="Column14312"/>
    <tableColumn id="14344" xr3:uid="{99217D90-2F41-41AA-B3D2-2F8A7626E902}" name="Column14313"/>
    <tableColumn id="14345" xr3:uid="{CFA92EAF-8F02-4E72-8080-77CCC5FE1498}" name="Column14314"/>
    <tableColumn id="14346" xr3:uid="{2AE29FDC-7CA7-4F37-AA08-88657CB54042}" name="Column14315"/>
    <tableColumn id="14347" xr3:uid="{4DC4927E-2B3C-4C0D-919A-80C0A5658392}" name="Column14316"/>
    <tableColumn id="14348" xr3:uid="{10CA5E8E-E905-4A8F-B89C-611584C816E8}" name="Column14317"/>
    <tableColumn id="14349" xr3:uid="{EDF6BC3E-BAF7-495A-9563-81F7680D759A}" name="Column14318"/>
    <tableColumn id="14350" xr3:uid="{7E0ECCE4-AA31-49D4-8522-F1E16E5F2474}" name="Column14319"/>
    <tableColumn id="14351" xr3:uid="{4E27E563-F846-4F7B-BD6A-EF1B602737C7}" name="Column14320"/>
    <tableColumn id="14352" xr3:uid="{7C132F57-6B4E-4C84-A149-C7E00F32654A}" name="Column14321"/>
    <tableColumn id="14353" xr3:uid="{F236884B-97CC-4A8D-A821-653BF0A42608}" name="Column14322"/>
    <tableColumn id="14354" xr3:uid="{AB9A5D2F-BF28-48AC-8261-E1B40C3F8D31}" name="Column14323"/>
    <tableColumn id="14355" xr3:uid="{00E519A2-87EF-40FB-B572-D25C7F18C132}" name="Column14324"/>
    <tableColumn id="14356" xr3:uid="{5FC7FAFB-50CE-465A-AFFF-6A1E3A6FD092}" name="Column14325"/>
    <tableColumn id="14357" xr3:uid="{5D1C664C-1291-47FE-AF18-0D586013FA67}" name="Column14326"/>
    <tableColumn id="14358" xr3:uid="{9DAD81C7-9DBE-43C3-8C87-0B87FE7771CD}" name="Column14327"/>
    <tableColumn id="14359" xr3:uid="{8E7BE3DC-7C41-4C70-9363-FBEE67477A43}" name="Column14328"/>
    <tableColumn id="14360" xr3:uid="{811E2C6C-90BC-415E-AC01-1C8D47C113E9}" name="Column14329"/>
    <tableColumn id="14361" xr3:uid="{5E489F4F-26E8-48C3-A22E-CB5C4583F0F0}" name="Column14330"/>
    <tableColumn id="14362" xr3:uid="{0C647BAE-446C-4BC6-8CAA-DC69181A622F}" name="Column14331"/>
    <tableColumn id="14363" xr3:uid="{A408EE7E-528E-43F2-8E50-5C2981C9E5B8}" name="Column14332"/>
    <tableColumn id="14364" xr3:uid="{3E952DD3-76F7-4209-AE28-FD97F0BC9C2D}" name="Column14333"/>
    <tableColumn id="14365" xr3:uid="{F6083F20-B76E-4CEA-B044-62CC74D97A58}" name="Column14334"/>
    <tableColumn id="14366" xr3:uid="{B9FC1223-4DC3-4CC4-AECB-18AB8488321A}" name="Column14335"/>
    <tableColumn id="14367" xr3:uid="{6CE8B0FC-154D-4ECE-B53F-641301A719F4}" name="Column14336"/>
    <tableColumn id="14368" xr3:uid="{0F646ACF-7D4E-4364-921A-FEE637036F0B}" name="Column14337"/>
    <tableColumn id="14369" xr3:uid="{27C92517-B394-4AC5-81FC-580B67CF2D07}" name="Column14338"/>
    <tableColumn id="14370" xr3:uid="{EE71076D-561A-4B6F-BCD3-E597936879A5}" name="Column14339"/>
    <tableColumn id="14371" xr3:uid="{647C7740-BC17-4DB2-89DC-C225E1A1E1B7}" name="Column14340"/>
    <tableColumn id="14372" xr3:uid="{06B2A694-5F27-4DF5-B915-A5452DC3E0C6}" name="Column14341"/>
    <tableColumn id="14373" xr3:uid="{B9C2E6FB-6520-4933-B7FC-45107AE53B28}" name="Column14342"/>
    <tableColumn id="14374" xr3:uid="{9EF19B76-0AD0-44D0-8DAB-11445AC86191}" name="Column14343"/>
    <tableColumn id="14375" xr3:uid="{0CA3FDB8-1899-4589-919F-AB8BA7EC1DD0}" name="Column14344"/>
    <tableColumn id="14376" xr3:uid="{4E7B76DC-CDB5-4E04-9197-AE2555B4B934}" name="Column14345"/>
    <tableColumn id="14377" xr3:uid="{91C07565-B242-4F6F-9B59-4ACE5877F110}" name="Column14346"/>
    <tableColumn id="14378" xr3:uid="{7C9034F4-0CED-47F7-AB55-A2175A1F410E}" name="Column14347"/>
    <tableColumn id="14379" xr3:uid="{0BD4D396-0C67-4CD4-B389-901695E36299}" name="Column14348"/>
    <tableColumn id="14380" xr3:uid="{66F4DF03-DCE9-4F5E-9E4A-5677B5BE8449}" name="Column14349"/>
    <tableColumn id="14381" xr3:uid="{F7CA56D6-A86F-4E53-96B9-815CC2C82883}" name="Column14350"/>
    <tableColumn id="14382" xr3:uid="{7B9E9468-9DF8-466D-B685-30B2E98A5AE6}" name="Column14351"/>
    <tableColumn id="14383" xr3:uid="{E59860D2-838E-4FC6-8405-19C1D7BC3991}" name="Column14352"/>
    <tableColumn id="14384" xr3:uid="{BF316D27-AE2B-4537-99B5-5A28CDAE4A86}" name="Column14353"/>
    <tableColumn id="14385" xr3:uid="{5F197F5F-2013-4A3E-8AA1-E34E311B76C6}" name="Column14354"/>
    <tableColumn id="14386" xr3:uid="{E5F9AFB6-BF10-4088-8864-EF191C078359}" name="Column14355"/>
    <tableColumn id="14387" xr3:uid="{85CF2523-AD29-4DC5-BFD4-EC956461D276}" name="Column14356"/>
    <tableColumn id="14388" xr3:uid="{4A0AD257-9EAD-4103-BBE3-122E41861FBB}" name="Column14357"/>
    <tableColumn id="14389" xr3:uid="{CF5B88A1-E106-49FA-A954-AEE01B0ED838}" name="Column14358"/>
    <tableColumn id="14390" xr3:uid="{82B7D2B9-DDC6-43E6-B8F8-23A8270B5F46}" name="Column14359"/>
    <tableColumn id="14391" xr3:uid="{0DA6BC16-30CB-4969-A11C-53FB082B8DDA}" name="Column14360"/>
    <tableColumn id="14392" xr3:uid="{2B1CE32A-BAFB-42DD-9C5F-13A904B4DD1E}" name="Column14361"/>
    <tableColumn id="14393" xr3:uid="{FCF9B505-AFBF-4FDC-9A66-37385A3F9126}" name="Column14362"/>
    <tableColumn id="14394" xr3:uid="{97D5668A-B396-4E2A-9103-65671C8797CC}" name="Column14363"/>
    <tableColumn id="14395" xr3:uid="{89885092-70B5-46CA-9ECF-C0BB06C22061}" name="Column14364"/>
    <tableColumn id="14396" xr3:uid="{EFEA9D5E-ED5B-44C2-BE4B-9D61DA4B0C2E}" name="Column14365"/>
    <tableColumn id="14397" xr3:uid="{41019AE6-CC9F-45C5-A4B7-839676C0C285}" name="Column14366"/>
    <tableColumn id="14398" xr3:uid="{997E36C0-8970-4071-9344-6893559D91FA}" name="Column14367"/>
    <tableColumn id="14399" xr3:uid="{B53B3C6A-49DF-4DB9-BC3B-093694E94F54}" name="Column14368"/>
    <tableColumn id="14400" xr3:uid="{A32A1F01-56D3-4C23-9C67-C53F0196C874}" name="Column14369"/>
    <tableColumn id="14401" xr3:uid="{A0E888A0-F0A8-470A-83B5-3838F03203F8}" name="Column14370"/>
    <tableColumn id="14402" xr3:uid="{A90F9144-345E-424E-9BF7-48912779C70C}" name="Column14371"/>
    <tableColumn id="14403" xr3:uid="{42BD6C87-CBFB-435E-87A3-C1AEFD094BC3}" name="Column14372"/>
    <tableColumn id="14404" xr3:uid="{CA7E05C9-15BA-44F1-927C-760CE9CFBFA2}" name="Column14373"/>
    <tableColumn id="14405" xr3:uid="{1216C32A-3D27-4CAB-B538-E9810824241D}" name="Column14374"/>
    <tableColumn id="14406" xr3:uid="{A21D62D9-12F0-42B2-8753-1C294A2BA24E}" name="Column14375"/>
    <tableColumn id="14407" xr3:uid="{67B5E348-F59D-47CB-8607-5E0EA44E9953}" name="Column14376"/>
    <tableColumn id="14408" xr3:uid="{659236D5-30FD-4BC9-8EA1-E6999B469A67}" name="Column14377"/>
    <tableColumn id="14409" xr3:uid="{B724B691-04D3-4CBF-8B83-ACEAAB34A0D8}" name="Column14378"/>
    <tableColumn id="14410" xr3:uid="{892C86AE-7085-44ED-A759-64127CF8CC39}" name="Column14379"/>
    <tableColumn id="14411" xr3:uid="{6415CE8C-9C62-4350-A79E-65ED94A83CA8}" name="Column14380"/>
    <tableColumn id="14412" xr3:uid="{B756CFA0-800B-4D11-837A-801A29CD7E28}" name="Column14381"/>
    <tableColumn id="14413" xr3:uid="{5308EB23-FABB-4B93-9B7D-8A6BE57D4A1B}" name="Column14382"/>
    <tableColumn id="14414" xr3:uid="{C7BC3A56-4A24-4F26-B8B6-B67F0D1360E9}" name="Column14383"/>
    <tableColumn id="14415" xr3:uid="{98BAD6B2-BABB-43AA-B522-6F47FA1CE0CC}" name="Column14384"/>
    <tableColumn id="14416" xr3:uid="{8640EBB0-2565-49D4-BA09-E5BBED492FDD}" name="Column14385"/>
    <tableColumn id="14417" xr3:uid="{E37224D6-69AF-4C06-BAFC-357A9C8FD9B9}" name="Column14386"/>
    <tableColumn id="14418" xr3:uid="{3B6D7A4C-C9F2-48BF-8B3B-BCABA249C06A}" name="Column14387"/>
    <tableColumn id="14419" xr3:uid="{94BEC656-5C56-44A0-ACFC-EE35AFBE94E1}" name="Column14388"/>
    <tableColumn id="14420" xr3:uid="{F7F28DA6-1BBC-41D4-8E75-2BCE205C6490}" name="Column14389"/>
    <tableColumn id="14421" xr3:uid="{462FB4EA-B822-45DA-8A65-96A098769CAE}" name="Column14390"/>
    <tableColumn id="14422" xr3:uid="{16523E53-9478-4FDC-8D00-5FCBEBA3203E}" name="Column14391"/>
    <tableColumn id="14423" xr3:uid="{EDF8E288-FAE1-4E59-90CD-DE7164D555C7}" name="Column14392"/>
    <tableColumn id="14424" xr3:uid="{443BFDC2-DBF9-4C03-A06E-AB55BD167A2E}" name="Column14393"/>
    <tableColumn id="14425" xr3:uid="{E296AB23-F3C0-474A-BF84-20B47FE95128}" name="Column14394"/>
    <tableColumn id="14426" xr3:uid="{0E3AB5CC-E9D2-4ECA-8045-62364B49338B}" name="Column14395"/>
    <tableColumn id="14427" xr3:uid="{63AA096D-A394-4F67-BEBB-4F2CBCDA0965}" name="Column14396"/>
    <tableColumn id="14428" xr3:uid="{07D52F2B-B1BE-438D-AADC-22B5B272184A}" name="Column14397"/>
    <tableColumn id="14429" xr3:uid="{F8A611AC-0431-44CA-A26C-FB3404CAC18B}" name="Column14398"/>
    <tableColumn id="14430" xr3:uid="{2BA7B5CA-83DF-4BEC-9D60-7B37352D7654}" name="Column14399"/>
    <tableColumn id="14431" xr3:uid="{4A0B6C72-DEEE-4883-BEF5-E82167F5E3BC}" name="Column14400"/>
    <tableColumn id="14432" xr3:uid="{9A498B75-C4AE-4318-8969-4CF4EF30BECD}" name="Column14401"/>
    <tableColumn id="14433" xr3:uid="{6F04D134-3DF9-4CA1-A078-49D3850F3613}" name="Column14402"/>
    <tableColumn id="14434" xr3:uid="{02278F5D-2B00-4397-A688-203F1D623ABD}" name="Column14403"/>
    <tableColumn id="14435" xr3:uid="{6EDB0138-F437-47BB-BA7D-64832C7F39D5}" name="Column14404"/>
    <tableColumn id="14436" xr3:uid="{505DDEA3-C79E-433B-BB17-16FDFF54D1A9}" name="Column14405"/>
    <tableColumn id="14437" xr3:uid="{AD684D56-D946-4E13-902A-3B09071D9D0E}" name="Column14406"/>
    <tableColumn id="14438" xr3:uid="{786C269C-AD51-4238-8924-9F474A879ECF}" name="Column14407"/>
    <tableColumn id="14439" xr3:uid="{A19EE7E0-CF4A-4044-ADDB-DAB3621CB020}" name="Column14408"/>
    <tableColumn id="14440" xr3:uid="{16FC9876-64EC-40F0-AC53-18640187B422}" name="Column14409"/>
    <tableColumn id="14441" xr3:uid="{501AF80B-656F-418E-A0B2-A6E179AD6721}" name="Column14410"/>
    <tableColumn id="14442" xr3:uid="{B5C7C31B-B82D-4E58-A99D-3F12CC58FCA8}" name="Column14411"/>
    <tableColumn id="14443" xr3:uid="{740D5943-AB60-4528-A10A-95AB3AAD2D27}" name="Column14412"/>
    <tableColumn id="14444" xr3:uid="{C1CED5C1-2309-4010-A023-069D780FBB34}" name="Column14413"/>
    <tableColumn id="14445" xr3:uid="{425B4E4E-7DEC-4C08-B1E5-98EECAF6BD31}" name="Column14414"/>
    <tableColumn id="14446" xr3:uid="{AECC5B67-9DF7-41B2-8B0F-1939D684A44B}" name="Column14415"/>
    <tableColumn id="14447" xr3:uid="{B249E261-03F6-469D-9CB0-D37C481243B9}" name="Column14416"/>
    <tableColumn id="14448" xr3:uid="{D0528076-CA6F-49E5-B0C5-F4F793F13C45}" name="Column14417"/>
    <tableColumn id="14449" xr3:uid="{0FB5A8C3-E040-4BE8-91FB-9B1AC1269E61}" name="Column14418"/>
    <tableColumn id="14450" xr3:uid="{31B047FA-4D8D-4065-BBE4-4566B5ABC7A5}" name="Column14419"/>
    <tableColumn id="14451" xr3:uid="{3203119D-E01C-4A4E-AF94-2814D3E5301D}" name="Column14420"/>
    <tableColumn id="14452" xr3:uid="{86389827-E6E9-4DE2-B945-1156BCC0FC85}" name="Column14421"/>
    <tableColumn id="14453" xr3:uid="{E3579847-BD6F-4FA6-9C17-10BEA55D38A5}" name="Column14422"/>
    <tableColumn id="14454" xr3:uid="{6985822B-70CF-46AF-B973-B6913F8EA39F}" name="Column14423"/>
    <tableColumn id="14455" xr3:uid="{9E75CB19-6978-4529-BC19-663B84670AAE}" name="Column14424"/>
    <tableColumn id="14456" xr3:uid="{E31E06A3-3751-4DF7-9341-C1FF97BBC22C}" name="Column14425"/>
    <tableColumn id="14457" xr3:uid="{AB67C968-B272-48D6-A582-6783EC935370}" name="Column14426"/>
    <tableColumn id="14458" xr3:uid="{9D0DDE9A-9E90-4820-93AF-B84D0F39C470}" name="Column14427"/>
    <tableColumn id="14459" xr3:uid="{7F0776DB-3C59-43DF-95F8-A453671EAA1A}" name="Column14428"/>
    <tableColumn id="14460" xr3:uid="{CC4863F5-02ED-4F75-9D10-E172B839976E}" name="Column14429"/>
    <tableColumn id="14461" xr3:uid="{6505ED34-9117-47CE-943D-1205635C95EA}" name="Column14430"/>
    <tableColumn id="14462" xr3:uid="{A81909F9-67F0-4014-94BA-F16874FF717D}" name="Column14431"/>
    <tableColumn id="14463" xr3:uid="{A87831D4-FED5-418E-BBA4-81F56DAF8BF2}" name="Column14432"/>
    <tableColumn id="14464" xr3:uid="{198E0B7F-1839-437D-91D3-7832F6DF63FF}" name="Column14433"/>
    <tableColumn id="14465" xr3:uid="{91B139DC-BA53-4F3B-B502-536889B0E16E}" name="Column14434"/>
    <tableColumn id="14466" xr3:uid="{0139C008-68E6-47CE-A97D-6D995C4F0814}" name="Column14435"/>
    <tableColumn id="14467" xr3:uid="{8AF78160-32AE-4CFD-87DA-EAF3457D0D04}" name="Column14436"/>
    <tableColumn id="14468" xr3:uid="{6D60F777-F3B8-41A4-9612-FB30FF497504}" name="Column14437"/>
    <tableColumn id="14469" xr3:uid="{95DDDED5-BF91-4569-A267-FFE8D723D266}" name="Column14438"/>
    <tableColumn id="14470" xr3:uid="{E6586ACD-169A-4D42-9BE9-1E22EBE36FC2}" name="Column14439"/>
    <tableColumn id="14471" xr3:uid="{843927FC-3023-44A7-B644-77C170A90F2A}" name="Column14440"/>
    <tableColumn id="14472" xr3:uid="{37886EDC-CD1E-4734-B5E3-CA47D4155268}" name="Column14441"/>
    <tableColumn id="14473" xr3:uid="{4570FE41-E720-4A16-B168-CE65590C2168}" name="Column14442"/>
    <tableColumn id="14474" xr3:uid="{AE03E019-8C3F-45C2-8E2C-E28729B8BD0F}" name="Column14443"/>
    <tableColumn id="14475" xr3:uid="{6A5BF424-F28D-41EC-A107-9F026C938BE5}" name="Column14444"/>
    <tableColumn id="14476" xr3:uid="{9D652FF9-A762-47A7-B14D-9C0501DD91FD}" name="Column14445"/>
    <tableColumn id="14477" xr3:uid="{B314F465-E425-424F-AAFF-25D514803581}" name="Column14446"/>
    <tableColumn id="14478" xr3:uid="{7AFEBBD8-E02A-4D62-B559-D34FE32C1235}" name="Column14447"/>
    <tableColumn id="14479" xr3:uid="{54A2CAE5-7A40-4E11-A76B-76724FF5DFB2}" name="Column14448"/>
    <tableColumn id="14480" xr3:uid="{87185E6F-06E4-4B1B-BC69-AB2EE3F0F83C}" name="Column14449"/>
    <tableColumn id="14481" xr3:uid="{0961A926-3AF7-4665-8DAE-458EB7926DA6}" name="Column14450"/>
    <tableColumn id="14482" xr3:uid="{4EEC6F15-AA3C-4CD4-A32B-30F0572FE8E0}" name="Column14451"/>
    <tableColumn id="14483" xr3:uid="{E3EFED78-A552-43DE-A568-6CCBF0730E35}" name="Column14452"/>
    <tableColumn id="14484" xr3:uid="{D99F3F3D-2FBB-4225-9399-FE73199CDD16}" name="Column14453"/>
    <tableColumn id="14485" xr3:uid="{75F5F6EC-7B34-4A7F-B211-E64259FFEAF9}" name="Column14454"/>
    <tableColumn id="14486" xr3:uid="{82F74AF7-1FBB-4FE8-ABB7-00D5D5DB7B15}" name="Column14455"/>
    <tableColumn id="14487" xr3:uid="{E22EE91C-0E38-47ED-B0BE-98FE67A411E7}" name="Column14456"/>
    <tableColumn id="14488" xr3:uid="{3221C7C7-1E04-48E8-B095-14DC83B1F8A7}" name="Column14457"/>
    <tableColumn id="14489" xr3:uid="{9D37DBD9-FE05-44F2-868A-0AC7D713B583}" name="Column14458"/>
    <tableColumn id="14490" xr3:uid="{FA106929-64A6-4E79-BDF3-A7A6C97A7E07}" name="Column14459"/>
    <tableColumn id="14491" xr3:uid="{9FF0604B-2B48-4930-B6EC-9F1F2DEB8FB4}" name="Column14460"/>
    <tableColumn id="14492" xr3:uid="{7A92BB2D-C311-49F7-82F5-0FAAA479C76C}" name="Column14461"/>
    <tableColumn id="14493" xr3:uid="{5DBB5D48-206A-4EC6-8777-6F1353C2D4DF}" name="Column14462"/>
    <tableColumn id="14494" xr3:uid="{B50BA2D7-9830-4584-A6C4-93782B3B5D6B}" name="Column14463"/>
    <tableColumn id="14495" xr3:uid="{497E4129-194D-4BBA-A163-385E802D9F6A}" name="Column14464"/>
    <tableColumn id="14496" xr3:uid="{A512917D-57D2-4677-8E60-DA5C074951D7}" name="Column14465"/>
    <tableColumn id="14497" xr3:uid="{5BBA9935-DF7F-403B-B38A-13D64AD6CD6E}" name="Column14466"/>
    <tableColumn id="14498" xr3:uid="{D74F0AED-8C01-464B-9B41-6B490D81AD5E}" name="Column14467"/>
    <tableColumn id="14499" xr3:uid="{D9C1F462-DC96-40CA-ACB6-917833BEDAF5}" name="Column14468"/>
    <tableColumn id="14500" xr3:uid="{E0FC0D7F-972F-4DA6-A57F-B45A3B57837C}" name="Column14469"/>
    <tableColumn id="14501" xr3:uid="{926AB630-9526-4976-8517-6143ACDFE042}" name="Column14470"/>
    <tableColumn id="14502" xr3:uid="{898E185F-1749-41B4-A737-D8EF0B46E4E7}" name="Column14471"/>
    <tableColumn id="14503" xr3:uid="{67804D41-D43A-4ACD-B3A8-7DDF3A73654F}" name="Column14472"/>
    <tableColumn id="14504" xr3:uid="{998CEE2C-35F1-41BB-B0BC-72FFCAC7BA08}" name="Column14473"/>
    <tableColumn id="14505" xr3:uid="{D1B647BD-8EA5-485E-A433-B1652F6A72C5}" name="Column14474"/>
    <tableColumn id="14506" xr3:uid="{C126B637-BB92-4DE1-8D91-CB711558A28C}" name="Column14475"/>
    <tableColumn id="14507" xr3:uid="{6279077F-F476-4418-B618-D0F632689D71}" name="Column14476"/>
    <tableColumn id="14508" xr3:uid="{15DD792F-5841-4AB7-8FA2-A9C522C1858F}" name="Column14477"/>
    <tableColumn id="14509" xr3:uid="{352A2340-7871-46DA-8F2D-4D166E4210E6}" name="Column14478"/>
    <tableColumn id="14510" xr3:uid="{E5B08CAB-721F-4C72-B860-A6088B8C5363}" name="Column14479"/>
    <tableColumn id="14511" xr3:uid="{CA48769B-68C3-49A6-B511-1F678ACAF9D8}" name="Column14480"/>
    <tableColumn id="14512" xr3:uid="{FD225CEB-E0FE-4210-A850-5AD95DF3380E}" name="Column14481"/>
    <tableColumn id="14513" xr3:uid="{6AFD6DFB-511D-4439-9156-00BD4F75EAC8}" name="Column14482"/>
    <tableColumn id="14514" xr3:uid="{A6CC4C7D-FE8B-454A-ADC8-17FAF7B309C5}" name="Column14483"/>
    <tableColumn id="14515" xr3:uid="{ED54F031-220A-4D2B-BE86-D2858672F1B6}" name="Column14484"/>
    <tableColumn id="14516" xr3:uid="{82DA64AF-5615-431D-BC8E-7885EFFC93AB}" name="Column14485"/>
    <tableColumn id="14517" xr3:uid="{A6726AD9-15A6-4997-AE86-9B668F3BAD93}" name="Column14486"/>
    <tableColumn id="14518" xr3:uid="{8DB41117-85F9-46E6-A6AD-438AD0AE4CBC}" name="Column14487"/>
    <tableColumn id="14519" xr3:uid="{D541D49E-B501-4780-BCA2-A87158402CFD}" name="Column14488"/>
    <tableColumn id="14520" xr3:uid="{49C79F9A-95B2-42FF-8B44-2FFE5DC52F92}" name="Column14489"/>
    <tableColumn id="14521" xr3:uid="{894F0F03-D292-4EB9-95E0-084BF85A9B5F}" name="Column14490"/>
    <tableColumn id="14522" xr3:uid="{D41EE4C4-026A-4EBB-AC16-DB6E61283E87}" name="Column14491"/>
    <tableColumn id="14523" xr3:uid="{58C31782-C790-42EE-89BC-01C0A70C800E}" name="Column14492"/>
    <tableColumn id="14524" xr3:uid="{D23362FA-FA66-4E4E-B5D4-FA089FA843F3}" name="Column14493"/>
    <tableColumn id="14525" xr3:uid="{05049D50-2DC2-43B1-9E34-5600D9A1B1C3}" name="Column14494"/>
    <tableColumn id="14526" xr3:uid="{CE538257-3034-4077-BB60-D9A5F02D6211}" name="Column14495"/>
    <tableColumn id="14527" xr3:uid="{1665ED8D-C664-483E-AF80-53023381AAD3}" name="Column14496"/>
    <tableColumn id="14528" xr3:uid="{65C25ED5-F2B2-430A-956B-95219DB96435}" name="Column14497"/>
    <tableColumn id="14529" xr3:uid="{7AE36460-52A3-4769-9D8C-330EA10D474F}" name="Column14498"/>
    <tableColumn id="14530" xr3:uid="{7C607BFF-A4AE-4F4F-9C40-B2F156077507}" name="Column14499"/>
    <tableColumn id="14531" xr3:uid="{9D479C3A-FE4A-4A0A-BF06-9A7F4BF0C4EC}" name="Column14500"/>
    <tableColumn id="14532" xr3:uid="{6C3C5354-2E2F-48E9-8BEB-D02CB4446647}" name="Column14501"/>
    <tableColumn id="14533" xr3:uid="{8EC44B43-AE44-4DD6-972C-FBB9377E411D}" name="Column14502"/>
    <tableColumn id="14534" xr3:uid="{31E21D40-0CD1-4491-A53C-61A3E82BE47A}" name="Column14503"/>
    <tableColumn id="14535" xr3:uid="{AA56B01E-5DC3-489E-B216-B2AD581D585F}" name="Column14504"/>
    <tableColumn id="14536" xr3:uid="{96FE33EC-C3A2-493D-A510-6CFA76744980}" name="Column14505"/>
    <tableColumn id="14537" xr3:uid="{D52F7E54-8333-45C7-9A99-813970F82B05}" name="Column14506"/>
    <tableColumn id="14538" xr3:uid="{C03209C8-C862-434D-97F1-B7330B4F5AC2}" name="Column14507"/>
    <tableColumn id="14539" xr3:uid="{F090140B-4C5A-4744-83B2-D330FB5D59D8}" name="Column14508"/>
    <tableColumn id="14540" xr3:uid="{DB46972B-D6B3-4ED3-811E-BA2911CAC638}" name="Column14509"/>
    <tableColumn id="14541" xr3:uid="{4A27D864-288C-4E48-9D98-01D97FABF32A}" name="Column14510"/>
    <tableColumn id="14542" xr3:uid="{A6EF4828-2819-4E7D-9883-D2C3A0E7BAF6}" name="Column14511"/>
    <tableColumn id="14543" xr3:uid="{8B46FF79-7DEB-464F-BB67-D5B162B763CB}" name="Column14512"/>
    <tableColumn id="14544" xr3:uid="{8673DC5D-1606-4483-A637-9285900121BD}" name="Column14513"/>
    <tableColumn id="14545" xr3:uid="{A0F46C5A-7980-4071-81C4-B1E24DDE0542}" name="Column14514"/>
    <tableColumn id="14546" xr3:uid="{3B6205ED-E348-4626-8044-E5E16CC984BB}" name="Column14515"/>
    <tableColumn id="14547" xr3:uid="{98FB429D-C2B5-4152-91ED-C29B2F97EB0B}" name="Column14516"/>
    <tableColumn id="14548" xr3:uid="{E333CA2F-61F7-45B8-9B4F-8653E6B52DB4}" name="Column14517"/>
    <tableColumn id="14549" xr3:uid="{7A1116D4-5D18-4A94-9CBE-198941FEA648}" name="Column14518"/>
    <tableColumn id="14550" xr3:uid="{8379EDD2-3A3E-4537-8B6E-FDF07615583A}" name="Column14519"/>
    <tableColumn id="14551" xr3:uid="{BF7EB6BA-0EA0-464B-A8CC-9E044419B784}" name="Column14520"/>
    <tableColumn id="14552" xr3:uid="{BA7FA2F0-5605-470B-8712-B96BFF26382B}" name="Column14521"/>
    <tableColumn id="14553" xr3:uid="{8B180D9A-3622-4616-B787-DA8CECEA865B}" name="Column14522"/>
    <tableColumn id="14554" xr3:uid="{648A5797-D51A-4762-9DBB-0503EC428C83}" name="Column14523"/>
    <tableColumn id="14555" xr3:uid="{F0D96DED-65B3-4CED-BC27-57E1869B9386}" name="Column14524"/>
    <tableColumn id="14556" xr3:uid="{9939B3C3-AC30-4B3F-8A89-821D5AF33CAA}" name="Column14525"/>
    <tableColumn id="14557" xr3:uid="{DBA00641-6D98-461E-9503-144AAC7E0D92}" name="Column14526"/>
    <tableColumn id="14558" xr3:uid="{3CCF8615-3BFB-4C0D-BB61-C6B205C4B533}" name="Column14527"/>
    <tableColumn id="14559" xr3:uid="{A1C3ACDE-E252-487F-91C2-559C2233E9BF}" name="Column14528"/>
    <tableColumn id="14560" xr3:uid="{445C648B-FCFD-43EC-A6E2-30F73BC64F8B}" name="Column14529"/>
    <tableColumn id="14561" xr3:uid="{A3AC64EF-2AE8-44FF-8D0D-5282314AB6B0}" name="Column14530"/>
    <tableColumn id="14562" xr3:uid="{2CD7F279-5B31-4D19-BC0F-73EF414C7FD7}" name="Column14531"/>
    <tableColumn id="14563" xr3:uid="{42964230-69C1-4265-AFBA-7FBD76465877}" name="Column14532"/>
    <tableColumn id="14564" xr3:uid="{E0495D33-11BF-4EAD-8EF6-F99FB55AE85E}" name="Column14533"/>
    <tableColumn id="14565" xr3:uid="{35C6A5EA-52DD-4604-BCC4-93E02507B0A3}" name="Column14534"/>
    <tableColumn id="14566" xr3:uid="{5CACA5F6-61E4-4461-B033-AF43EBE38D97}" name="Column14535"/>
    <tableColumn id="14567" xr3:uid="{83CCF4B0-247A-4C4F-8F32-897B576043B7}" name="Column14536"/>
    <tableColumn id="14568" xr3:uid="{5A871599-28D0-4487-B378-31BBC01C364F}" name="Column14537"/>
    <tableColumn id="14569" xr3:uid="{25712952-55EF-4333-94C6-8A0C6505CD3F}" name="Column14538"/>
    <tableColumn id="14570" xr3:uid="{7D539CA5-979A-4AAF-AACB-0DCD47A85DEF}" name="Column14539"/>
    <tableColumn id="14571" xr3:uid="{2E273D63-0244-4CDD-8FAE-E75E8505F338}" name="Column14540"/>
    <tableColumn id="14572" xr3:uid="{3E1BD6F8-348F-4F8D-8A81-EC1AE7CBC66F}" name="Column14541"/>
    <tableColumn id="14573" xr3:uid="{7C8DA889-8597-4A69-BC44-AE095F467C98}" name="Column14542"/>
    <tableColumn id="14574" xr3:uid="{A6C53621-5B14-4AF7-ADF0-0B9E0FA617CB}" name="Column14543"/>
    <tableColumn id="14575" xr3:uid="{8556F658-D872-4EF7-839B-2F2F1F69B522}" name="Column14544"/>
    <tableColumn id="14576" xr3:uid="{42108D8B-BABA-4F81-970D-4A5D2764764D}" name="Column14545"/>
    <tableColumn id="14577" xr3:uid="{C5C6C709-A10B-42AC-A5C2-46F1C35B4F10}" name="Column14546"/>
    <tableColumn id="14578" xr3:uid="{8D82D032-AA4B-486F-B6C8-1520BE1D1F73}" name="Column14547"/>
    <tableColumn id="14579" xr3:uid="{344F257C-B24D-4B98-930A-CBC26D81F813}" name="Column14548"/>
    <tableColumn id="14580" xr3:uid="{E60D9E7D-B378-45AF-A8E6-D967E99D9B9E}" name="Column14549"/>
    <tableColumn id="14581" xr3:uid="{6D5BE087-A342-4254-A974-B2C2B21DFAE0}" name="Column14550"/>
    <tableColumn id="14582" xr3:uid="{1925918C-45AF-4B3F-A430-C881ACB5BC5F}" name="Column14551"/>
    <tableColumn id="14583" xr3:uid="{49A47B68-6975-4DB2-A975-C1F9F40EE1E9}" name="Column14552"/>
    <tableColumn id="14584" xr3:uid="{6EA3F88B-F79F-4C2A-B4BE-2ED99E7C468B}" name="Column14553"/>
    <tableColumn id="14585" xr3:uid="{55C28E32-C2D4-4D6E-BADB-F2445552A158}" name="Column14554"/>
    <tableColumn id="14586" xr3:uid="{03AC4A97-8269-427F-B1E2-B44522685916}" name="Column14555"/>
    <tableColumn id="14587" xr3:uid="{4CFB269A-C256-4647-938E-062A5BAABB5C}" name="Column14556"/>
    <tableColumn id="14588" xr3:uid="{4F5013FC-E304-4910-B1EA-64FD04595059}" name="Column14557"/>
    <tableColumn id="14589" xr3:uid="{6320871C-904D-4091-AD1F-3DBE85FFCC62}" name="Column14558"/>
    <tableColumn id="14590" xr3:uid="{E13D2283-7C1D-4CF9-B77F-EDE48564E3DC}" name="Column14559"/>
    <tableColumn id="14591" xr3:uid="{038E6A70-D3C1-4B14-8080-7D1CA97CCB55}" name="Column14560"/>
    <tableColumn id="14592" xr3:uid="{688F2428-D5C1-40C5-AB93-BC7C4F910D17}" name="Column14561"/>
    <tableColumn id="14593" xr3:uid="{0203DC52-D299-4FE8-9C5E-675F165E685B}" name="Column14562"/>
    <tableColumn id="14594" xr3:uid="{F15DEE97-68F1-4450-8685-DE278070A81D}" name="Column14563"/>
    <tableColumn id="14595" xr3:uid="{08046C06-5182-43B3-8B90-AB179C7AAD46}" name="Column14564"/>
    <tableColumn id="14596" xr3:uid="{2AFCFCC6-91EF-4D9C-A267-C5DF92451B55}" name="Column14565"/>
    <tableColumn id="14597" xr3:uid="{1A4D13CC-CFA3-47DC-A8E0-E1551019C1DD}" name="Column14566"/>
    <tableColumn id="14598" xr3:uid="{55706F74-65BA-4CF5-8C54-4588C0D9A50F}" name="Column14567"/>
    <tableColumn id="14599" xr3:uid="{0C772047-F03D-4E77-9E26-7F4C1019AB1E}" name="Column14568"/>
    <tableColumn id="14600" xr3:uid="{7037A9F2-253F-497C-A31C-F40262FDBDE0}" name="Column14569"/>
    <tableColumn id="14601" xr3:uid="{F36D5A42-4F70-4C84-811F-E423A5CAE33F}" name="Column14570"/>
    <tableColumn id="14602" xr3:uid="{B9209BDF-6A28-4DB7-B0CA-89F5696E0169}" name="Column14571"/>
    <tableColumn id="14603" xr3:uid="{3F64A1D6-A008-4365-893F-D802E51F3479}" name="Column14572"/>
    <tableColumn id="14604" xr3:uid="{335245E4-1D2B-48DC-B6FE-104A62AFAE21}" name="Column14573"/>
    <tableColumn id="14605" xr3:uid="{25FCA129-83EA-406E-BFD6-48115A01871C}" name="Column14574"/>
    <tableColumn id="14606" xr3:uid="{CE4031AA-2553-48E5-A4B7-1891CFE65374}" name="Column14575"/>
    <tableColumn id="14607" xr3:uid="{7B89F95B-FAB0-4FD8-A59B-BEEE676F2421}" name="Column14576"/>
    <tableColumn id="14608" xr3:uid="{77742C98-3372-466F-9B6E-0225D06C2A0A}" name="Column14577"/>
    <tableColumn id="14609" xr3:uid="{5F9A7310-4E07-4C86-808B-DC630446BE04}" name="Column14578"/>
    <tableColumn id="14610" xr3:uid="{BA8BBE98-A750-4813-898D-1778BDA07DA6}" name="Column14579"/>
    <tableColumn id="14611" xr3:uid="{37AAACA1-1E8D-472B-A86E-507943D84152}" name="Column14580"/>
    <tableColumn id="14612" xr3:uid="{861469C7-0861-4D32-B79B-5AC09FC5DEFC}" name="Column14581"/>
    <tableColumn id="14613" xr3:uid="{7FC4E404-3215-4B45-A97B-0C7CB898C418}" name="Column14582"/>
    <tableColumn id="14614" xr3:uid="{EA669C30-BD3D-4837-9C31-025F1A0E78F7}" name="Column14583"/>
    <tableColumn id="14615" xr3:uid="{AFDDA253-71CE-44AB-A95B-59036D4A0A79}" name="Column14584"/>
    <tableColumn id="14616" xr3:uid="{FE7BF27E-82AB-4519-8377-DF32373B5847}" name="Column14585"/>
    <tableColumn id="14617" xr3:uid="{97070DD3-7DC8-4BE2-89AA-99F6208A4EB7}" name="Column14586"/>
    <tableColumn id="14618" xr3:uid="{9C6BFFB5-C4D2-49B3-94E4-2BF38AF9A101}" name="Column14587"/>
    <tableColumn id="14619" xr3:uid="{3146D413-B799-4E95-BADD-08A34DE2098F}" name="Column14588"/>
    <tableColumn id="14620" xr3:uid="{F8D3D345-E14A-4478-89B2-5281D5028D63}" name="Column14589"/>
    <tableColumn id="14621" xr3:uid="{A6DCE50D-3842-4CE7-95C4-5482F6741AE1}" name="Column14590"/>
    <tableColumn id="14622" xr3:uid="{C5E5D66B-FA89-486F-B9DD-B635DBBF744D}" name="Column14591"/>
    <tableColumn id="14623" xr3:uid="{D56E42C1-5627-482C-AB18-CCF08A1BE53B}" name="Column14592"/>
    <tableColumn id="14624" xr3:uid="{2F445AB4-6F69-4AF8-AF7C-F6B63C2E5264}" name="Column14593"/>
    <tableColumn id="14625" xr3:uid="{ECD76A8E-B2D8-47D4-82EC-4789FC0C6D71}" name="Column14594"/>
    <tableColumn id="14626" xr3:uid="{A5AE30A0-EE60-4C36-960A-D0EB37B36FD8}" name="Column14595"/>
    <tableColumn id="14627" xr3:uid="{6BC8494E-E38E-4F75-B326-C64310D12B6F}" name="Column14596"/>
    <tableColumn id="14628" xr3:uid="{D11936C3-D577-4EF3-A818-F7914020AECF}" name="Column14597"/>
    <tableColumn id="14629" xr3:uid="{B6CD49C5-D94C-480C-8428-AE24F4A8385C}" name="Column14598"/>
    <tableColumn id="14630" xr3:uid="{89F790CD-179D-40DC-8F03-511CD6D014D3}" name="Column14599"/>
    <tableColumn id="14631" xr3:uid="{D19C86E0-5CAA-4BE8-90FF-3C012CAA8970}" name="Column14600"/>
    <tableColumn id="14632" xr3:uid="{03C50F6F-91F2-4948-B619-424DC2C5D8C4}" name="Column14601"/>
    <tableColumn id="14633" xr3:uid="{9431586A-4AFB-4BD1-B563-C9C0001FC6A6}" name="Column14602"/>
    <tableColumn id="14634" xr3:uid="{ACD30604-30CD-4AC4-AE4E-67BEE3A143A3}" name="Column14603"/>
    <tableColumn id="14635" xr3:uid="{C30DF7B4-E1D9-4144-A739-7AF7D0051887}" name="Column14604"/>
    <tableColumn id="14636" xr3:uid="{8FA0DEC3-344D-4645-8FE2-595B9818DA4E}" name="Column14605"/>
    <tableColumn id="14637" xr3:uid="{F41F7920-BBC6-4E34-A731-3228D3890CA9}" name="Column14606"/>
    <tableColumn id="14638" xr3:uid="{B0A0C061-E8C7-4596-9548-E750337A98E0}" name="Column14607"/>
    <tableColumn id="14639" xr3:uid="{714F5714-C5EE-4DF3-BA87-07639D708877}" name="Column14608"/>
    <tableColumn id="14640" xr3:uid="{899375A7-E069-4381-B1E8-CFA2BFD64AB9}" name="Column14609"/>
    <tableColumn id="14641" xr3:uid="{C165343B-5DFF-46AC-B489-B04DE5723986}" name="Column14610"/>
    <tableColumn id="14642" xr3:uid="{92D47E21-E840-4A84-AA85-6EBBD533EDAC}" name="Column14611"/>
    <tableColumn id="14643" xr3:uid="{B63DED07-477C-4EF8-9963-08F6667A3841}" name="Column14612"/>
    <tableColumn id="14644" xr3:uid="{1D320232-312F-4370-B69E-6ECA54F8FCBE}" name="Column14613"/>
    <tableColumn id="14645" xr3:uid="{39DF14D8-0B32-4DAC-ADBE-D02B77CC17E0}" name="Column14614"/>
    <tableColumn id="14646" xr3:uid="{7881F801-2CBE-483C-9562-1F534600A08E}" name="Column14615"/>
    <tableColumn id="14647" xr3:uid="{82A7099E-34CD-43AC-8372-11D42FFD942D}" name="Column14616"/>
    <tableColumn id="14648" xr3:uid="{6D41FC17-040B-4E2B-BD82-B4EFE26317EE}" name="Column14617"/>
    <tableColumn id="14649" xr3:uid="{B5DFF3D6-503D-4E51-AC05-9619C9A87FC0}" name="Column14618"/>
    <tableColumn id="14650" xr3:uid="{55449C2D-5142-425B-A4C4-A2B5309F175F}" name="Column14619"/>
    <tableColumn id="14651" xr3:uid="{034E8A63-0D70-491B-A68B-0C673E0D0C02}" name="Column14620"/>
    <tableColumn id="14652" xr3:uid="{FA4C3DE4-36B1-4D5B-BB72-402AC618DBBF}" name="Column14621"/>
    <tableColumn id="14653" xr3:uid="{58A02056-4861-40CA-B502-9AFB5D180B52}" name="Column14622"/>
    <tableColumn id="14654" xr3:uid="{25DBBC76-E3EB-4C27-8657-9D6392A1713B}" name="Column14623"/>
    <tableColumn id="14655" xr3:uid="{ED34E977-3515-4B40-B179-7DDE04EA33E3}" name="Column14624"/>
    <tableColumn id="14656" xr3:uid="{D5550122-A3B3-43E2-8587-2BC0DFEE519F}" name="Column14625"/>
    <tableColumn id="14657" xr3:uid="{5C089AFC-88A9-460D-AB7D-16C4020500BD}" name="Column14626"/>
    <tableColumn id="14658" xr3:uid="{3DB7434A-FAD7-4473-9FD1-080C59BC7158}" name="Column14627"/>
    <tableColumn id="14659" xr3:uid="{3DC06765-8F16-4B3E-A164-A2C61C15E537}" name="Column14628"/>
    <tableColumn id="14660" xr3:uid="{D653DEF0-9EAD-4719-AD5B-89D4CEEE19B5}" name="Column14629"/>
    <tableColumn id="14661" xr3:uid="{45301D17-E805-493F-8613-74E476841D5E}" name="Column14630"/>
    <tableColumn id="14662" xr3:uid="{6CFA62B0-8887-4562-9EAB-D893A0CE6698}" name="Column14631"/>
    <tableColumn id="14663" xr3:uid="{A69EA232-343E-4893-9036-E2C118147E2A}" name="Column14632"/>
    <tableColumn id="14664" xr3:uid="{3123BABA-CBCF-43B8-BCFF-C80C0E0A1491}" name="Column14633"/>
    <tableColumn id="14665" xr3:uid="{C2149B59-72B6-45A3-81D5-D03E61CA6C54}" name="Column14634"/>
    <tableColumn id="14666" xr3:uid="{2A9FDA92-8D41-41DD-90F2-69F808823855}" name="Column14635"/>
    <tableColumn id="14667" xr3:uid="{A51767F1-144D-4274-84EF-9CF71E927805}" name="Column14636"/>
    <tableColumn id="14668" xr3:uid="{7809FB35-FD88-4B8C-B9D9-929E9BD8A6BB}" name="Column14637"/>
    <tableColumn id="14669" xr3:uid="{01049836-2B06-4975-82EE-06492A424CB1}" name="Column14638"/>
    <tableColumn id="14670" xr3:uid="{90873F93-CCDA-4637-B9AA-94CEE4BB005A}" name="Column14639"/>
    <tableColumn id="14671" xr3:uid="{87B6C61E-FA19-4A30-B6E4-5DDE50881911}" name="Column14640"/>
    <tableColumn id="14672" xr3:uid="{F14E24D6-7351-473C-AB86-631752F09D98}" name="Column14641"/>
    <tableColumn id="14673" xr3:uid="{D7157068-FBC1-4278-988D-A56B7D2F013C}" name="Column14642"/>
    <tableColumn id="14674" xr3:uid="{3F3D4482-86A9-410E-8CFF-9A227A27B0BD}" name="Column14643"/>
    <tableColumn id="14675" xr3:uid="{710D0CAD-33F1-461B-A40F-054C43850EC8}" name="Column14644"/>
    <tableColumn id="14676" xr3:uid="{8FE826E3-3B7D-4500-AD22-D3DDB2560857}" name="Column14645"/>
    <tableColumn id="14677" xr3:uid="{CB9C7213-F2FB-48AC-8B55-991A0F507C4D}" name="Column14646"/>
    <tableColumn id="14678" xr3:uid="{451B24C1-50AD-4353-98A9-DD51AF7409F1}" name="Column14647"/>
    <tableColumn id="14679" xr3:uid="{F79EB09E-8267-4457-BC0B-196FC58E8B5E}" name="Column14648"/>
    <tableColumn id="14680" xr3:uid="{38FDDFAF-AEB9-46A9-B7AE-4FCA1D43C21F}" name="Column14649"/>
    <tableColumn id="14681" xr3:uid="{DC7E46FB-CE79-484F-BEBC-F1CE2EEAA6C6}" name="Column14650"/>
    <tableColumn id="14682" xr3:uid="{6A50F551-C1DD-42E0-85E2-E0BCF693CC12}" name="Column14651"/>
    <tableColumn id="14683" xr3:uid="{998C9C77-314D-475F-B79A-814BE3497590}" name="Column14652"/>
    <tableColumn id="14684" xr3:uid="{0BB83990-7A5D-4543-959C-BDCC4EA865D7}" name="Column14653"/>
    <tableColumn id="14685" xr3:uid="{BDCA4E1E-334C-44D8-A5F8-559F87F3E46B}" name="Column14654"/>
    <tableColumn id="14686" xr3:uid="{E83AE938-E3EF-4D4B-A27B-5B5EAFFBBCF9}" name="Column14655"/>
    <tableColumn id="14687" xr3:uid="{138BA5C7-A43C-492B-A24C-6331D2D2F65C}" name="Column14656"/>
    <tableColumn id="14688" xr3:uid="{20DAD31C-1535-4465-9BEE-81F5A9DF6359}" name="Column14657"/>
    <tableColumn id="14689" xr3:uid="{9B90998C-4148-4066-9BC8-5DB7C7991889}" name="Column14658"/>
    <tableColumn id="14690" xr3:uid="{E7A19C2C-7C4B-4622-A3FF-6652E9A39F49}" name="Column14659"/>
    <tableColumn id="14691" xr3:uid="{5116EB45-0751-4D48-ABE6-93A59590A564}" name="Column14660"/>
    <tableColumn id="14692" xr3:uid="{0B1735D0-AA07-464A-B70E-E27B93751EE7}" name="Column14661"/>
    <tableColumn id="14693" xr3:uid="{8BC8F40D-6882-4BA7-B35F-DF2CA6164F50}" name="Column14662"/>
    <tableColumn id="14694" xr3:uid="{BDE94058-B52B-4128-A3E5-025A5DAC8FC4}" name="Column14663"/>
    <tableColumn id="14695" xr3:uid="{2399EB92-B5CE-4596-A916-AF0767F0BC94}" name="Column14664"/>
    <tableColumn id="14696" xr3:uid="{4802F368-C22F-432F-96AC-A2C1FEEDFDDE}" name="Column14665"/>
    <tableColumn id="14697" xr3:uid="{7CE21B00-D71D-4856-AAF3-20D36B59402F}" name="Column14666"/>
    <tableColumn id="14698" xr3:uid="{E735FA61-497C-401A-B101-AFF1F152AB6E}" name="Column14667"/>
    <tableColumn id="14699" xr3:uid="{351E8A62-BA00-44D0-B450-DFA101DC3174}" name="Column14668"/>
    <tableColumn id="14700" xr3:uid="{0B3E4886-BAA4-4E1A-B2AA-D9EA6DEE17E0}" name="Column14669"/>
    <tableColumn id="14701" xr3:uid="{BF69D032-C708-4C88-B036-7E5809EF2401}" name="Column14670"/>
    <tableColumn id="14702" xr3:uid="{B3171531-375E-4DFC-85D4-6CA0B526D278}" name="Column14671"/>
    <tableColumn id="14703" xr3:uid="{EB979ED7-6365-4A3A-90B9-A0D07F2FE0AC}" name="Column14672"/>
    <tableColumn id="14704" xr3:uid="{6ACD8714-FE6D-45CE-8119-4E23270A0563}" name="Column14673"/>
    <tableColumn id="14705" xr3:uid="{965ECA40-3812-4B65-9478-A8AA60D29239}" name="Column14674"/>
    <tableColumn id="14706" xr3:uid="{EDF9706E-1DAE-433B-9DFC-5BAC0D42CD53}" name="Column14675"/>
    <tableColumn id="14707" xr3:uid="{80153655-7EAC-4B7F-8561-BDEE49D4FE61}" name="Column14676"/>
    <tableColumn id="14708" xr3:uid="{7C63609C-8A4F-4AD3-86BF-97589C99850B}" name="Column14677"/>
    <tableColumn id="14709" xr3:uid="{A49DBC75-4550-474A-A179-F5EE0C8B5C80}" name="Column14678"/>
    <tableColumn id="14710" xr3:uid="{E7CFF44C-5C5C-4771-9D81-2D3860D5B210}" name="Column14679"/>
    <tableColumn id="14711" xr3:uid="{926C2CC1-0422-429D-AB27-3BB3BC22D4BD}" name="Column14680"/>
    <tableColumn id="14712" xr3:uid="{085BB65E-894F-4B95-AE14-196227E96BD2}" name="Column14681"/>
    <tableColumn id="14713" xr3:uid="{88B6375D-7512-4222-9013-77DA9843CE24}" name="Column14682"/>
    <tableColumn id="14714" xr3:uid="{19D77F63-BE7B-40AC-B4DA-A64AA6ED4664}" name="Column14683"/>
    <tableColumn id="14715" xr3:uid="{3408694D-AF6D-4AB8-9015-298D626EC031}" name="Column14684"/>
    <tableColumn id="14716" xr3:uid="{FF54571D-8589-428F-B53B-13C20DF1FE9A}" name="Column14685"/>
    <tableColumn id="14717" xr3:uid="{461D8DDB-D3B8-438E-BC91-20C5F560B235}" name="Column14686"/>
    <tableColumn id="14718" xr3:uid="{6C9913BB-FB61-4378-8721-4B1557F06492}" name="Column14687"/>
    <tableColumn id="14719" xr3:uid="{F8EEF933-3380-43E1-9498-74AAC2B39448}" name="Column14688"/>
    <tableColumn id="14720" xr3:uid="{B40E58D8-458B-4B61-A763-15DFA06B700B}" name="Column14689"/>
    <tableColumn id="14721" xr3:uid="{B3A8001A-2623-473E-8AD1-60A026329E83}" name="Column14690"/>
    <tableColumn id="14722" xr3:uid="{00681063-BF1A-48F7-AF66-FD6B37206210}" name="Column14691"/>
    <tableColumn id="14723" xr3:uid="{2DFFADE7-6132-405C-B60D-3A68BE03175B}" name="Column14692"/>
    <tableColumn id="14724" xr3:uid="{5D01ACF3-162E-43CF-A18D-A4B90765D806}" name="Column14693"/>
    <tableColumn id="14725" xr3:uid="{7142098C-0133-4D14-9A2E-68E43A1FCD54}" name="Column14694"/>
    <tableColumn id="14726" xr3:uid="{60FCD7EB-6C8F-4BD3-A390-2D5D0E255856}" name="Column14695"/>
    <tableColumn id="14727" xr3:uid="{8970A193-C74E-41A1-8089-466E8089D68E}" name="Column14696"/>
    <tableColumn id="14728" xr3:uid="{7BD38D07-F308-4E84-838F-E45F3C7B6891}" name="Column14697"/>
    <tableColumn id="14729" xr3:uid="{9F323826-6190-434C-8FC1-F84314134F8C}" name="Column14698"/>
    <tableColumn id="14730" xr3:uid="{257B25C7-7172-4D59-B363-A50FC6785A52}" name="Column14699"/>
    <tableColumn id="14731" xr3:uid="{C3B8034B-5A93-4E2E-A7F2-5438D22B0D5A}" name="Column14700"/>
    <tableColumn id="14732" xr3:uid="{66EFEDB6-6A60-4518-A197-C823E77EABD6}" name="Column14701"/>
    <tableColumn id="14733" xr3:uid="{61661D61-BD1B-47BC-BC47-2FBBA84A900B}" name="Column14702"/>
    <tableColumn id="14734" xr3:uid="{C57EC800-8155-486F-9014-141F632D7E8D}" name="Column14703"/>
    <tableColumn id="14735" xr3:uid="{B20EF725-6CA3-4986-A9B0-D57F411791F9}" name="Column14704"/>
    <tableColumn id="14736" xr3:uid="{FF0009FD-9878-4C97-B1FC-461E971BD600}" name="Column14705"/>
    <tableColumn id="14737" xr3:uid="{2A6095AE-FF7E-49BB-80DF-ADB10C8297A1}" name="Column14706"/>
    <tableColumn id="14738" xr3:uid="{7692611B-A2B2-45FE-B827-FBD388BEDB47}" name="Column14707"/>
    <tableColumn id="14739" xr3:uid="{8FBAE954-3A85-4E4E-8D15-BA473D19A936}" name="Column14708"/>
    <tableColumn id="14740" xr3:uid="{30E848D6-5B89-4676-9FBE-FFEACDAFE2F0}" name="Column14709"/>
    <tableColumn id="14741" xr3:uid="{0B916879-C8F8-4F47-8086-10C4CEA0C5AD}" name="Column14710"/>
    <tableColumn id="14742" xr3:uid="{FC5DFD3F-7233-4CBF-B99D-8FB7CCED556E}" name="Column14711"/>
    <tableColumn id="14743" xr3:uid="{D18FDA27-3213-4C95-940D-DC59A4CC019A}" name="Column14712"/>
    <tableColumn id="14744" xr3:uid="{98B9C8A5-2DD2-4DF7-85BF-676EC65C21A4}" name="Column14713"/>
    <tableColumn id="14745" xr3:uid="{791034F6-1BD0-4AFE-B918-10A7D8E1B498}" name="Column14714"/>
    <tableColumn id="14746" xr3:uid="{816C4D15-740C-4D5E-84B0-C0ED2D3322E8}" name="Column14715"/>
    <tableColumn id="14747" xr3:uid="{9A5DFADD-54C0-4029-9F92-1BA1E69384C0}" name="Column14716"/>
    <tableColumn id="14748" xr3:uid="{EE77139E-DB3E-4FDE-BC41-4EEEEF9C17FD}" name="Column14717"/>
    <tableColumn id="14749" xr3:uid="{7C533126-9BD6-4A2F-8079-824F4DA6F6BB}" name="Column14718"/>
    <tableColumn id="14750" xr3:uid="{3C54CDEA-36A7-4CAC-A56C-A76BC5F1CBF0}" name="Column14719"/>
    <tableColumn id="14751" xr3:uid="{CD635D65-D730-4BEF-B2F1-1C0FE8DBE8D7}" name="Column14720"/>
    <tableColumn id="14752" xr3:uid="{EF7946E0-2C27-4B91-9F5A-2573B524BFE3}" name="Column14721"/>
    <tableColumn id="14753" xr3:uid="{D9E8BF08-605B-47D7-89CF-A0CD61B161E9}" name="Column14722"/>
    <tableColumn id="14754" xr3:uid="{36B69BC6-9BFD-4FF8-845B-C85931D5AE86}" name="Column14723"/>
    <tableColumn id="14755" xr3:uid="{77A512AF-D566-4EEF-91B1-3F1FC925688A}" name="Column14724"/>
    <tableColumn id="14756" xr3:uid="{CF920397-CD3D-4409-98EB-AFCF7626A1D4}" name="Column14725"/>
    <tableColumn id="14757" xr3:uid="{F8B7456C-1929-40BC-8AB2-E272AC8EC78B}" name="Column14726"/>
    <tableColumn id="14758" xr3:uid="{C8B3174A-5AFD-4CD6-9836-A8ADD7E5D420}" name="Column14727"/>
    <tableColumn id="14759" xr3:uid="{98AB0C25-3D24-4C9C-9115-4B71A97DCCB3}" name="Column14728"/>
    <tableColumn id="14760" xr3:uid="{ED51932E-C337-4540-AB6B-0164E63E532B}" name="Column14729"/>
    <tableColumn id="14761" xr3:uid="{EF670CC4-2DF2-44ED-A9CD-EED40EBE82F8}" name="Column14730"/>
    <tableColumn id="14762" xr3:uid="{57E86878-6C98-4D88-8873-85F4249CC960}" name="Column14731"/>
    <tableColumn id="14763" xr3:uid="{14EAF909-2CE0-4DA3-AD55-FBB93C422E88}" name="Column14732"/>
    <tableColumn id="14764" xr3:uid="{C29B75BC-37C1-4A41-9541-E460FB647D0B}" name="Column14733"/>
    <tableColumn id="14765" xr3:uid="{F44AF722-6D2C-456C-8A61-08F1905A3EA2}" name="Column14734"/>
    <tableColumn id="14766" xr3:uid="{928CA6FC-8D85-4190-8C52-6493D31BDBA9}" name="Column14735"/>
    <tableColumn id="14767" xr3:uid="{768A65AC-E64D-413E-A70B-45F6F9E90118}" name="Column14736"/>
    <tableColumn id="14768" xr3:uid="{E9DA877F-F0A0-4166-BCA1-FB210A9F4312}" name="Column14737"/>
    <tableColumn id="14769" xr3:uid="{3413A5B1-48A0-42C9-9976-65AE068065DF}" name="Column14738"/>
    <tableColumn id="14770" xr3:uid="{CC59D59C-F60E-46C1-963E-411F1AD82FCB}" name="Column14739"/>
    <tableColumn id="14771" xr3:uid="{5A54989D-FF16-462C-A4C9-0DB731EBBAB0}" name="Column14740"/>
    <tableColumn id="14772" xr3:uid="{EB889B38-9E9F-4981-AA3D-A261C067287B}" name="Column14741"/>
    <tableColumn id="14773" xr3:uid="{09648FDB-F7F2-434B-8E14-B0A321829AAD}" name="Column14742"/>
    <tableColumn id="14774" xr3:uid="{F45B50E7-F6D8-4C61-809A-6B464573C34B}" name="Column14743"/>
    <tableColumn id="14775" xr3:uid="{B6E0E688-DFC2-4B7D-B4CF-63A2CE7ABCCC}" name="Column14744"/>
    <tableColumn id="14776" xr3:uid="{87349203-5864-4D85-83EC-05B2F07A3D84}" name="Column14745"/>
    <tableColumn id="14777" xr3:uid="{A784D63B-CD29-4FDB-ABF3-DB01380667B5}" name="Column14746"/>
    <tableColumn id="14778" xr3:uid="{F741DFB7-EFA0-4AD7-AAD8-779D9C9C2903}" name="Column14747"/>
    <tableColumn id="14779" xr3:uid="{D5A00155-88CC-42A4-9BE5-6CE664CCA604}" name="Column14748"/>
    <tableColumn id="14780" xr3:uid="{22AAFB34-251F-4574-8EF4-7C617AF799A8}" name="Column14749"/>
    <tableColumn id="14781" xr3:uid="{A97BA61D-7A36-46F6-8831-CE4C0B27F1D8}" name="Column14750"/>
    <tableColumn id="14782" xr3:uid="{D072EB22-4AF2-4C5D-B609-36D48D2F419F}" name="Column14751"/>
    <tableColumn id="14783" xr3:uid="{9488F51D-7580-4A53-813E-4E7A0A9186D0}" name="Column14752"/>
    <tableColumn id="14784" xr3:uid="{8EF9C191-7EB4-4083-9614-921B0B4DA7F2}" name="Column14753"/>
    <tableColumn id="14785" xr3:uid="{BC27E96B-CD75-405C-9538-4BAC061D8C61}" name="Column14754"/>
    <tableColumn id="14786" xr3:uid="{0BD689F1-6D6B-4CC5-AC98-CA6947FF28D6}" name="Column14755"/>
    <tableColumn id="14787" xr3:uid="{2D8B08D5-6564-4EE5-A7DE-E8BC86CB9E70}" name="Column14756"/>
    <tableColumn id="14788" xr3:uid="{59F86FD5-9F64-4706-A66A-651731FFAD31}" name="Column14757"/>
    <tableColumn id="14789" xr3:uid="{C618DD1C-A6C9-4AD4-941C-511417893B9D}" name="Column14758"/>
    <tableColumn id="14790" xr3:uid="{D715DE10-B15C-4841-8848-7A853453FF96}" name="Column14759"/>
    <tableColumn id="14791" xr3:uid="{203D807E-2365-43EB-B1A8-718F555F89BD}" name="Column14760"/>
    <tableColumn id="14792" xr3:uid="{5DFB9DF8-9E9B-43EC-89B9-37BCFD0FBF89}" name="Column14761"/>
    <tableColumn id="14793" xr3:uid="{85CE7E6F-8DA1-4758-8559-9304DAC8BDD4}" name="Column14762"/>
    <tableColumn id="14794" xr3:uid="{D87DCA78-F940-4943-B5F3-36CFDBFF1FAA}" name="Column14763"/>
    <tableColumn id="14795" xr3:uid="{AB57FD46-E6EC-4C8B-A469-D55CF474C6D7}" name="Column14764"/>
    <tableColumn id="14796" xr3:uid="{2922D3F3-1559-4166-8A28-CFBC63223EFC}" name="Column14765"/>
    <tableColumn id="14797" xr3:uid="{9AAFEFCE-2E1E-41E2-892A-959655BB005F}" name="Column14766"/>
    <tableColumn id="14798" xr3:uid="{9004B45A-63FC-46FA-8078-33CEF1123F6B}" name="Column14767"/>
    <tableColumn id="14799" xr3:uid="{CFE810DA-36C9-410B-9DBE-A0899A8ED904}" name="Column14768"/>
    <tableColumn id="14800" xr3:uid="{4FF47CD3-023F-48F6-980E-D51E35F7DE2F}" name="Column14769"/>
    <tableColumn id="14801" xr3:uid="{668E721B-0A2F-430C-B080-52C0117DF21C}" name="Column14770"/>
    <tableColumn id="14802" xr3:uid="{7417DB03-34B6-404F-A5B1-29A4C7828776}" name="Column14771"/>
    <tableColumn id="14803" xr3:uid="{349BD522-382D-455B-84FF-CD1FEA888F95}" name="Column14772"/>
    <tableColumn id="14804" xr3:uid="{3F3B4655-7D8E-4893-92E9-912BBEA3CAD8}" name="Column14773"/>
    <tableColumn id="14805" xr3:uid="{B405B705-18B5-4ECA-BEEB-C1672C2BF281}" name="Column14774"/>
    <tableColumn id="14806" xr3:uid="{E079C3C1-9251-4D15-92BB-5962A933A78A}" name="Column14775"/>
    <tableColumn id="14807" xr3:uid="{18FE52CD-ED80-4006-A48B-2E67A9DDDF65}" name="Column14776"/>
    <tableColumn id="14808" xr3:uid="{14890CC0-4A1F-41E1-B9E5-0FC561CC1688}" name="Column14777"/>
    <tableColumn id="14809" xr3:uid="{9FCBE7EC-C078-4E90-9347-7351D498E05D}" name="Column14778"/>
    <tableColumn id="14810" xr3:uid="{C6EB2B70-D03D-4572-B14E-46A62448B567}" name="Column14779"/>
    <tableColumn id="14811" xr3:uid="{C6CEFAB8-1CD1-4A06-A5CD-7B7CB55B12B3}" name="Column14780"/>
    <tableColumn id="14812" xr3:uid="{A9FA044D-8F89-41F5-BE32-A72DCA1D741F}" name="Column14781"/>
    <tableColumn id="14813" xr3:uid="{E64B68D6-B370-4B68-AD5E-DA914B7287CB}" name="Column14782"/>
    <tableColumn id="14814" xr3:uid="{400955D8-8E30-458B-83D3-78A06C1C3954}" name="Column14783"/>
    <tableColumn id="14815" xr3:uid="{8B4AF815-0A57-4B6B-B771-D7F47A1321F9}" name="Column14784"/>
    <tableColumn id="14816" xr3:uid="{8670CC29-25ED-4F50-97C6-84A85F3976A7}" name="Column14785"/>
    <tableColumn id="14817" xr3:uid="{F0AB68C0-5118-4FD3-A7C3-C639CA8663AE}" name="Column14786"/>
    <tableColumn id="14818" xr3:uid="{93E50960-D388-4D6C-9907-DB175BE00071}" name="Column14787"/>
    <tableColumn id="14819" xr3:uid="{421CB1A6-5191-475C-89D5-E5F6C5A71925}" name="Column14788"/>
    <tableColumn id="14820" xr3:uid="{D4E6FAC3-9469-4C49-B8BC-897E47F80102}" name="Column14789"/>
    <tableColumn id="14821" xr3:uid="{7C3AE357-7235-4FB5-95AF-948A11F189F7}" name="Column14790"/>
    <tableColumn id="14822" xr3:uid="{03AC2766-61F9-4FA6-BF5F-74CD37006A28}" name="Column14791"/>
    <tableColumn id="14823" xr3:uid="{0F55ECD3-2A95-4824-8DEB-13FDFB551BC0}" name="Column14792"/>
    <tableColumn id="14824" xr3:uid="{1C69F723-CD50-40F8-B3AE-8CAA9ED33D12}" name="Column14793"/>
    <tableColumn id="14825" xr3:uid="{B43A620A-B4DB-417D-9FB7-0F5FC870F56F}" name="Column14794"/>
    <tableColumn id="14826" xr3:uid="{EC66D0E5-4389-483A-B885-1F14DE1284F7}" name="Column14795"/>
    <tableColumn id="14827" xr3:uid="{5BC40742-C489-4481-8BA0-E7C79AE72FDF}" name="Column14796"/>
    <tableColumn id="14828" xr3:uid="{72A5D2B8-9440-45D1-B49E-22A37E86EEE5}" name="Column14797"/>
    <tableColumn id="14829" xr3:uid="{26469FF8-5A8E-4686-9FF5-B3D2A286E9F8}" name="Column14798"/>
    <tableColumn id="14830" xr3:uid="{D0237608-915C-4EB8-9B26-FF15EA3D7D76}" name="Column14799"/>
    <tableColumn id="14831" xr3:uid="{855BB948-F6F6-4086-9710-0E2DF3CCFE59}" name="Column14800"/>
    <tableColumn id="14832" xr3:uid="{04429EAD-F27C-40DF-AFFF-A48639D11325}" name="Column14801"/>
    <tableColumn id="14833" xr3:uid="{2C01C4DD-26FC-4476-BBB8-A575E443B841}" name="Column14802"/>
    <tableColumn id="14834" xr3:uid="{38B1CAC1-05D6-4478-A7A3-893DDBFBEBC3}" name="Column14803"/>
    <tableColumn id="14835" xr3:uid="{8EFBC579-DF70-45CF-BEEA-8F17F9BC7109}" name="Column14804"/>
    <tableColumn id="14836" xr3:uid="{EC6FBC55-0C24-4E86-A624-EEC5D21000AB}" name="Column14805"/>
    <tableColumn id="14837" xr3:uid="{5A171916-2CB4-472F-996E-4003AC7415B2}" name="Column14806"/>
    <tableColumn id="14838" xr3:uid="{F1A4A494-3B66-4AFD-8B8A-A6A70C346CB8}" name="Column14807"/>
    <tableColumn id="14839" xr3:uid="{B3D0797C-F3E0-4817-BC7F-F21B22DE6355}" name="Column14808"/>
    <tableColumn id="14840" xr3:uid="{F33A0CC0-89E4-47D4-AEA9-202858489065}" name="Column14809"/>
    <tableColumn id="14841" xr3:uid="{3A8B0FE5-A23D-42E1-AC35-6BEBAF4BB89F}" name="Column14810"/>
    <tableColumn id="14842" xr3:uid="{1762A663-6F27-44B0-81DE-44C22B06A2E7}" name="Column14811"/>
    <tableColumn id="14843" xr3:uid="{D9CFA2D4-F0E6-42D1-8527-F381F51819B3}" name="Column14812"/>
    <tableColumn id="14844" xr3:uid="{59FAA076-C026-4589-B6A7-48DECDC91560}" name="Column14813"/>
    <tableColumn id="14845" xr3:uid="{11D26BCA-45B8-4297-A49E-8E9506B39EC1}" name="Column14814"/>
    <tableColumn id="14846" xr3:uid="{26B1428B-2286-4ED6-A8D6-8A19E0A0723A}" name="Column14815"/>
    <tableColumn id="14847" xr3:uid="{6E3CA475-245D-440B-A9B6-2059B195E73F}" name="Column14816"/>
    <tableColumn id="14848" xr3:uid="{B1A997C3-779E-42D6-A711-4DA211F30738}" name="Column14817"/>
    <tableColumn id="14849" xr3:uid="{2D64565C-4273-4031-B6EF-5B446EF8592E}" name="Column14818"/>
    <tableColumn id="14850" xr3:uid="{8057BD69-B349-428C-8D1B-344F9240CBE3}" name="Column14819"/>
    <tableColumn id="14851" xr3:uid="{60EDBE98-28F2-4A2B-87B5-D73740D25F5A}" name="Column14820"/>
    <tableColumn id="14852" xr3:uid="{FD1789BA-C94F-489E-BCFC-17DB980EC5BF}" name="Column14821"/>
    <tableColumn id="14853" xr3:uid="{BB0B406C-ADE1-4E0A-8187-CBD12AF826CB}" name="Column14822"/>
    <tableColumn id="14854" xr3:uid="{4A232184-BB6A-41F9-976C-CA81C68C874C}" name="Column14823"/>
    <tableColumn id="14855" xr3:uid="{F93D80EA-7F96-450D-991D-94658E92748A}" name="Column14824"/>
    <tableColumn id="14856" xr3:uid="{369BA3C8-8358-40BB-A476-DFFE5CA7D7A4}" name="Column14825"/>
    <tableColumn id="14857" xr3:uid="{0D06531F-D97A-41A6-9C93-DD1820D78EF8}" name="Column14826"/>
    <tableColumn id="14858" xr3:uid="{CCCAAAAE-D1FF-46D7-AFF4-6D6A2E3D3446}" name="Column14827"/>
    <tableColumn id="14859" xr3:uid="{C33EED36-0135-4730-BA9C-A73769B36531}" name="Column14828"/>
    <tableColumn id="14860" xr3:uid="{BD0B1109-9FA2-4C00-9FDC-0D0C09DA79C8}" name="Column14829"/>
    <tableColumn id="14861" xr3:uid="{0D9C14A0-5000-472D-871A-1A45DBC1E933}" name="Column14830"/>
    <tableColumn id="14862" xr3:uid="{3D16C493-12A7-49EB-AD41-3EE1778DBA19}" name="Column14831"/>
    <tableColumn id="14863" xr3:uid="{7C1FC963-3055-46BB-8AD5-6FE3B6C88F3B}" name="Column14832"/>
    <tableColumn id="14864" xr3:uid="{B95E88FC-D814-4C6D-A06F-37A65299E4F9}" name="Column14833"/>
    <tableColumn id="14865" xr3:uid="{09A36668-22C8-4DF3-A0CA-2D0CF7419902}" name="Column14834"/>
    <tableColumn id="14866" xr3:uid="{C3819FBC-4EFD-415D-829B-905D9D7D6047}" name="Column14835"/>
    <tableColumn id="14867" xr3:uid="{FD4D21B8-D46E-4E8C-9C01-0560DE24193B}" name="Column14836"/>
    <tableColumn id="14868" xr3:uid="{99CD465F-6143-4005-9668-38C1D22FBB89}" name="Column14837"/>
    <tableColumn id="14869" xr3:uid="{1F298AA0-7577-4296-8075-52278ECA4962}" name="Column14838"/>
    <tableColumn id="14870" xr3:uid="{CEB278D2-EF84-4210-B246-BC1AF4DD757F}" name="Column14839"/>
    <tableColumn id="14871" xr3:uid="{F5DC6E20-2B62-4BD2-ADE3-F211CFB18994}" name="Column14840"/>
    <tableColumn id="14872" xr3:uid="{50608195-C95F-43C8-86C2-52A2B54E5B2C}" name="Column14841"/>
    <tableColumn id="14873" xr3:uid="{CA86493F-F7FD-407D-AECB-08C925EE0B45}" name="Column14842"/>
    <tableColumn id="14874" xr3:uid="{2F22E006-9E94-4598-A2D1-E7A019EAFAFA}" name="Column14843"/>
    <tableColumn id="14875" xr3:uid="{1C4E19C8-ADCC-4B46-BE33-8B462A5FBA6C}" name="Column14844"/>
    <tableColumn id="14876" xr3:uid="{07D69CE4-81EF-49DF-96F9-2D05485EE189}" name="Column14845"/>
    <tableColumn id="14877" xr3:uid="{634100CD-47E0-4B55-973C-AD8DEEBA99AA}" name="Column14846"/>
    <tableColumn id="14878" xr3:uid="{CBBF6A55-565C-4F3F-A290-6FBEEEF5EB24}" name="Column14847"/>
    <tableColumn id="14879" xr3:uid="{B6BA241D-0751-4B32-8771-D5EA5019898F}" name="Column14848"/>
    <tableColumn id="14880" xr3:uid="{0336B316-EA97-4CEE-92FD-6C88A9C0B9F7}" name="Column14849"/>
    <tableColumn id="14881" xr3:uid="{6258A843-17F5-4C64-BCE3-EEC94CADCFEC}" name="Column14850"/>
    <tableColumn id="14882" xr3:uid="{C7709117-2F24-4B92-A361-D9F5E770A880}" name="Column14851"/>
    <tableColumn id="14883" xr3:uid="{A63B10A2-53B8-4C91-A163-96BB0879FF32}" name="Column14852"/>
    <tableColumn id="14884" xr3:uid="{F4051160-F2E3-4C68-B06F-9C3E17E81C79}" name="Column14853"/>
    <tableColumn id="14885" xr3:uid="{33D3CDA2-32E1-495E-99B1-146ADAC82438}" name="Column14854"/>
    <tableColumn id="14886" xr3:uid="{BE17B133-D30D-4F6F-9CE4-E21B8743EAEC}" name="Column14855"/>
    <tableColumn id="14887" xr3:uid="{A35C8D4E-984A-461B-B2E6-53331B8A822C}" name="Column14856"/>
    <tableColumn id="14888" xr3:uid="{EFE8C945-0099-41CA-B7D4-38906534EC85}" name="Column14857"/>
    <tableColumn id="14889" xr3:uid="{EBAECDC4-362D-4567-94EF-CAEBE0AFF0BF}" name="Column14858"/>
    <tableColumn id="14890" xr3:uid="{5ADB1AE5-A738-49A1-BCFF-E5E03FF6C0FF}" name="Column14859"/>
    <tableColumn id="14891" xr3:uid="{9DD3E44E-428A-48EC-901A-32A6B817AD04}" name="Column14860"/>
    <tableColumn id="14892" xr3:uid="{35AD4103-0A70-4DE2-872D-69AC10BD317A}" name="Column14861"/>
    <tableColumn id="14893" xr3:uid="{BD62E2B8-A927-4DAA-B877-4B5A41521FE4}" name="Column14862"/>
    <tableColumn id="14894" xr3:uid="{868DB8A5-6395-4983-8187-37A003FAA3A5}" name="Column14863"/>
    <tableColumn id="14895" xr3:uid="{5F17D28A-F878-4B4D-88D6-870CF65B4B19}" name="Column14864"/>
    <tableColumn id="14896" xr3:uid="{5911003A-89A2-4E44-9B7B-41B9BE8A31B5}" name="Column14865"/>
    <tableColumn id="14897" xr3:uid="{73157CCB-4DAF-4472-8298-6312C594CC02}" name="Column14866"/>
    <tableColumn id="14898" xr3:uid="{EF1388DA-AA41-4145-9C39-4FCAC173D8AD}" name="Column14867"/>
    <tableColumn id="14899" xr3:uid="{3DF6FFF0-D4D2-4324-BC8D-664279F5D577}" name="Column14868"/>
    <tableColumn id="14900" xr3:uid="{907C70CC-3B55-4947-8329-ECA4ACBCE773}" name="Column14869"/>
    <tableColumn id="14901" xr3:uid="{9369CF6C-4BCD-43EB-9EE5-B76EC919C83C}" name="Column14870"/>
    <tableColumn id="14902" xr3:uid="{290CB91A-6C48-4E16-A4DA-CB46BF64E29B}" name="Column14871"/>
    <tableColumn id="14903" xr3:uid="{5016B87F-0C49-45B6-8CCC-AED1BA192217}" name="Column14872"/>
    <tableColumn id="14904" xr3:uid="{78B918AD-3629-418D-9D28-0499724456D6}" name="Column14873"/>
    <tableColumn id="14905" xr3:uid="{2DD3E0E1-906E-413C-9677-33DE7582026A}" name="Column14874"/>
    <tableColumn id="14906" xr3:uid="{49CB3305-6D9C-478C-B413-36ECFE87EDFA}" name="Column14875"/>
    <tableColumn id="14907" xr3:uid="{17A4455D-351E-4476-9B99-264381AE6BA2}" name="Column14876"/>
    <tableColumn id="14908" xr3:uid="{7066AA16-F551-4E38-972C-AFDB6DE53050}" name="Column14877"/>
    <tableColumn id="14909" xr3:uid="{ECB4B495-8262-4404-87FD-4AE734F21719}" name="Column14878"/>
    <tableColumn id="14910" xr3:uid="{14E26721-3B92-4F56-8837-12EC13916BA9}" name="Column14879"/>
    <tableColumn id="14911" xr3:uid="{210D031B-025F-4D9A-9489-831622AABEA8}" name="Column14880"/>
    <tableColumn id="14912" xr3:uid="{9E14E55F-EA47-421D-93DB-64CE66D160F4}" name="Column14881"/>
    <tableColumn id="14913" xr3:uid="{5A761F9C-24D2-4D86-B2CE-EED78848FFA5}" name="Column14882"/>
    <tableColumn id="14914" xr3:uid="{11B040FF-0A40-4FAD-9CDC-2A3A699CEF72}" name="Column14883"/>
    <tableColumn id="14915" xr3:uid="{25503B2A-FC05-43EF-8F41-E5A1A334A2DA}" name="Column14884"/>
    <tableColumn id="14916" xr3:uid="{D033376C-5FB3-4714-A8D7-D9C2F59C7E68}" name="Column14885"/>
    <tableColumn id="14917" xr3:uid="{1AF622B7-25C7-467E-9B56-8C2BAD2A33F4}" name="Column14886"/>
    <tableColumn id="14918" xr3:uid="{EB1F1E36-4D7B-4FEB-B174-AC544B71795A}" name="Column14887"/>
    <tableColumn id="14919" xr3:uid="{2D7D2FB2-5230-4AF0-BCB3-6539335627CB}" name="Column14888"/>
    <tableColumn id="14920" xr3:uid="{380C0F47-B2BC-4489-BB5C-BD2AAC5B5F74}" name="Column14889"/>
    <tableColumn id="14921" xr3:uid="{EA85985B-41FB-4C52-9AD9-05C212ACB794}" name="Column14890"/>
    <tableColumn id="14922" xr3:uid="{8DC3EEBD-4003-413B-A693-75B5AE4E10E5}" name="Column14891"/>
    <tableColumn id="14923" xr3:uid="{352B59F1-B265-49D7-BAB1-1BCC309412A4}" name="Column14892"/>
    <tableColumn id="14924" xr3:uid="{5EB7CFC7-7661-49EC-9CC0-43E5E6CF8F12}" name="Column14893"/>
    <tableColumn id="14925" xr3:uid="{6D3F6A18-C85B-41FF-95E9-1A19CFAA86A9}" name="Column14894"/>
    <tableColumn id="14926" xr3:uid="{FAAEB861-B456-4AAD-96D5-6F86B2084C43}" name="Column14895"/>
    <tableColumn id="14927" xr3:uid="{EDB6C794-1F79-4085-B49D-01795E1AAE36}" name="Column14896"/>
    <tableColumn id="14928" xr3:uid="{A3468D5A-E6EC-4742-A9C8-DC4753EB1996}" name="Column14897"/>
    <tableColumn id="14929" xr3:uid="{2C94D548-409F-4072-B60F-9DDC4ADD0C26}" name="Column14898"/>
    <tableColumn id="14930" xr3:uid="{E0000978-370B-4A78-BDD0-D5B6B9334977}" name="Column14899"/>
    <tableColumn id="14931" xr3:uid="{CAD563B7-565D-4449-884F-1CAB5767A0EF}" name="Column14900"/>
    <tableColumn id="14932" xr3:uid="{4CAB7562-EF67-438C-8395-96BFC577D613}" name="Column14901"/>
    <tableColumn id="14933" xr3:uid="{07E9FEA8-D975-4419-9538-7013798BBBA5}" name="Column14902"/>
    <tableColumn id="14934" xr3:uid="{4EA763E2-F203-442A-9AE0-760BB6235112}" name="Column14903"/>
    <tableColumn id="14935" xr3:uid="{D3B8D23C-77D8-4C54-8ED3-F63387F76FE3}" name="Column14904"/>
    <tableColumn id="14936" xr3:uid="{3596C65C-818B-4E16-AAF5-C0A9D5FEE21A}" name="Column14905"/>
    <tableColumn id="14937" xr3:uid="{81B8EDB1-1F0F-450C-9C04-1F33303397B8}" name="Column14906"/>
    <tableColumn id="14938" xr3:uid="{32EDBE47-B3C5-43ED-91D0-194F2AAEF1F5}" name="Column14907"/>
    <tableColumn id="14939" xr3:uid="{22ED26C4-3882-4CB0-A15F-C0FDA481856B}" name="Column14908"/>
    <tableColumn id="14940" xr3:uid="{5A3827CE-CF00-4469-8C5C-54893595592D}" name="Column14909"/>
    <tableColumn id="14941" xr3:uid="{43C95FC1-34C9-4121-813B-A93F146DCF8E}" name="Column14910"/>
    <tableColumn id="14942" xr3:uid="{2DAD0524-0204-4B57-A169-030450BA55E4}" name="Column14911"/>
    <tableColumn id="14943" xr3:uid="{7EE5FE65-C57B-441B-8C48-0365210F3FDE}" name="Column14912"/>
    <tableColumn id="14944" xr3:uid="{9F4511B8-51FC-4448-B1AA-B4F1E4FDF522}" name="Column14913"/>
    <tableColumn id="14945" xr3:uid="{79954652-6249-46EF-93D8-CF4A5DCE8851}" name="Column14914"/>
    <tableColumn id="14946" xr3:uid="{DF4AF5B8-793F-4A8E-BE4C-CA1D3D989C13}" name="Column14915"/>
    <tableColumn id="14947" xr3:uid="{DA3B9E2B-B587-4EF7-B81E-33AFB7A56F8F}" name="Column14916"/>
    <tableColumn id="14948" xr3:uid="{9A8E56A8-2679-487B-9CCF-8941DCA4D9F0}" name="Column14917"/>
    <tableColumn id="14949" xr3:uid="{CB371641-69DD-4D4D-AE2C-2398483F9FA9}" name="Column14918"/>
    <tableColumn id="14950" xr3:uid="{8DA3D6CC-93A7-4E9C-92A6-E44B0240C4A9}" name="Column14919"/>
    <tableColumn id="14951" xr3:uid="{DFBCD166-3094-4F92-AE33-F69422DF5CDE}" name="Column14920"/>
    <tableColumn id="14952" xr3:uid="{04EF858C-0EF5-4070-8F30-302809E9585D}" name="Column14921"/>
    <tableColumn id="14953" xr3:uid="{372C27D8-8062-4BED-BA01-B4D4887BF934}" name="Column14922"/>
    <tableColumn id="14954" xr3:uid="{FECEC22D-2A39-4C02-A165-700AF8232AF2}" name="Column14923"/>
    <tableColumn id="14955" xr3:uid="{68BC80DF-6A8B-44DF-9E0A-C0555F495350}" name="Column14924"/>
    <tableColumn id="14956" xr3:uid="{36AC3A51-7173-4FC0-91F0-8A0260671F32}" name="Column14925"/>
    <tableColumn id="14957" xr3:uid="{9F41EF55-6776-4F56-9BEF-210041B45407}" name="Column14926"/>
    <tableColumn id="14958" xr3:uid="{2D3235B1-093E-4B70-9EEB-F82A0660235D}" name="Column14927"/>
    <tableColumn id="14959" xr3:uid="{69A36054-8B8D-44E2-8BBC-B1956B775DA2}" name="Column14928"/>
    <tableColumn id="14960" xr3:uid="{BA6BE59C-08C4-4EC2-AC45-93DAB6BA7A6D}" name="Column14929"/>
    <tableColumn id="14961" xr3:uid="{1B688AD6-744A-43EE-AD91-0A7A5B112AA3}" name="Column14930"/>
    <tableColumn id="14962" xr3:uid="{56AA16A5-892C-4034-AFB4-778A1AD7931B}" name="Column14931"/>
    <tableColumn id="14963" xr3:uid="{714DB739-F049-404D-8037-DFB47FB97E40}" name="Column14932"/>
    <tableColumn id="14964" xr3:uid="{5C6C3862-534A-46AF-B7CC-DE5DE24F1CE0}" name="Column14933"/>
    <tableColumn id="14965" xr3:uid="{6B09B377-EE0C-4E75-85C0-30670ABCF6B9}" name="Column14934"/>
    <tableColumn id="14966" xr3:uid="{D38D5051-CDB5-4D41-83AE-7764224B5E11}" name="Column14935"/>
    <tableColumn id="14967" xr3:uid="{0774A590-5F8E-4F23-828B-A221D8DBCEA2}" name="Column14936"/>
    <tableColumn id="14968" xr3:uid="{3DC092E7-DA7A-475F-B951-010FF3254352}" name="Column14937"/>
    <tableColumn id="14969" xr3:uid="{CAA3778A-5D87-4FFC-9409-9D8DBEB29310}" name="Column14938"/>
    <tableColumn id="14970" xr3:uid="{53EF13A9-C65B-4CC6-AD00-DBDBC28CBB73}" name="Column14939"/>
    <tableColumn id="14971" xr3:uid="{91D7B3CD-177E-4608-85CE-CD48E0C5E14C}" name="Column14940"/>
    <tableColumn id="14972" xr3:uid="{A205890E-747E-41E9-B070-7E32D2C7DE38}" name="Column14941"/>
    <tableColumn id="14973" xr3:uid="{2E9D4438-7078-4775-B095-88016650939D}" name="Column14942"/>
    <tableColumn id="14974" xr3:uid="{DF88568C-422C-477F-831A-49EA6B235700}" name="Column14943"/>
    <tableColumn id="14975" xr3:uid="{E5B8123C-9957-479D-8294-D82042C9E020}" name="Column14944"/>
    <tableColumn id="14976" xr3:uid="{FC1D592B-39B1-4C76-8104-F715407D4076}" name="Column14945"/>
    <tableColumn id="14977" xr3:uid="{B78C712C-1741-4A00-88C2-72DCA13AB302}" name="Column14946"/>
    <tableColumn id="14978" xr3:uid="{2C7F178B-0B29-49DF-B243-8E0429FE7F15}" name="Column14947"/>
    <tableColumn id="14979" xr3:uid="{B237E545-3933-4E61-A582-313E3B5995DF}" name="Column14948"/>
    <tableColumn id="14980" xr3:uid="{C1B00727-87F9-479B-9682-1A02B86BBA31}" name="Column14949"/>
    <tableColumn id="14981" xr3:uid="{CED1A4BE-6DA2-427F-A77B-D13B6F597980}" name="Column14950"/>
    <tableColumn id="14982" xr3:uid="{D3B7988B-8174-4FB9-84A0-58683C88319F}" name="Column14951"/>
    <tableColumn id="14983" xr3:uid="{724ECE36-0D5C-46D2-8925-3BF0A4AE1E07}" name="Column14952"/>
    <tableColumn id="14984" xr3:uid="{B50C502D-1C51-48E6-A26A-7A88195EE26C}" name="Column14953"/>
    <tableColumn id="14985" xr3:uid="{FD38B34B-CC34-48DE-9256-C8BADDCC4204}" name="Column14954"/>
    <tableColumn id="14986" xr3:uid="{5C9BB7C3-DA31-413F-B4FA-A947EA55254E}" name="Column14955"/>
    <tableColumn id="14987" xr3:uid="{093BA76E-D40B-48DC-9BCF-55593E3EDF04}" name="Column14956"/>
    <tableColumn id="14988" xr3:uid="{77B6EB22-719E-43E0-BC53-16EAF0A11925}" name="Column14957"/>
    <tableColumn id="14989" xr3:uid="{920A1643-76DD-4002-8360-1B93908A4E27}" name="Column14958"/>
    <tableColumn id="14990" xr3:uid="{67AE0750-93F5-4F6D-897D-C80BE855AB03}" name="Column14959"/>
    <tableColumn id="14991" xr3:uid="{AD4891B7-934F-4D26-905C-D50A7E85A037}" name="Column14960"/>
    <tableColumn id="14992" xr3:uid="{20F9B16C-3949-4D4B-9A5B-40F063721431}" name="Column14961"/>
    <tableColumn id="14993" xr3:uid="{F9687193-8D9F-454F-BD7E-24A2B0CD9FCF}" name="Column14962"/>
    <tableColumn id="14994" xr3:uid="{C1B37F68-B012-404B-B058-A32C31EC61A6}" name="Column14963"/>
    <tableColumn id="14995" xr3:uid="{B5F4C7EA-ECB6-4FE2-B9A9-62641E198E86}" name="Column14964"/>
    <tableColumn id="14996" xr3:uid="{DB007BBA-3C5C-4470-BB1A-6B6214A10FC0}" name="Column14965"/>
    <tableColumn id="14997" xr3:uid="{7AD14B31-0630-4CE0-9F71-3E9ABCADF4FA}" name="Column14966"/>
    <tableColumn id="14998" xr3:uid="{67AC11F0-32D2-44C2-A1CC-6AF940903003}" name="Column14967"/>
    <tableColumn id="14999" xr3:uid="{7513645E-7157-4772-98C1-EB330D889812}" name="Column14968"/>
    <tableColumn id="15000" xr3:uid="{28D511E0-D86D-4A57-86E6-259D8A53BC8B}" name="Column14969"/>
    <tableColumn id="15001" xr3:uid="{8EEA80F6-7554-4817-BBAF-8FB206D1577D}" name="Column14970"/>
    <tableColumn id="15002" xr3:uid="{F03FA809-0C85-40D1-95E6-EC504FB0F753}" name="Column14971"/>
    <tableColumn id="15003" xr3:uid="{EA722D60-4F74-45C6-9616-C9233D1A4A44}" name="Column14972"/>
    <tableColumn id="15004" xr3:uid="{0F4B747B-4D24-433B-B74A-B5006BAAC984}" name="Column14973"/>
    <tableColumn id="15005" xr3:uid="{BC649F30-B483-4BF9-9158-BC22EE7C8C47}" name="Column14974"/>
    <tableColumn id="15006" xr3:uid="{7BB6B5F3-AB73-40F7-B3F4-F8E9DDAF3504}" name="Column14975"/>
    <tableColumn id="15007" xr3:uid="{05A3F39F-94D3-4CE0-9793-DD9E841EAED8}" name="Column14976"/>
    <tableColumn id="15008" xr3:uid="{64AB9907-B0D6-4ECD-BB91-13558B92CA3A}" name="Column14977"/>
    <tableColumn id="15009" xr3:uid="{8BFBCE5A-3815-4DED-9A3C-B10D118FD7CE}" name="Column14978"/>
    <tableColumn id="15010" xr3:uid="{FEB96835-3B31-40D4-81CB-9429920BB987}" name="Column14979"/>
    <tableColumn id="15011" xr3:uid="{1DB803E9-25BF-4332-8B35-C82C39A8404A}" name="Column14980"/>
    <tableColumn id="15012" xr3:uid="{7FE5D9D4-B10C-413A-900E-1E4000D43F93}" name="Column14981"/>
    <tableColumn id="15013" xr3:uid="{2FEF046C-0ABC-4665-B1DD-6F81B1231C66}" name="Column14982"/>
    <tableColumn id="15014" xr3:uid="{DD83A105-4277-4B8A-A60D-0BFDA743BFC1}" name="Column14983"/>
    <tableColumn id="15015" xr3:uid="{4A136C18-402A-4E72-857B-D1CC6E47C99C}" name="Column14984"/>
    <tableColumn id="15016" xr3:uid="{464BE9E6-3AA9-4F3A-A1BF-4598F52638F5}" name="Column14985"/>
    <tableColumn id="15017" xr3:uid="{0121CF17-9276-4455-8108-C63B65F21E10}" name="Column14986"/>
    <tableColumn id="15018" xr3:uid="{05899317-564F-4EF6-8CA9-442FF3156096}" name="Column14987"/>
    <tableColumn id="15019" xr3:uid="{38F5C974-4C8C-47EB-A086-8A2509E4A58F}" name="Column14988"/>
    <tableColumn id="15020" xr3:uid="{0F92D615-CFB0-48B3-84D1-96537AAABD2D}" name="Column14989"/>
    <tableColumn id="15021" xr3:uid="{952F43A3-72FC-45C2-99F2-05E9F69EAF1B}" name="Column14990"/>
    <tableColumn id="15022" xr3:uid="{27E3CBEA-CBC9-4DEB-B135-C8A29439EF98}" name="Column14991"/>
    <tableColumn id="15023" xr3:uid="{C3EBEE81-7704-427E-8036-15DEF937EE11}" name="Column14992"/>
    <tableColumn id="15024" xr3:uid="{4C763F01-1786-4634-BAF1-6F755E87323A}" name="Column14993"/>
    <tableColumn id="15025" xr3:uid="{62D9BBCC-159F-4AE3-B0B9-42EE3E4495AC}" name="Column14994"/>
    <tableColumn id="15026" xr3:uid="{15B1CB78-A4F0-4C96-A63B-365F8A57A8E4}" name="Column14995"/>
    <tableColumn id="15027" xr3:uid="{2B3A78A3-1514-474C-8971-1B1D4AC09521}" name="Column14996"/>
    <tableColumn id="15028" xr3:uid="{0D9BBEF7-1958-4AE7-BC68-058722F38C2A}" name="Column14997"/>
    <tableColumn id="15029" xr3:uid="{63E1C5FF-C1F2-4AEB-A0EA-A18487421791}" name="Column14998"/>
    <tableColumn id="15030" xr3:uid="{1553AED3-E4F1-4820-BDB4-154FD5F8EB67}" name="Column14999"/>
    <tableColumn id="15031" xr3:uid="{1881B3E1-688B-4F9B-B3AB-712084CA082B}" name="Column15000"/>
    <tableColumn id="15032" xr3:uid="{31852FB0-AB14-4AF7-A4F8-63A739D09EE3}" name="Column15001"/>
    <tableColumn id="15033" xr3:uid="{6ABBC985-CAEC-47F1-A015-3C97711021FC}" name="Column15002"/>
    <tableColumn id="15034" xr3:uid="{3D5535BE-8B5C-452A-ADB4-9700B043ADCB}" name="Column15003"/>
    <tableColumn id="15035" xr3:uid="{76BD6A3C-6B17-4AA5-A8D2-D2B72655BDCC}" name="Column15004"/>
    <tableColumn id="15036" xr3:uid="{37F00BB2-D898-4D8A-985D-C69782DD08E9}" name="Column15005"/>
    <tableColumn id="15037" xr3:uid="{B2B72A2E-AF70-4CE6-B37C-1DB73C672686}" name="Column15006"/>
    <tableColumn id="15038" xr3:uid="{196377CF-96DC-47B8-9597-86408E023B94}" name="Column15007"/>
    <tableColumn id="15039" xr3:uid="{2EE1C5B4-7D6A-4F22-8B66-92903BBC8586}" name="Column15008"/>
    <tableColumn id="15040" xr3:uid="{7A262C6F-E6F5-4482-902C-E953DE86DB53}" name="Column15009"/>
    <tableColumn id="15041" xr3:uid="{92F3345E-95BF-49C6-BCEF-8A21BF5A12D2}" name="Column15010"/>
    <tableColumn id="15042" xr3:uid="{B93AC6AA-8DF5-43B9-A21C-9D0EC592BFC6}" name="Column15011"/>
    <tableColumn id="15043" xr3:uid="{DECAD54A-425C-40A7-A6F1-5CA54A1D93BA}" name="Column15012"/>
    <tableColumn id="15044" xr3:uid="{95638A97-0B30-44B2-9828-15A141C95C51}" name="Column15013"/>
    <tableColumn id="15045" xr3:uid="{CF6DC532-D79D-4ECB-9EBE-1955DD86D171}" name="Column15014"/>
    <tableColumn id="15046" xr3:uid="{B06D6F6D-1160-41E9-843C-EEFAAACF143B}" name="Column15015"/>
    <tableColumn id="15047" xr3:uid="{CFEDC461-333E-4627-B6F3-F9EF0E16870B}" name="Column15016"/>
    <tableColumn id="15048" xr3:uid="{6335A407-3DC1-404E-B89F-ADC35917108B}" name="Column15017"/>
    <tableColumn id="15049" xr3:uid="{2B4C7396-4505-41FD-8A4C-D0F835066960}" name="Column15018"/>
    <tableColumn id="15050" xr3:uid="{71252747-4976-4B16-A7B7-0CF3B15FB1B6}" name="Column15019"/>
    <tableColumn id="15051" xr3:uid="{968FB007-36D3-48D0-B117-20A40C10D680}" name="Column15020"/>
    <tableColumn id="15052" xr3:uid="{03C79B9F-5D0B-4FF2-AD9B-264AE44A96C0}" name="Column15021"/>
    <tableColumn id="15053" xr3:uid="{88C82895-8CA1-44C0-A07D-C17F4CC7EA49}" name="Column15022"/>
    <tableColumn id="15054" xr3:uid="{AC861236-D4A0-49AE-B932-C6BA7DAD6D88}" name="Column15023"/>
    <tableColumn id="15055" xr3:uid="{5B22A7F4-955D-49EA-AE64-6E24AD9F49A5}" name="Column15024"/>
    <tableColumn id="15056" xr3:uid="{B4D2B84C-6D5E-4E35-A1CB-3B59D6B1DFA5}" name="Column15025"/>
    <tableColumn id="15057" xr3:uid="{4680AD50-A179-4B81-B7C0-B337F4EDC1F9}" name="Column15026"/>
    <tableColumn id="15058" xr3:uid="{D4C262E1-C99E-4D4F-A944-930B48BF7AAE}" name="Column15027"/>
    <tableColumn id="15059" xr3:uid="{350DF5B9-875F-4DFC-98E3-EF9174FBF5F8}" name="Column15028"/>
    <tableColumn id="15060" xr3:uid="{2CD81941-A05E-4C12-A196-4C2C5DE4F662}" name="Column15029"/>
    <tableColumn id="15061" xr3:uid="{20D0FBF1-9DBE-4870-8AFB-A2483B375AE6}" name="Column15030"/>
    <tableColumn id="15062" xr3:uid="{ADC7396B-87E7-4450-A9AA-AF51129DBFDB}" name="Column15031"/>
    <tableColumn id="15063" xr3:uid="{A54B1B2A-E673-4C8E-8A0B-1969B7BEC599}" name="Column15032"/>
    <tableColumn id="15064" xr3:uid="{93997834-C8C0-4F49-8D8E-C24F1642897D}" name="Column15033"/>
    <tableColumn id="15065" xr3:uid="{1A6812B4-1D60-4690-93CD-580492F74213}" name="Column15034"/>
    <tableColumn id="15066" xr3:uid="{92447781-3195-4974-A810-2B8EC6AC83FA}" name="Column15035"/>
    <tableColumn id="15067" xr3:uid="{570155F7-F2AE-4BBE-824E-935946A93D70}" name="Column15036"/>
    <tableColumn id="15068" xr3:uid="{E52D0A5C-53B0-4E51-838D-6659B984E067}" name="Column15037"/>
    <tableColumn id="15069" xr3:uid="{6E56248C-E207-4CFA-8B8E-2012170D7D3A}" name="Column15038"/>
    <tableColumn id="15070" xr3:uid="{EE862E40-79C2-4BB2-A5A0-B9E269E7015C}" name="Column15039"/>
    <tableColumn id="15071" xr3:uid="{45742D76-3F61-485A-B181-5A8D56331A48}" name="Column15040"/>
    <tableColumn id="15072" xr3:uid="{462A1D85-92E0-4A1F-B233-B10769B262C5}" name="Column15041"/>
    <tableColumn id="15073" xr3:uid="{F003C2C4-B6A3-4C76-9A60-95E36E1D91B9}" name="Column15042"/>
    <tableColumn id="15074" xr3:uid="{55F7B9CE-C416-40FD-A3E4-16A6E1243B83}" name="Column15043"/>
    <tableColumn id="15075" xr3:uid="{A7C86E03-5D80-4081-8DE0-FFF030EAD845}" name="Column15044"/>
    <tableColumn id="15076" xr3:uid="{91A062FB-F2EA-4C4B-B0E1-1E73DB6021C0}" name="Column15045"/>
    <tableColumn id="15077" xr3:uid="{4825C3B4-41F9-496C-B9AE-B1FC2A4B3D21}" name="Column15046"/>
    <tableColumn id="15078" xr3:uid="{76C64FA0-6AA5-4B2A-8E15-7C6B309E8853}" name="Column15047"/>
    <tableColumn id="15079" xr3:uid="{A6F4ED13-0533-444A-B713-6AD6AB14152F}" name="Column15048"/>
    <tableColumn id="15080" xr3:uid="{F808E329-F438-4E58-B9B7-AB0FABD5A894}" name="Column15049"/>
    <tableColumn id="15081" xr3:uid="{1367D114-8484-4A7C-84E1-DB95F11C8B2B}" name="Column15050"/>
    <tableColumn id="15082" xr3:uid="{B8E6EAB3-5467-43D6-AFF9-B552679BC263}" name="Column15051"/>
    <tableColumn id="15083" xr3:uid="{147A9B38-6371-4249-9DA0-5D3FA4F1AEBB}" name="Column15052"/>
    <tableColumn id="15084" xr3:uid="{76D91260-AC4E-4CE1-B35F-18C7D35E0FEE}" name="Column15053"/>
    <tableColumn id="15085" xr3:uid="{CF549025-C82E-42D0-A161-FD1EE4E16290}" name="Column15054"/>
    <tableColumn id="15086" xr3:uid="{AEEAD644-AF93-494F-A92D-3097CFDD2F65}" name="Column15055"/>
    <tableColumn id="15087" xr3:uid="{C337408A-2C41-4A94-AC0A-685008AE6472}" name="Column15056"/>
    <tableColumn id="15088" xr3:uid="{D079C313-1579-47C9-B374-004368A8BCBD}" name="Column15057"/>
    <tableColumn id="15089" xr3:uid="{DE604DFB-81AC-4874-9FDA-E931998EF46A}" name="Column15058"/>
    <tableColumn id="15090" xr3:uid="{25267791-BFE5-45E2-B145-74A29D6F32F6}" name="Column15059"/>
    <tableColumn id="15091" xr3:uid="{83F75C53-DD1E-4B32-B306-AFCAB502DB5A}" name="Column15060"/>
    <tableColumn id="15092" xr3:uid="{D171127D-FDCA-48E2-8244-D42691585839}" name="Column15061"/>
    <tableColumn id="15093" xr3:uid="{5BF4E84A-BA07-42F9-AEF8-580109F15E75}" name="Column15062"/>
    <tableColumn id="15094" xr3:uid="{C5C0ACCA-8405-48E9-9776-8F48603AD9FB}" name="Column15063"/>
    <tableColumn id="15095" xr3:uid="{372AB346-6C10-4244-87E7-D0B0856C2E1A}" name="Column15064"/>
    <tableColumn id="15096" xr3:uid="{1646F3F3-7B04-46ED-B8F9-F04FC66B84DD}" name="Column15065"/>
    <tableColumn id="15097" xr3:uid="{9618B136-75C5-443F-BADE-A5936C4E6159}" name="Column15066"/>
    <tableColumn id="15098" xr3:uid="{26FE4DA3-951C-4F82-A6D7-0D979EA819E3}" name="Column15067"/>
    <tableColumn id="15099" xr3:uid="{C2D7CA9C-4293-476C-81E4-37A8AAF819AE}" name="Column15068"/>
    <tableColumn id="15100" xr3:uid="{3D7B636D-466F-4B4D-9F7D-2DF199A54DFC}" name="Column15069"/>
    <tableColumn id="15101" xr3:uid="{CEC023BE-8B5C-4FF5-89DB-AF807581D333}" name="Column15070"/>
    <tableColumn id="15102" xr3:uid="{D233E52F-300A-4F4F-9802-538EE3AC449D}" name="Column15071"/>
    <tableColumn id="15103" xr3:uid="{AFD0587F-0742-466B-A931-ADA05F179999}" name="Column15072"/>
    <tableColumn id="15104" xr3:uid="{3A1658A2-2225-4187-A9AE-160E878024AC}" name="Column15073"/>
    <tableColumn id="15105" xr3:uid="{9791B683-26B2-4E76-9575-A20934C4CE1C}" name="Column15074"/>
    <tableColumn id="15106" xr3:uid="{739B7877-8253-4127-AD32-0B2614239F4C}" name="Column15075"/>
    <tableColumn id="15107" xr3:uid="{7E759F33-E3F2-4526-A6B4-F30FBD753274}" name="Column15076"/>
    <tableColumn id="15108" xr3:uid="{84429931-D483-4B78-804A-5AA503E7D8DF}" name="Column15077"/>
    <tableColumn id="15109" xr3:uid="{C18F8157-1E9F-4A15-883B-4D868C11407D}" name="Column15078"/>
    <tableColumn id="15110" xr3:uid="{54E0F93C-E681-4E27-84D9-10F59FED9945}" name="Column15079"/>
    <tableColumn id="15111" xr3:uid="{E96CBA52-B807-44EF-8E2B-97E983D1B46C}" name="Column15080"/>
    <tableColumn id="15112" xr3:uid="{32A15BC3-5712-43BB-BEF1-DE95707056F9}" name="Column15081"/>
    <tableColumn id="15113" xr3:uid="{E1C20A83-7CE1-4E91-99C3-486C25061D61}" name="Column15082"/>
    <tableColumn id="15114" xr3:uid="{0B9564D2-BBAF-4704-8C53-0C41D9DC364D}" name="Column15083"/>
    <tableColumn id="15115" xr3:uid="{097293D6-ADD0-4024-9F1B-860BB5208828}" name="Column15084"/>
    <tableColumn id="15116" xr3:uid="{2C3EAB9F-D2D2-4ED7-9021-41A8D748C3F3}" name="Column15085"/>
    <tableColumn id="15117" xr3:uid="{F384DA59-E166-410D-9265-9D6F2BB666DC}" name="Column15086"/>
    <tableColumn id="15118" xr3:uid="{0D250C8E-0601-40B5-985D-F2B31A61C0AE}" name="Column15087"/>
    <tableColumn id="15119" xr3:uid="{BE295112-61F5-4F6A-AF58-FACC62118CA3}" name="Column15088"/>
    <tableColumn id="15120" xr3:uid="{BDAD0745-F692-4413-A4EE-62FCF7B4364C}" name="Column15089"/>
    <tableColumn id="15121" xr3:uid="{946F3DD3-A7B9-4A29-BC05-CA41B7DFC13A}" name="Column15090"/>
    <tableColumn id="15122" xr3:uid="{F801FABD-F94F-4303-9B88-5924E9563A61}" name="Column15091"/>
    <tableColumn id="15123" xr3:uid="{FF4C7371-7E56-4FCE-B342-E851ECE52AF2}" name="Column15092"/>
    <tableColumn id="15124" xr3:uid="{84119636-DCAA-4D8F-8A57-1C19EAE84835}" name="Column15093"/>
    <tableColumn id="15125" xr3:uid="{28D79E55-E8AE-4274-BFD2-F6A69304413C}" name="Column15094"/>
    <tableColumn id="15126" xr3:uid="{98B2EB69-5F74-440C-A249-17CBF0222DBD}" name="Column15095"/>
    <tableColumn id="15127" xr3:uid="{93D928DC-6EAC-4475-9DA6-B9D6D42A9403}" name="Column15096"/>
    <tableColumn id="15128" xr3:uid="{40ED2AAC-7699-46B0-BB20-60498CBF493B}" name="Column15097"/>
    <tableColumn id="15129" xr3:uid="{09BA1638-6FAB-440C-8857-39C9FA0A1B59}" name="Column15098"/>
    <tableColumn id="15130" xr3:uid="{9D0F2431-F80B-4953-9776-14222C0BE1E6}" name="Column15099"/>
    <tableColumn id="15131" xr3:uid="{F18FF7B8-8927-4D89-A50D-43BCE7346BA8}" name="Column15100"/>
    <tableColumn id="15132" xr3:uid="{5CB16468-A643-4CF2-A413-8DC405319EEA}" name="Column15101"/>
    <tableColumn id="15133" xr3:uid="{DD58D6E2-54EB-4213-94A5-4E3DF9E1B243}" name="Column15102"/>
    <tableColumn id="15134" xr3:uid="{A4AE41D5-60B4-4B6B-886B-835237B5C48C}" name="Column15103"/>
    <tableColumn id="15135" xr3:uid="{387BEC90-F9CF-4E17-9632-3498AD0C270A}" name="Column15104"/>
    <tableColumn id="15136" xr3:uid="{6ABBFB1E-3F02-45B1-B598-D2013CF71905}" name="Column15105"/>
    <tableColumn id="15137" xr3:uid="{937A00E6-B307-4968-9D64-63A2E90C2801}" name="Column15106"/>
    <tableColumn id="15138" xr3:uid="{A924AD81-6474-46D5-B87E-12228166C57F}" name="Column15107"/>
    <tableColumn id="15139" xr3:uid="{50B0C5B6-55FC-4886-9F41-568F9129D934}" name="Column15108"/>
    <tableColumn id="15140" xr3:uid="{D295FF90-B308-433F-A358-B30F19FA241F}" name="Column15109"/>
    <tableColumn id="15141" xr3:uid="{19AF5529-2C96-445B-A89B-0183E9C21884}" name="Column15110"/>
    <tableColumn id="15142" xr3:uid="{A2D79441-8322-4D54-AC29-0A787A20D743}" name="Column15111"/>
    <tableColumn id="15143" xr3:uid="{B02E7030-14A6-48B7-BAE1-3506DFC5AE72}" name="Column15112"/>
    <tableColumn id="15144" xr3:uid="{54674554-B2D3-426E-80DF-F70360FDE3FB}" name="Column15113"/>
    <tableColumn id="15145" xr3:uid="{75EF926E-134D-4C92-902A-DFA5E8733587}" name="Column15114"/>
    <tableColumn id="15146" xr3:uid="{7A2E3C55-8F83-4D62-8987-023A83C716D3}" name="Column15115"/>
    <tableColumn id="15147" xr3:uid="{265B5D31-FA77-4343-ADBC-92702A1300D3}" name="Column15116"/>
    <tableColumn id="15148" xr3:uid="{D6468116-6C06-4B13-AD4D-0C82B1EB44C2}" name="Column15117"/>
    <tableColumn id="15149" xr3:uid="{A2909B26-8D4E-4C84-85D5-CA3C73356396}" name="Column15118"/>
    <tableColumn id="15150" xr3:uid="{9BDAD876-8639-4BB8-9206-2DD9BA12D115}" name="Column15119"/>
    <tableColumn id="15151" xr3:uid="{BDF65B51-C9EC-4726-A447-93D1110B97BF}" name="Column15120"/>
    <tableColumn id="15152" xr3:uid="{1645354D-2BC3-442C-8CFF-AB5998FB5073}" name="Column15121"/>
    <tableColumn id="15153" xr3:uid="{22383EC4-4752-4F8A-9EE6-0C40474AF00A}" name="Column15122"/>
    <tableColumn id="15154" xr3:uid="{A5A8EB1D-DCC3-4669-A440-314ABD37472D}" name="Column15123"/>
    <tableColumn id="15155" xr3:uid="{6D2221E9-4AC3-4AD6-8093-398790A2E42A}" name="Column15124"/>
    <tableColumn id="15156" xr3:uid="{DC18CB2B-ECF6-46D2-8124-AD0E3758F082}" name="Column15125"/>
    <tableColumn id="15157" xr3:uid="{68252F65-A973-4AA9-B9A4-60F6E3A370AC}" name="Column15126"/>
    <tableColumn id="15158" xr3:uid="{5CD29BB4-6252-42AD-ADC5-698753C26AEF}" name="Column15127"/>
    <tableColumn id="15159" xr3:uid="{E9224FEA-EDF9-4870-95D3-A295179F7C4C}" name="Column15128"/>
    <tableColumn id="15160" xr3:uid="{130B0676-0728-427C-A73A-EA2C429F6EAB}" name="Column15129"/>
    <tableColumn id="15161" xr3:uid="{80BFBADB-068E-4469-BBD1-B09F46CAFF85}" name="Column15130"/>
    <tableColumn id="15162" xr3:uid="{BF441BF4-15A4-4066-A918-D23B2C5A20EA}" name="Column15131"/>
    <tableColumn id="15163" xr3:uid="{177E4336-4CA2-4CAA-8937-F0114B26FF85}" name="Column15132"/>
    <tableColumn id="15164" xr3:uid="{3C3A0518-93AE-4B3F-B85E-338DD218C2C8}" name="Column15133"/>
    <tableColumn id="15165" xr3:uid="{DA650666-ADDC-4219-B9AF-9CE6A85DF9D9}" name="Column15134"/>
    <tableColumn id="15166" xr3:uid="{3DAC99F5-31E6-41D4-A79D-9A0A1423E5F6}" name="Column15135"/>
    <tableColumn id="15167" xr3:uid="{A071551E-BDFF-4CA7-8E03-738F360FB198}" name="Column15136"/>
    <tableColumn id="15168" xr3:uid="{6DD44866-AE70-4BDF-8BC4-BB512FE763E8}" name="Column15137"/>
    <tableColumn id="15169" xr3:uid="{D2F75421-5FE0-4EBA-B92D-A83127591E32}" name="Column15138"/>
    <tableColumn id="15170" xr3:uid="{FDD6B481-3E58-4EBA-B943-3F8D14A622D3}" name="Column15139"/>
    <tableColumn id="15171" xr3:uid="{3F00A2E2-3884-4E04-B1D6-4716348B2955}" name="Column15140"/>
    <tableColumn id="15172" xr3:uid="{F3A10136-094B-4AE5-AB06-AA23DB8C1434}" name="Column15141"/>
    <tableColumn id="15173" xr3:uid="{EA5A2479-546E-4A95-88D0-802256EA653C}" name="Column15142"/>
    <tableColumn id="15174" xr3:uid="{CB07BCB2-55B6-418A-A25B-F783B4272B72}" name="Column15143"/>
    <tableColumn id="15175" xr3:uid="{91783644-FDAE-4C81-909B-C3A60B936189}" name="Column15144"/>
    <tableColumn id="15176" xr3:uid="{F9C24E96-C0B3-41DC-815C-A8E729181D27}" name="Column15145"/>
    <tableColumn id="15177" xr3:uid="{300D7394-360C-48C6-ABBD-27AD7CDBFCB1}" name="Column15146"/>
    <tableColumn id="15178" xr3:uid="{822AE9BB-107F-4E65-8F76-1E8AE9D8E849}" name="Column15147"/>
    <tableColumn id="15179" xr3:uid="{178A9D30-5C28-4928-907A-481EC45CEE43}" name="Column15148"/>
    <tableColumn id="15180" xr3:uid="{0B75947F-7963-4418-93E6-45A4B4D5D7B9}" name="Column15149"/>
    <tableColumn id="15181" xr3:uid="{974DBEE8-4EEC-4544-BC62-719B75541E8E}" name="Column15150"/>
    <tableColumn id="15182" xr3:uid="{B19671F9-A5E7-419B-97DF-0339704461DD}" name="Column15151"/>
    <tableColumn id="15183" xr3:uid="{036CEFC6-6E93-42B2-B4B2-BF2A8E49301A}" name="Column15152"/>
    <tableColumn id="15184" xr3:uid="{A10F067B-53D4-4191-A65E-1D26DD05A8E4}" name="Column15153"/>
    <tableColumn id="15185" xr3:uid="{A2DCA82F-A61F-4227-BE40-3D623AD9ADD8}" name="Column15154"/>
    <tableColumn id="15186" xr3:uid="{61F01FC6-03C8-4254-81CE-F31FBFD5F7AC}" name="Column15155"/>
    <tableColumn id="15187" xr3:uid="{F36CFDC1-9368-4793-B9A8-6F5DBECCD5B5}" name="Column15156"/>
    <tableColumn id="15188" xr3:uid="{47FB113C-FEC3-4931-8C7D-9C7C0E5C9CB4}" name="Column15157"/>
    <tableColumn id="15189" xr3:uid="{CD626DD7-130A-4899-B559-1F372D184180}" name="Column15158"/>
    <tableColumn id="15190" xr3:uid="{E9712793-BD91-4E0E-A433-AD02CB575C5C}" name="Column15159"/>
    <tableColumn id="15191" xr3:uid="{A3748584-57F1-44BD-BEA6-94BF705CD597}" name="Column15160"/>
    <tableColumn id="15192" xr3:uid="{66463A90-626A-4236-9368-9BBC1D65FB97}" name="Column15161"/>
    <tableColumn id="15193" xr3:uid="{FBD8905D-2E43-44EA-8DCA-A01915E84D2C}" name="Column15162"/>
    <tableColumn id="15194" xr3:uid="{75678369-F0AC-4C72-B03B-688CE51DF69F}" name="Column15163"/>
    <tableColumn id="15195" xr3:uid="{0C046BA9-E074-4A77-B81C-734234E89F2B}" name="Column15164"/>
    <tableColumn id="15196" xr3:uid="{F6C31965-D63E-4D5E-AE00-42360A00F94F}" name="Column15165"/>
    <tableColumn id="15197" xr3:uid="{387A90C1-44E5-4C81-A001-693964707C46}" name="Column15166"/>
    <tableColumn id="15198" xr3:uid="{D23934F1-664A-4FF4-A048-710CC816FE93}" name="Column15167"/>
    <tableColumn id="15199" xr3:uid="{B3C24966-3AC5-40D1-937A-FA9B01856193}" name="Column15168"/>
    <tableColumn id="15200" xr3:uid="{BA4FFEFF-4856-4907-B9D0-736C23320BD4}" name="Column15169"/>
    <tableColumn id="15201" xr3:uid="{9B009983-AEEE-4330-A432-8FB5CBD3E748}" name="Column15170"/>
    <tableColumn id="15202" xr3:uid="{7587DE79-4405-4F31-BE37-383DFF2E4852}" name="Column15171"/>
    <tableColumn id="15203" xr3:uid="{1CC02357-69BD-4057-8492-8410F96A4F08}" name="Column15172"/>
    <tableColumn id="15204" xr3:uid="{1DFDB37B-2ECD-43B7-9836-E244DC90F41B}" name="Column15173"/>
    <tableColumn id="15205" xr3:uid="{95FAAB4F-A8D9-4011-BDC2-5E455EEF08E0}" name="Column15174"/>
    <tableColumn id="15206" xr3:uid="{B9CFC343-1E31-4BDF-9583-C2D123443CDB}" name="Column15175"/>
    <tableColumn id="15207" xr3:uid="{35CC8F56-A8BF-49EA-BC29-886205B23464}" name="Column15176"/>
    <tableColumn id="15208" xr3:uid="{AF2F062A-482F-44C6-82AD-5A45A4CDCF07}" name="Column15177"/>
    <tableColumn id="15209" xr3:uid="{8173D3B3-1C29-4D59-99D7-0222AE6FF1AB}" name="Column15178"/>
    <tableColumn id="15210" xr3:uid="{C53375A0-F802-4523-943E-C7E5DC0F28E7}" name="Column15179"/>
    <tableColumn id="15211" xr3:uid="{7D4500E4-FE56-4BA6-9BD9-03018C377076}" name="Column15180"/>
    <tableColumn id="15212" xr3:uid="{B52F780F-D832-4D8E-9ADD-63C2CE70D073}" name="Column15181"/>
    <tableColumn id="15213" xr3:uid="{924CACA8-B102-458A-A799-A2211B4FDDB2}" name="Column15182"/>
    <tableColumn id="15214" xr3:uid="{AD3D862D-D53D-4787-A2AC-61E69ECB4D32}" name="Column15183"/>
    <tableColumn id="15215" xr3:uid="{1F729D1C-7E9E-4AB5-AE34-10858C15EAEB}" name="Column15184"/>
    <tableColumn id="15216" xr3:uid="{091F4A67-9420-46A9-8AEF-F9850321B947}" name="Column15185"/>
    <tableColumn id="15217" xr3:uid="{B25865E5-0B34-4A50-B056-BE8C990488A0}" name="Column15186"/>
    <tableColumn id="15218" xr3:uid="{FE09394D-1902-44CF-BA35-AAA9F185B86A}" name="Column15187"/>
    <tableColumn id="15219" xr3:uid="{40A8CED6-7B2A-4A69-AF92-BC6342FF1C29}" name="Column15188"/>
    <tableColumn id="15220" xr3:uid="{0B33F820-C3D7-4863-A1D6-16F36C3F267F}" name="Column15189"/>
    <tableColumn id="15221" xr3:uid="{D3F402B6-3BA8-4F1A-9213-96A2833965BC}" name="Column15190"/>
    <tableColumn id="15222" xr3:uid="{D8FD2EE0-DA0D-416F-B8DA-9E8D10F690DE}" name="Column15191"/>
    <tableColumn id="15223" xr3:uid="{96401083-398F-4C10-90A5-02C87FEA9978}" name="Column15192"/>
    <tableColumn id="15224" xr3:uid="{EE4852B7-4DE6-41BE-8235-04EBF2828FBD}" name="Column15193"/>
    <tableColumn id="15225" xr3:uid="{2D0C1DF3-4761-493A-B811-133B541EE130}" name="Column15194"/>
    <tableColumn id="15226" xr3:uid="{3D635D93-7DFC-4101-9F8F-AF9D54641D72}" name="Column15195"/>
    <tableColumn id="15227" xr3:uid="{326F0DB1-9FC1-4D40-A49B-E0E25E4F322D}" name="Column15196"/>
    <tableColumn id="15228" xr3:uid="{975150B9-A75E-4440-99DE-0628B5F5835A}" name="Column15197"/>
    <tableColumn id="15229" xr3:uid="{70AA1121-21DD-4047-AB2C-A24B31675A8E}" name="Column15198"/>
    <tableColumn id="15230" xr3:uid="{603859E6-FBFC-40CC-AA24-B6C66249307C}" name="Column15199"/>
    <tableColumn id="15231" xr3:uid="{A33834D3-FB3C-4348-A0C4-E9C84EE4C720}" name="Column15200"/>
    <tableColumn id="15232" xr3:uid="{78E3E47A-4BA5-4E46-9674-0DDB15CB5832}" name="Column15201"/>
    <tableColumn id="15233" xr3:uid="{FB8FF0F3-8FCC-4613-963D-337758B939FC}" name="Column15202"/>
    <tableColumn id="15234" xr3:uid="{F74FFB30-EB0E-483A-90D3-5C39DB3B5BCF}" name="Column15203"/>
    <tableColumn id="15235" xr3:uid="{66A39177-15B7-4E77-9743-1871EF71B4D9}" name="Column15204"/>
    <tableColumn id="15236" xr3:uid="{CAC6E337-12CA-4F46-8898-0BD00B56F484}" name="Column15205"/>
    <tableColumn id="15237" xr3:uid="{5D8FA519-A1D2-4A3D-A3B6-375A9A408B36}" name="Column15206"/>
    <tableColumn id="15238" xr3:uid="{80A3EC52-E563-4F1C-BB2E-FAC77413518A}" name="Column15207"/>
    <tableColumn id="15239" xr3:uid="{9BBCDA03-B4F0-4860-8D0F-5A61F0B838B1}" name="Column15208"/>
    <tableColumn id="15240" xr3:uid="{9ED549B5-6D9F-4677-AEA6-7AA17966EA55}" name="Column15209"/>
    <tableColumn id="15241" xr3:uid="{9452C1FB-FA00-49BA-8499-2CE77DA6693A}" name="Column15210"/>
    <tableColumn id="15242" xr3:uid="{7F016C02-8715-4864-B2DE-725E694AC86F}" name="Column15211"/>
    <tableColumn id="15243" xr3:uid="{CA1B1547-0EC7-493C-AD7A-D60AF062DD65}" name="Column15212"/>
    <tableColumn id="15244" xr3:uid="{83638C5D-12AB-464D-9F65-A093748D320F}" name="Column15213"/>
    <tableColumn id="15245" xr3:uid="{24F2C2DE-CC0E-4538-91E8-F7711C805EFF}" name="Column15214"/>
    <tableColumn id="15246" xr3:uid="{19FF45A5-6EDC-44C4-B76A-493AB64C0590}" name="Column15215"/>
    <tableColumn id="15247" xr3:uid="{D2C4FE09-13D2-428A-9C5B-768E6C5FDD02}" name="Column15216"/>
    <tableColumn id="15248" xr3:uid="{09148F66-97E6-480B-86C3-3F1BE156A43A}" name="Column15217"/>
    <tableColumn id="15249" xr3:uid="{4370D9DF-FB38-4E85-AD5F-BCE64541667F}" name="Column15218"/>
    <tableColumn id="15250" xr3:uid="{B53FB394-2D3B-4397-ABD9-00139C2CD06E}" name="Column15219"/>
    <tableColumn id="15251" xr3:uid="{D7A9D00F-6A05-4CB2-9CD0-49600354A434}" name="Column15220"/>
    <tableColumn id="15252" xr3:uid="{60FB74F5-6B0F-457F-9747-7A03B7342A13}" name="Column15221"/>
    <tableColumn id="15253" xr3:uid="{0E3B1995-2283-4905-83D2-1C6955430B3E}" name="Column15222"/>
    <tableColumn id="15254" xr3:uid="{1A4073C2-A7B4-414C-AD43-AEF7846F559F}" name="Column15223"/>
    <tableColumn id="15255" xr3:uid="{C75CCEBB-1A84-4B1B-AEDA-BAAC7599419F}" name="Column15224"/>
    <tableColumn id="15256" xr3:uid="{349CBF10-2553-4E7D-AB76-35BCA50D4A4A}" name="Column15225"/>
    <tableColumn id="15257" xr3:uid="{368BC3D0-BDE1-4587-901A-BDCC01997EFF}" name="Column15226"/>
    <tableColumn id="15258" xr3:uid="{2EFEC60B-679B-41F1-8F84-D3EFFF2CA101}" name="Column15227"/>
    <tableColumn id="15259" xr3:uid="{906E5139-DE72-4E9E-90A0-55AFFE76068F}" name="Column15228"/>
    <tableColumn id="15260" xr3:uid="{FF0F019C-F008-480C-87F0-162F62E91EAB}" name="Column15229"/>
    <tableColumn id="15261" xr3:uid="{10911F66-E8E5-4155-9D99-5F91E08B9164}" name="Column15230"/>
    <tableColumn id="15262" xr3:uid="{2305524C-B5A6-485B-BAF5-B70DFE9F35C0}" name="Column15231"/>
    <tableColumn id="15263" xr3:uid="{C2A52286-4AFF-46A3-9A31-FE26BE5E5285}" name="Column15232"/>
    <tableColumn id="15264" xr3:uid="{AA1773B0-D73D-408D-B14F-EE65762880B8}" name="Column15233"/>
    <tableColumn id="15265" xr3:uid="{E952F67A-062B-4240-85E4-1EA7720182CF}" name="Column15234"/>
    <tableColumn id="15266" xr3:uid="{F35BDBFE-AA25-41EF-B636-992C05698F94}" name="Column15235"/>
    <tableColumn id="15267" xr3:uid="{1946D2CF-3907-4DE5-A99C-E0CC92A3A52F}" name="Column15236"/>
    <tableColumn id="15268" xr3:uid="{99ABC960-7B97-4534-B081-7142C8D40A32}" name="Column15237"/>
    <tableColumn id="15269" xr3:uid="{3008BB1C-8BAE-417D-83BE-7FAC65243C71}" name="Column15238"/>
    <tableColumn id="15270" xr3:uid="{DF4F9BB2-F02E-47AD-BD92-6EA2CC8DB1EB}" name="Column15239"/>
    <tableColumn id="15271" xr3:uid="{0285BB08-51F1-4AE2-93AB-23FDF65DE1DF}" name="Column15240"/>
    <tableColumn id="15272" xr3:uid="{7DD567D7-BD03-4BAC-A6C1-87D5F771047C}" name="Column15241"/>
    <tableColumn id="15273" xr3:uid="{0466F11E-34E4-420C-A345-26DBEB92EE72}" name="Column15242"/>
    <tableColumn id="15274" xr3:uid="{41F889C9-4CAC-471F-8473-0AFBFCDA7724}" name="Column15243"/>
    <tableColumn id="15275" xr3:uid="{EEC1B2CF-DD95-4F5F-B0ED-A713604BF138}" name="Column15244"/>
    <tableColumn id="15276" xr3:uid="{A1A6ECC8-BA5C-4F26-82FF-765A48C493E8}" name="Column15245"/>
    <tableColumn id="15277" xr3:uid="{27FC3E30-5E55-4931-9C1C-BB1D09960A10}" name="Column15246"/>
    <tableColumn id="15278" xr3:uid="{79766919-251C-45E1-AD77-D53710ED5F34}" name="Column15247"/>
    <tableColumn id="15279" xr3:uid="{725D419A-E086-4206-AA34-C1D17B9D17D3}" name="Column15248"/>
    <tableColumn id="15280" xr3:uid="{69E31EA0-754F-4B52-B45C-47C481EB159E}" name="Column15249"/>
    <tableColumn id="15281" xr3:uid="{5B61849D-73A6-4E90-B94B-43A8F899F1A4}" name="Column15250"/>
    <tableColumn id="15282" xr3:uid="{D7B58B8A-0879-4F79-8FE3-286085871132}" name="Column15251"/>
    <tableColumn id="15283" xr3:uid="{59C02112-EFB1-4175-BAE4-E58C76E46234}" name="Column15252"/>
    <tableColumn id="15284" xr3:uid="{76B6D49E-9C5F-4F8E-A63D-D89FDAC7F0CB}" name="Column15253"/>
    <tableColumn id="15285" xr3:uid="{7395BF8F-7F80-4724-828E-209880FCF883}" name="Column15254"/>
    <tableColumn id="15286" xr3:uid="{F899222B-3253-4B91-BD3C-438A75841A68}" name="Column15255"/>
    <tableColumn id="15287" xr3:uid="{CF3A88C7-1214-4C84-AD21-29CED6961AC5}" name="Column15256"/>
    <tableColumn id="15288" xr3:uid="{37AA4B5F-BD0A-477A-B256-BA9F0E086B17}" name="Column15257"/>
    <tableColumn id="15289" xr3:uid="{527022E7-433B-4118-9B5B-3F9D0EED81FA}" name="Column15258"/>
    <tableColumn id="15290" xr3:uid="{542D3FAE-3F70-4B90-A1DA-FC90BC84F143}" name="Column15259"/>
    <tableColumn id="15291" xr3:uid="{9A23B63D-137B-48F6-AF80-EFE2946EEF31}" name="Column15260"/>
    <tableColumn id="15292" xr3:uid="{C38570A3-D498-405A-9C5E-16DB97B3E0AE}" name="Column15261"/>
    <tableColumn id="15293" xr3:uid="{483345F8-140F-4346-8C05-2D829A75BB3F}" name="Column15262"/>
    <tableColumn id="15294" xr3:uid="{500A7A97-D71D-4E56-9F37-995B165FA571}" name="Column15263"/>
    <tableColumn id="15295" xr3:uid="{4745C958-8147-456C-80D6-04D3A44D758A}" name="Column15264"/>
    <tableColumn id="15296" xr3:uid="{CDA4D040-BD3F-4AE7-B5D4-B869DF9ADB73}" name="Column15265"/>
    <tableColumn id="15297" xr3:uid="{008D8CEB-3758-42A7-BFB8-319A6FE84865}" name="Column15266"/>
    <tableColumn id="15298" xr3:uid="{3D979B18-9733-49DD-B02E-069264BDE9AF}" name="Column15267"/>
    <tableColumn id="15299" xr3:uid="{125E2C32-109D-408D-9DEF-E13D88A06387}" name="Column15268"/>
    <tableColumn id="15300" xr3:uid="{1A6D80E0-C67B-41B3-B02A-59F8487BBE4E}" name="Column15269"/>
    <tableColumn id="15301" xr3:uid="{343FCB2F-ABE6-4869-8EC1-370CEB6532AD}" name="Column15270"/>
    <tableColumn id="15302" xr3:uid="{442B57EC-0399-4A77-BD70-C7C4E605E213}" name="Column15271"/>
    <tableColumn id="15303" xr3:uid="{6C6ADC12-8C7C-4D58-B1B6-87D436DBCD0E}" name="Column15272"/>
    <tableColumn id="15304" xr3:uid="{F8A87964-C82E-46C2-A2E3-432DA19522FE}" name="Column15273"/>
    <tableColumn id="15305" xr3:uid="{5D07F108-7F8A-4100-B497-BEBFB5F5E180}" name="Column15274"/>
    <tableColumn id="15306" xr3:uid="{C44BA382-ABAA-4994-B882-CB60981CCF9B}" name="Column15275"/>
    <tableColumn id="15307" xr3:uid="{71012395-1ED3-40B8-8381-E0C8AA4CD9A9}" name="Column15276"/>
    <tableColumn id="15308" xr3:uid="{EDEE1F55-2F99-46B0-A0D4-3C48327F4AE1}" name="Column15277"/>
    <tableColumn id="15309" xr3:uid="{E0477168-9003-4E05-9240-F3DA85AD0EB0}" name="Column15278"/>
    <tableColumn id="15310" xr3:uid="{90DC761B-656A-45B9-A02D-8D4F0F468E5A}" name="Column15279"/>
    <tableColumn id="15311" xr3:uid="{3E04739A-7FB1-4D7E-8494-9A45D7EED159}" name="Column15280"/>
    <tableColumn id="15312" xr3:uid="{17E651E6-5841-4591-A55B-552F7AA4EE92}" name="Column15281"/>
    <tableColumn id="15313" xr3:uid="{79C02FFA-F401-4495-8F69-D8AAE5FBC988}" name="Column15282"/>
    <tableColumn id="15314" xr3:uid="{D9EA4703-AE4F-4850-9AE5-9F2ADBE8E147}" name="Column15283"/>
    <tableColumn id="15315" xr3:uid="{321B27BA-24FF-42AE-8A15-D17290732DD3}" name="Column15284"/>
    <tableColumn id="15316" xr3:uid="{FAA33093-BCF4-4037-8D9C-3EF181F403CE}" name="Column15285"/>
    <tableColumn id="15317" xr3:uid="{242CEF84-A993-42BA-81C2-E048418A1AF6}" name="Column15286"/>
    <tableColumn id="15318" xr3:uid="{3773A2B5-BB78-4910-AA78-5C818839E33F}" name="Column15287"/>
    <tableColumn id="15319" xr3:uid="{275F6AE2-EBEC-41EE-8435-6FFE66C53C9E}" name="Column15288"/>
    <tableColumn id="15320" xr3:uid="{62AA4DB2-03D3-4945-B7A4-1789BCFECADB}" name="Column15289"/>
    <tableColumn id="15321" xr3:uid="{D8C0D42F-D63D-4168-9D38-B2A29A61C372}" name="Column15290"/>
    <tableColumn id="15322" xr3:uid="{A7F3102F-8C8E-460C-A075-4780F0841CD8}" name="Column15291"/>
    <tableColumn id="15323" xr3:uid="{190DB9EC-6B79-43FD-ABD0-E8B88C84B084}" name="Column15292"/>
    <tableColumn id="15324" xr3:uid="{BAFE6A4E-09FA-4189-8877-7474ECD22C5D}" name="Column15293"/>
    <tableColumn id="15325" xr3:uid="{21979FDC-7331-4C6C-9E1E-0B8768A807F3}" name="Column15294"/>
    <tableColumn id="15326" xr3:uid="{31CDD090-AFBB-49D0-B56F-72ED277ECED1}" name="Column15295"/>
    <tableColumn id="15327" xr3:uid="{97487DC5-99F2-4012-BCE9-639AAC4FAF61}" name="Column15296"/>
    <tableColumn id="15328" xr3:uid="{6F97EF76-5004-40B3-B5DE-DAA703B298FB}" name="Column15297"/>
    <tableColumn id="15329" xr3:uid="{B48CCEBC-C416-4B3E-937E-1BA3941C76CA}" name="Column15298"/>
    <tableColumn id="15330" xr3:uid="{61376A4C-88C6-44A2-B906-1B7A5FF4AA93}" name="Column15299"/>
    <tableColumn id="15331" xr3:uid="{6B871C50-1B72-4B9D-9D49-C5CE78E315D4}" name="Column15300"/>
    <tableColumn id="15332" xr3:uid="{D562625F-2EAF-40DA-8CB5-3D7BF106EF43}" name="Column15301"/>
    <tableColumn id="15333" xr3:uid="{5761CB6C-A37A-4406-B004-B99F39509DD8}" name="Column15302"/>
    <tableColumn id="15334" xr3:uid="{029D731D-54F7-4858-B05A-65B1C576E8EB}" name="Column15303"/>
    <tableColumn id="15335" xr3:uid="{B0016936-DAB0-4663-8375-1DC26BAB4858}" name="Column15304"/>
    <tableColumn id="15336" xr3:uid="{A8F9CA99-C353-4132-B5B2-5888737590A6}" name="Column15305"/>
    <tableColumn id="15337" xr3:uid="{9698FD71-4075-41BA-8F2E-0908DB8283F3}" name="Column15306"/>
    <tableColumn id="15338" xr3:uid="{3E10798F-EBB2-44E2-ABA1-BBDF327101A8}" name="Column15307"/>
    <tableColumn id="15339" xr3:uid="{48B8CB81-F348-478D-A39F-373128643207}" name="Column15308"/>
    <tableColumn id="15340" xr3:uid="{2F05C7EC-20EE-403F-B581-56772645182B}" name="Column15309"/>
    <tableColumn id="15341" xr3:uid="{1BB70C3B-53EC-4C1D-B735-9F543685FDCE}" name="Column15310"/>
    <tableColumn id="15342" xr3:uid="{650E093F-2A3C-4416-8D62-74E42B69E225}" name="Column15311"/>
    <tableColumn id="15343" xr3:uid="{828BE044-99FF-4FA9-97ED-8D3F3E6BABA8}" name="Column15312"/>
    <tableColumn id="15344" xr3:uid="{29D19F31-DE05-4042-84AC-11DDEABB4A06}" name="Column15313"/>
    <tableColumn id="15345" xr3:uid="{C375794D-772F-42F8-8CA3-38EBFD45E96B}" name="Column15314"/>
    <tableColumn id="15346" xr3:uid="{AFCB91C6-A33B-4998-8E89-9BE82D5C49AC}" name="Column15315"/>
    <tableColumn id="15347" xr3:uid="{65AEE2FD-DF06-43F5-ACE2-88EB1BE01F58}" name="Column15316"/>
    <tableColumn id="15348" xr3:uid="{EBE9F081-3759-4E28-90D7-D5FCAAEF9C0C}" name="Column15317"/>
    <tableColumn id="15349" xr3:uid="{AE309003-5268-4C32-900E-53BF31CFDC59}" name="Column15318"/>
    <tableColumn id="15350" xr3:uid="{5877798B-0B37-4928-8887-14DE4581400E}" name="Column15319"/>
    <tableColumn id="15351" xr3:uid="{9854EC39-B906-4DD4-A68A-22266566CDF9}" name="Column15320"/>
    <tableColumn id="15352" xr3:uid="{6AA38694-9D79-4289-90BD-74B4D2B2BC1A}" name="Column15321"/>
    <tableColumn id="15353" xr3:uid="{4A51B806-8D75-403C-B6CF-27EC35020376}" name="Column15322"/>
    <tableColumn id="15354" xr3:uid="{469E58CE-4EFF-489B-A051-9C3FD643B639}" name="Column15323"/>
    <tableColumn id="15355" xr3:uid="{E5D729B6-3FFC-46F8-9790-467B17B9F525}" name="Column15324"/>
    <tableColumn id="15356" xr3:uid="{2A511EA2-2AB4-4995-8DDB-8AC875E33F6E}" name="Column15325"/>
    <tableColumn id="15357" xr3:uid="{8ABF1DD2-5691-4D1B-AD08-9BB7CAD70784}" name="Column15326"/>
    <tableColumn id="15358" xr3:uid="{9AA17CE4-F9FB-4681-B1A9-9DE293160CC1}" name="Column15327"/>
    <tableColumn id="15359" xr3:uid="{69EC38B1-F44F-4E1D-8374-F49E65057598}" name="Column15328"/>
    <tableColumn id="15360" xr3:uid="{053D9F7C-6295-496E-A836-043F08AE416F}" name="Column15329"/>
    <tableColumn id="15361" xr3:uid="{78A5D55F-561D-44F6-9978-FB82118DA702}" name="Column15330"/>
    <tableColumn id="15362" xr3:uid="{86FFE9CB-BFF4-4E11-B3F2-A08AF67ED070}" name="Column15331"/>
    <tableColumn id="15363" xr3:uid="{9F5F19A4-79B6-412B-A7BA-E8D537E30931}" name="Column15332"/>
    <tableColumn id="15364" xr3:uid="{3931112A-D37A-4088-826D-D14E54EA5FD2}" name="Column15333"/>
    <tableColumn id="15365" xr3:uid="{3EE2EC01-5D58-458D-B4AE-1F357BA7C947}" name="Column15334"/>
    <tableColumn id="15366" xr3:uid="{3D1713E8-9A96-4E9A-A0B7-67F5A5EF1F3B}" name="Column15335"/>
    <tableColumn id="15367" xr3:uid="{285CFEE7-85F6-4E9F-8D25-324B16EAD076}" name="Column15336"/>
    <tableColumn id="15368" xr3:uid="{8F4E2499-E299-47F0-9DBC-6BE608CBCDB5}" name="Column15337"/>
    <tableColumn id="15369" xr3:uid="{9B7F3293-DD2C-4B03-A3EB-EA4464135317}" name="Column15338"/>
    <tableColumn id="15370" xr3:uid="{9F65EC6E-4DAB-4FB2-A3A6-F53A0378374C}" name="Column15339"/>
    <tableColumn id="15371" xr3:uid="{5C637591-7C97-40DE-92E3-14523EA00C59}" name="Column15340"/>
    <tableColumn id="15372" xr3:uid="{ECF40A68-0779-4127-BE84-702578564E2E}" name="Column15341"/>
    <tableColumn id="15373" xr3:uid="{B3825B80-ADEF-4029-A52A-0FDF68FF8597}" name="Column15342"/>
    <tableColumn id="15374" xr3:uid="{1E561D88-17E6-4320-9B8D-F3213BA11D51}" name="Column15343"/>
    <tableColumn id="15375" xr3:uid="{0C4BF13B-26DD-4169-B5C9-A5FB13C122B5}" name="Column15344"/>
    <tableColumn id="15376" xr3:uid="{1BD6CB40-A7D0-4202-AC79-9C8237EEE570}" name="Column15345"/>
    <tableColumn id="15377" xr3:uid="{06F1AC5E-6CEC-40DC-870D-C9DC62C78222}" name="Column15346"/>
    <tableColumn id="15378" xr3:uid="{DA0DAAFC-DE32-47F8-A4EF-A0D9CC874618}" name="Column15347"/>
    <tableColumn id="15379" xr3:uid="{AA218EA4-7141-4797-BB63-76CF97CF39B3}" name="Column15348"/>
    <tableColumn id="15380" xr3:uid="{DA47A60C-8DAE-46C2-B0A4-9909EEF12DCD}" name="Column15349"/>
    <tableColumn id="15381" xr3:uid="{94228B0A-834B-4A27-A50D-05C4393A4A91}" name="Column15350"/>
    <tableColumn id="15382" xr3:uid="{73093B68-4EDB-421F-99E8-E85B6511B20D}" name="Column15351"/>
    <tableColumn id="15383" xr3:uid="{61968409-A96A-4699-9E19-16735AE402A8}" name="Column15352"/>
    <tableColumn id="15384" xr3:uid="{901CE497-8546-4B65-9840-1C812D01D648}" name="Column15353"/>
    <tableColumn id="15385" xr3:uid="{B633D801-B193-4CDC-BD25-97B6CB9AB129}" name="Column15354"/>
    <tableColumn id="15386" xr3:uid="{FE1BB2F3-AF90-46E2-A451-195E89F746FF}" name="Column15355"/>
    <tableColumn id="15387" xr3:uid="{38144A96-BDB8-4042-AB52-2A328128BAA4}" name="Column15356"/>
    <tableColumn id="15388" xr3:uid="{7254C27C-5A8F-40AE-8525-3438CC35C93D}" name="Column15357"/>
    <tableColumn id="15389" xr3:uid="{B4C07F99-ECEA-4C15-BC27-2E71FBAFE740}" name="Column15358"/>
    <tableColumn id="15390" xr3:uid="{5949BE1B-F5D3-46DC-8ABC-2DFC594646AC}" name="Column15359"/>
    <tableColumn id="15391" xr3:uid="{024A4A97-2CFF-4A18-92FC-8B13D8AFF1C1}" name="Column15360"/>
    <tableColumn id="15392" xr3:uid="{CADA01EA-5CC1-4D46-B59F-DF09C8F72F9A}" name="Column15361"/>
    <tableColumn id="15393" xr3:uid="{D65117A1-8A36-45E8-8A83-849B05944A6A}" name="Column15362"/>
    <tableColumn id="15394" xr3:uid="{7413D799-41DF-470F-A39D-16158C80D598}" name="Column15363"/>
    <tableColumn id="15395" xr3:uid="{C0D0B90D-B3C4-4328-95BE-B63135DA3224}" name="Column15364"/>
    <tableColumn id="15396" xr3:uid="{E1FB2827-B60D-4425-B788-6B76407ABBBC}" name="Column15365"/>
    <tableColumn id="15397" xr3:uid="{7938FB48-598E-4F6B-8CBA-A8207466B540}" name="Column15366"/>
    <tableColumn id="15398" xr3:uid="{EEFB68CD-248F-41C8-A804-8FF048C9F97D}" name="Column15367"/>
    <tableColumn id="15399" xr3:uid="{64B81379-61D7-4FDF-9366-C95B097FED25}" name="Column15368"/>
    <tableColumn id="15400" xr3:uid="{816FE18B-34B9-44E8-A7A0-6EC0A7B069F3}" name="Column15369"/>
    <tableColumn id="15401" xr3:uid="{26900353-2B08-4792-B8BE-6672D62E0322}" name="Column15370"/>
    <tableColumn id="15402" xr3:uid="{68FF1349-80E5-4B5A-8422-C2A75C783F37}" name="Column15371"/>
    <tableColumn id="15403" xr3:uid="{15D4C8C8-C001-4BD5-AC5D-ECD17905CA52}" name="Column15372"/>
    <tableColumn id="15404" xr3:uid="{B97ECB8B-EF50-4755-B442-CCC23AEC9851}" name="Column15373"/>
    <tableColumn id="15405" xr3:uid="{E2D2672D-C2D4-46DC-ADAF-77B447B5410F}" name="Column15374"/>
    <tableColumn id="15406" xr3:uid="{614A2098-DA47-4085-9C62-9C0002052A1B}" name="Column15375"/>
    <tableColumn id="15407" xr3:uid="{5BA461B7-77FA-406F-98ED-9D894A5D6E61}" name="Column15376"/>
    <tableColumn id="15408" xr3:uid="{D08C4DA6-024C-4D51-8278-B99D6C1D124C}" name="Column15377"/>
    <tableColumn id="15409" xr3:uid="{0B1593D4-A160-42BB-9901-AA6553D6976B}" name="Column15378"/>
    <tableColumn id="15410" xr3:uid="{BCCD1A86-88C4-45A7-A712-ED9E2B01CEB7}" name="Column15379"/>
    <tableColumn id="15411" xr3:uid="{32B87022-10E5-422C-9DEB-69BD0C3B0DDA}" name="Column15380"/>
    <tableColumn id="15412" xr3:uid="{5D762B31-2595-4AB3-828F-74B3A6F17E0F}" name="Column15381"/>
    <tableColumn id="15413" xr3:uid="{4A828166-7895-4423-8BCC-871D79E1720D}" name="Column15382"/>
    <tableColumn id="15414" xr3:uid="{305C5818-3898-47F3-80A2-ACB8AF5B0D75}" name="Column15383"/>
    <tableColumn id="15415" xr3:uid="{28B35B70-73D9-4E64-80F6-D48950909948}" name="Column15384"/>
    <tableColumn id="15416" xr3:uid="{63965481-B6D9-4AF5-9BF8-076922124E19}" name="Column15385"/>
    <tableColumn id="15417" xr3:uid="{01F90060-8960-4396-A99D-CBEA81AF8C6C}" name="Column15386"/>
    <tableColumn id="15418" xr3:uid="{D84FBF0F-EFA4-4F55-B41C-4E379C1D3F6B}" name="Column15387"/>
    <tableColumn id="15419" xr3:uid="{3C6115FA-71EE-48AA-BDBA-0412FAE3094D}" name="Column15388"/>
    <tableColumn id="15420" xr3:uid="{279689D6-57CD-481F-854C-7692914566D4}" name="Column15389"/>
    <tableColumn id="15421" xr3:uid="{33852D9F-465D-473C-90F9-4AE5CD762B77}" name="Column15390"/>
    <tableColumn id="15422" xr3:uid="{EE53C157-7A10-4010-92CF-4D9716ACC812}" name="Column15391"/>
    <tableColumn id="15423" xr3:uid="{F2B6B580-5682-47C3-BA6C-3104997E7908}" name="Column15392"/>
    <tableColumn id="15424" xr3:uid="{2133DED6-41EC-4523-A3BE-0451B4EDF90E}" name="Column15393"/>
    <tableColumn id="15425" xr3:uid="{1C441196-E7EF-431A-99B7-567BE50A14AB}" name="Column15394"/>
    <tableColumn id="15426" xr3:uid="{E69AC9B3-11CB-4647-A6A5-3EABA17C2919}" name="Column15395"/>
    <tableColumn id="15427" xr3:uid="{84708746-0473-4ED2-AE5F-F75195DA9081}" name="Column15396"/>
    <tableColumn id="15428" xr3:uid="{766933FE-323B-4F89-90FF-59FB04649439}" name="Column15397"/>
    <tableColumn id="15429" xr3:uid="{66AD2EF3-0445-46F4-93E4-A6CC2111D390}" name="Column15398"/>
    <tableColumn id="15430" xr3:uid="{E96F1F32-B677-4AF3-9D1E-88177BE69AC8}" name="Column15399"/>
    <tableColumn id="15431" xr3:uid="{E83877DF-96AA-454C-A890-517CA80A4233}" name="Column15400"/>
    <tableColumn id="15432" xr3:uid="{F542F88E-7743-44EF-AD2A-37DC773B38FB}" name="Column15401"/>
    <tableColumn id="15433" xr3:uid="{A8096EDC-ED52-40E1-97DE-AC99D6ACBD61}" name="Column15402"/>
    <tableColumn id="15434" xr3:uid="{FF8E9E01-CCC9-464E-ABE5-C947777B2533}" name="Column15403"/>
    <tableColumn id="15435" xr3:uid="{4B822C53-4FFB-4BCF-8D1A-57888BF781BE}" name="Column15404"/>
    <tableColumn id="15436" xr3:uid="{FA798B7C-75AF-4CD6-9F32-FFC54BE6DC45}" name="Column15405"/>
    <tableColumn id="15437" xr3:uid="{306BE8BE-109E-4BDC-AD5B-B40F692E31D7}" name="Column15406"/>
    <tableColumn id="15438" xr3:uid="{BBB25770-E1E8-409A-8A21-3FAAA8E2524D}" name="Column15407"/>
    <tableColumn id="15439" xr3:uid="{F0190708-443D-43A7-B5BE-D64A0985EDF9}" name="Column15408"/>
    <tableColumn id="15440" xr3:uid="{6B8A5227-6AD0-4758-96AD-B28555686455}" name="Column15409"/>
    <tableColumn id="15441" xr3:uid="{38BDF0CA-05F0-47A2-AC74-DCA6F3676747}" name="Column15410"/>
    <tableColumn id="15442" xr3:uid="{6AF9AFAE-4EE7-4015-8D01-40006484F9E2}" name="Column15411"/>
    <tableColumn id="15443" xr3:uid="{F9A7B68E-6DB5-4D9D-BD86-0D634B546EBE}" name="Column15412"/>
    <tableColumn id="15444" xr3:uid="{28E97DB4-C883-4186-956E-0D29B68E2D22}" name="Column15413"/>
    <tableColumn id="15445" xr3:uid="{30DC1355-407A-4322-96DE-ABAFF9422EE0}" name="Column15414"/>
    <tableColumn id="15446" xr3:uid="{060A04A1-320F-4D19-AC84-224A6276E648}" name="Column15415"/>
    <tableColumn id="15447" xr3:uid="{98CEFC4E-FBC0-49F6-8666-C662CF5495E6}" name="Column15416"/>
    <tableColumn id="15448" xr3:uid="{585933FF-BF05-4BFF-8C7C-FE1708B3372A}" name="Column15417"/>
    <tableColumn id="15449" xr3:uid="{722B3E77-F45C-4D7D-94EF-7C99F9AF5988}" name="Column15418"/>
    <tableColumn id="15450" xr3:uid="{5A73BAF2-78E6-41C8-A566-C081FB911808}" name="Column15419"/>
    <tableColumn id="15451" xr3:uid="{C4FB7B96-293B-4090-9CBC-98BD0A3B4086}" name="Column15420"/>
    <tableColumn id="15452" xr3:uid="{69621AE4-ACA4-4418-A0F9-978B535AFA83}" name="Column15421"/>
    <tableColumn id="15453" xr3:uid="{3748D4FB-77F5-4851-B9F0-F880EDB2A5FB}" name="Column15422"/>
    <tableColumn id="15454" xr3:uid="{7AE37132-8F96-4495-B436-292DFA7781B4}" name="Column15423"/>
    <tableColumn id="15455" xr3:uid="{435065FA-C5FB-46AE-8250-E931E3936383}" name="Column15424"/>
    <tableColumn id="15456" xr3:uid="{F5DC6334-D3ED-4136-9445-0B282C862862}" name="Column15425"/>
    <tableColumn id="15457" xr3:uid="{76483688-6E06-4F65-B0D3-5698BC695C83}" name="Column15426"/>
    <tableColumn id="15458" xr3:uid="{32273DDE-57A8-4D8B-B72B-EAF79A1F1D15}" name="Column15427"/>
    <tableColumn id="15459" xr3:uid="{F2FCB846-FF95-4BE7-8573-CC70AE4E38A5}" name="Column15428"/>
    <tableColumn id="15460" xr3:uid="{008CED74-2DB0-440F-B8A0-41BD0D537134}" name="Column15429"/>
    <tableColumn id="15461" xr3:uid="{D182021C-9CEB-4D9B-92D6-4269E84AF258}" name="Column15430"/>
    <tableColumn id="15462" xr3:uid="{342C1D0E-6EE2-4790-B25D-13B8F686612E}" name="Column15431"/>
    <tableColumn id="15463" xr3:uid="{8D3E2616-2705-4C6A-824F-D05F0F492620}" name="Column15432"/>
    <tableColumn id="15464" xr3:uid="{BA4A7665-A3B8-493B-9A9B-7F1D30993611}" name="Column15433"/>
    <tableColumn id="15465" xr3:uid="{B3939C82-AFB9-4EE2-8871-A63EB96D60C6}" name="Column15434"/>
    <tableColumn id="15466" xr3:uid="{2C3E51CC-FBD9-4B2C-A56F-8AFD7CCCB2CF}" name="Column15435"/>
    <tableColumn id="15467" xr3:uid="{3BF32164-AA1A-44A2-9F41-CA0E34B28A8C}" name="Column15436"/>
    <tableColumn id="15468" xr3:uid="{6705089B-7DE2-40D7-BF83-AB64D8048799}" name="Column15437"/>
    <tableColumn id="15469" xr3:uid="{DAB946DE-C3D7-44FE-97D5-6D2C6762F985}" name="Column15438"/>
    <tableColumn id="15470" xr3:uid="{1D754B5E-4919-41C0-AD93-EB4B217E307E}" name="Column15439"/>
    <tableColumn id="15471" xr3:uid="{9441F0CB-5D49-4C8B-852D-82D19BB75764}" name="Column15440"/>
    <tableColumn id="15472" xr3:uid="{B3CE0CF9-435B-4630-A748-EE34B0EB3778}" name="Column15441"/>
    <tableColumn id="15473" xr3:uid="{B9659BA9-EA4B-4C7E-AC0D-A50E3795F745}" name="Column15442"/>
    <tableColumn id="15474" xr3:uid="{2D6E4B16-9439-445C-8442-AE2477405D80}" name="Column15443"/>
    <tableColumn id="15475" xr3:uid="{DC5B11D7-64C4-45E7-95D5-A94B811AC438}" name="Column15444"/>
    <tableColumn id="15476" xr3:uid="{AEC2A3D9-33C6-4A3F-B306-581616C2C858}" name="Column15445"/>
    <tableColumn id="15477" xr3:uid="{4917EFB4-B042-40BA-A4C5-BB17DEED8509}" name="Column15446"/>
    <tableColumn id="15478" xr3:uid="{649B0CB9-369D-419F-BB93-0B508249CE14}" name="Column15447"/>
    <tableColumn id="15479" xr3:uid="{75E1CA79-8191-49D5-851F-D0CCBF9C8C8A}" name="Column15448"/>
    <tableColumn id="15480" xr3:uid="{34A33C77-3FF8-47C0-8247-7C1CD9B3C300}" name="Column15449"/>
    <tableColumn id="15481" xr3:uid="{500B9BC3-E6A4-495B-8EEE-D0465B2E8A85}" name="Column15450"/>
    <tableColumn id="15482" xr3:uid="{F20A3C7A-0B43-47E5-9C02-43F68B225A1C}" name="Column15451"/>
    <tableColumn id="15483" xr3:uid="{4083B4F3-9C15-49C8-9C27-4BBD5EA1BD76}" name="Column15452"/>
    <tableColumn id="15484" xr3:uid="{E7E08510-B994-4B83-90C8-62FC3B77C21D}" name="Column15453"/>
    <tableColumn id="15485" xr3:uid="{96C77292-62C2-4EDC-B6A2-797B7080F6CE}" name="Column15454"/>
    <tableColumn id="15486" xr3:uid="{F3CB3D2D-6E65-4C8C-9552-81C90DBEA2C9}" name="Column15455"/>
    <tableColumn id="15487" xr3:uid="{96072AD2-C8C0-4EB5-99BC-B3C478B04DCF}" name="Column15456"/>
    <tableColumn id="15488" xr3:uid="{5E140A02-5EB3-4C41-B156-132992321451}" name="Column15457"/>
    <tableColumn id="15489" xr3:uid="{8AA60243-ECFA-411B-BC9C-2784ABDA8A81}" name="Column15458"/>
    <tableColumn id="15490" xr3:uid="{B45EEE07-73F0-4142-8FDB-025CF52041CA}" name="Column15459"/>
    <tableColumn id="15491" xr3:uid="{7199D8E0-EE52-4C0D-B306-11EE4AB8E3DF}" name="Column15460"/>
    <tableColumn id="15492" xr3:uid="{041BE4A4-8CEE-4D52-AC39-1F38A527543D}" name="Column15461"/>
    <tableColumn id="15493" xr3:uid="{9745DDF4-5D23-4EA6-9EAB-38B2297804AA}" name="Column15462"/>
    <tableColumn id="15494" xr3:uid="{824CEA64-95CC-4D15-AE34-B1C9D702E805}" name="Column15463"/>
    <tableColumn id="15495" xr3:uid="{F3BF47EF-8E18-418C-B33E-034D6764F4CB}" name="Column15464"/>
    <tableColumn id="15496" xr3:uid="{16E7FFBF-E762-4344-A3E7-7714B765234F}" name="Column15465"/>
    <tableColumn id="15497" xr3:uid="{A793CE80-17A0-4618-B667-C82F8B874A18}" name="Column15466"/>
    <tableColumn id="15498" xr3:uid="{90D43ED0-55ED-4D79-B20D-E24E0A8F62C2}" name="Column15467"/>
    <tableColumn id="15499" xr3:uid="{B4B6AC3E-30B8-48BC-A469-7D89A4B66F55}" name="Column15468"/>
    <tableColumn id="15500" xr3:uid="{1CEE3BF5-E5A1-4B91-90EF-13B7AF409F6D}" name="Column15469"/>
    <tableColumn id="15501" xr3:uid="{7AA151C8-336B-4AB6-BC9A-BB50E529BFE5}" name="Column15470"/>
    <tableColumn id="15502" xr3:uid="{F6014D39-647C-41E5-B8B8-0F4FC9208F94}" name="Column15471"/>
    <tableColumn id="15503" xr3:uid="{3418F373-4986-4B10-A136-73EEF62A7486}" name="Column15472"/>
    <tableColumn id="15504" xr3:uid="{AF95D5CF-4437-4FA0-8AA6-910114A0494D}" name="Column15473"/>
    <tableColumn id="15505" xr3:uid="{E08CB521-200F-47C7-9DBC-3C71AEE601A1}" name="Column15474"/>
    <tableColumn id="15506" xr3:uid="{1F248276-DA02-4652-A4C3-CC30BEE33C47}" name="Column15475"/>
    <tableColumn id="15507" xr3:uid="{5BF654CC-93CB-432E-8305-A948213EE70F}" name="Column15476"/>
    <tableColumn id="15508" xr3:uid="{65856826-E9F0-446C-A30A-F255E09FCE2B}" name="Column15477"/>
    <tableColumn id="15509" xr3:uid="{520CB11E-6CF6-49DF-8041-D5EE9EB15C59}" name="Column15478"/>
    <tableColumn id="15510" xr3:uid="{2F1A0BA3-5B0F-4442-9CFF-3B79B1FC8F1A}" name="Column15479"/>
    <tableColumn id="15511" xr3:uid="{484BF06D-0610-42E2-8751-368D43720949}" name="Column15480"/>
    <tableColumn id="15512" xr3:uid="{EE6F111E-EA72-4E4D-BBB6-AF73CFCB1A80}" name="Column15481"/>
    <tableColumn id="15513" xr3:uid="{E9019F2B-A715-4A45-8979-BE22A1D784F0}" name="Column15482"/>
    <tableColumn id="15514" xr3:uid="{5D128735-3891-4471-A0BB-CF7299EFC94B}" name="Column15483"/>
    <tableColumn id="15515" xr3:uid="{C32144E4-FF02-43BE-BD20-32FCDF0E65A0}" name="Column15484"/>
    <tableColumn id="15516" xr3:uid="{B8A0F5DF-D495-4ACC-B9B9-67DEB04455FD}" name="Column15485"/>
    <tableColumn id="15517" xr3:uid="{1E5E78D2-D13E-435C-9329-25B2247C1570}" name="Column15486"/>
    <tableColumn id="15518" xr3:uid="{8990A261-D8E7-44CE-A60C-2FE03E41ACAB}" name="Column15487"/>
    <tableColumn id="15519" xr3:uid="{21568669-0F24-462C-AC0E-334A8D9252D7}" name="Column15488"/>
    <tableColumn id="15520" xr3:uid="{F8BE557F-1A5C-4F78-8BF0-F456B68E61B1}" name="Column15489"/>
    <tableColumn id="15521" xr3:uid="{B716B640-00E7-4414-BE3F-37C54F2F1ED7}" name="Column15490"/>
    <tableColumn id="15522" xr3:uid="{EC807277-FA56-4C1D-A4C2-4FFBAB914C10}" name="Column15491"/>
    <tableColumn id="15523" xr3:uid="{2CC6E950-B9D2-433A-8A86-BBFF440B15A0}" name="Column15492"/>
    <tableColumn id="15524" xr3:uid="{EFEC0EE4-A329-43B8-8795-504BCF90C79B}" name="Column15493"/>
    <tableColumn id="15525" xr3:uid="{020EC4BB-77EE-40A2-ABA8-47F0260C93F1}" name="Column15494"/>
    <tableColumn id="15526" xr3:uid="{2B612C9A-6B08-4537-BDF7-20263AE1A881}" name="Column15495"/>
    <tableColumn id="15527" xr3:uid="{93E76903-2F10-4925-9E6C-172395C49076}" name="Column15496"/>
    <tableColumn id="15528" xr3:uid="{46DE9DFA-7864-4668-ADAE-42C9FC097612}" name="Column15497"/>
    <tableColumn id="15529" xr3:uid="{2ECB6732-8573-4558-BB75-E229F34B8F5E}" name="Column15498"/>
    <tableColumn id="15530" xr3:uid="{B623FE57-67A4-452E-A566-B044454053E1}" name="Column15499"/>
    <tableColumn id="15531" xr3:uid="{DE493B65-DFF0-4686-B66B-AECFBC714D2D}" name="Column15500"/>
    <tableColumn id="15532" xr3:uid="{CC6A484D-B0D0-4EE1-8F5F-23411BEDAECB}" name="Column15501"/>
    <tableColumn id="15533" xr3:uid="{86D5FC4C-C877-4492-B0D9-58AD39CC97CA}" name="Column15502"/>
    <tableColumn id="15534" xr3:uid="{C3BE4804-4511-4420-96CB-57D42445BC45}" name="Column15503"/>
    <tableColumn id="15535" xr3:uid="{3897EE2D-645C-4723-A4D2-EC815DF6B2C4}" name="Column15504"/>
    <tableColumn id="15536" xr3:uid="{81E2FC22-AC99-4EBC-8893-7C9D1CC37E60}" name="Column15505"/>
    <tableColumn id="15537" xr3:uid="{6176FF57-DFE1-4C6E-B801-DFBF7BA4208A}" name="Column15506"/>
    <tableColumn id="15538" xr3:uid="{38007209-631A-477E-8CD2-AAF28EA60BDC}" name="Column15507"/>
    <tableColumn id="15539" xr3:uid="{27A4D78D-32BF-401A-96EA-54044FBE21D8}" name="Column15508"/>
    <tableColumn id="15540" xr3:uid="{F566F178-C74E-4E67-BADA-4DB6D130C16C}" name="Column15509"/>
    <tableColumn id="15541" xr3:uid="{6F49E2FF-6D3F-4BDE-B577-66CC478D5653}" name="Column15510"/>
    <tableColumn id="15542" xr3:uid="{97F4A38F-BE88-407A-AB1B-693E95268039}" name="Column15511"/>
    <tableColumn id="15543" xr3:uid="{39FB2BC3-4335-4AAD-A105-CF0C85C2D8AE}" name="Column15512"/>
    <tableColumn id="15544" xr3:uid="{C41B601D-52B3-4CAE-9549-83E1074046DB}" name="Column15513"/>
    <tableColumn id="15545" xr3:uid="{EB2D9EA0-14C2-49BB-9F58-818524251F7C}" name="Column15514"/>
    <tableColumn id="15546" xr3:uid="{CC32542C-1369-4772-BA50-1484B7E6346D}" name="Column15515"/>
    <tableColumn id="15547" xr3:uid="{08ADE8A4-87CF-439E-BC07-96273ED14D83}" name="Column15516"/>
    <tableColumn id="15548" xr3:uid="{EA4871A9-CCFB-4E5D-9453-47BBB536839E}" name="Column15517"/>
    <tableColumn id="15549" xr3:uid="{C89A3FF5-ACD0-4487-9617-30406C7A80C2}" name="Column15518"/>
    <tableColumn id="15550" xr3:uid="{37783CF4-D3E6-4669-9C3E-03FC2AAEB7CF}" name="Column15519"/>
    <tableColumn id="15551" xr3:uid="{589FB036-14AE-460B-9D5A-5579E6CDB3C4}" name="Column15520"/>
    <tableColumn id="15552" xr3:uid="{AC0F9F65-8552-4CFC-B9F9-5C1FE79779EE}" name="Column15521"/>
    <tableColumn id="15553" xr3:uid="{43F3DA7C-CC23-4621-BF0D-AEA680DAA423}" name="Column15522"/>
    <tableColumn id="15554" xr3:uid="{F41887DD-BADD-4803-AF20-4AF26B32BD99}" name="Column15523"/>
    <tableColumn id="15555" xr3:uid="{0426DE9C-968A-45AB-BFA2-DF55437E0A0B}" name="Column15524"/>
    <tableColumn id="15556" xr3:uid="{1ED3181B-5CC3-4D60-AD52-DEFAE62153E9}" name="Column15525"/>
    <tableColumn id="15557" xr3:uid="{BCC28243-92B8-49D0-8DCD-7FFC60DCECB0}" name="Column15526"/>
    <tableColumn id="15558" xr3:uid="{CB9D1C3F-CB17-401D-A9DB-B13E04AEDD22}" name="Column15527"/>
    <tableColumn id="15559" xr3:uid="{A129A396-5772-4DCB-BCE3-F7F8245B90E6}" name="Column15528"/>
    <tableColumn id="15560" xr3:uid="{E9D57606-2EF2-41BF-8D74-9AC49060192A}" name="Column15529"/>
    <tableColumn id="15561" xr3:uid="{56779C92-3F39-4300-885D-2E4541046BB1}" name="Column15530"/>
    <tableColumn id="15562" xr3:uid="{384C5CA8-11A0-4C3E-86B7-1B95C060CB3F}" name="Column15531"/>
    <tableColumn id="15563" xr3:uid="{6BE2581C-3BD8-46AF-8619-07D443543368}" name="Column15532"/>
    <tableColumn id="15564" xr3:uid="{9A44C6A7-30A6-4504-8D8B-248CDD2EC3F2}" name="Column15533"/>
    <tableColumn id="15565" xr3:uid="{EEBE74EB-CC31-4799-B92B-FEAC00A97E6F}" name="Column15534"/>
    <tableColumn id="15566" xr3:uid="{A79EB262-61FD-44DA-9A08-AA19A039F487}" name="Column15535"/>
    <tableColumn id="15567" xr3:uid="{65E98898-3318-4037-B4BE-DB90E211AC92}" name="Column15536"/>
    <tableColumn id="15568" xr3:uid="{7EEB02AD-D211-42C3-8A71-1B4B4157900C}" name="Column15537"/>
    <tableColumn id="15569" xr3:uid="{13D600DE-B4F8-4AC7-B17E-9EB05D4C1FE6}" name="Column15538"/>
    <tableColumn id="15570" xr3:uid="{2B4FC426-D882-4C11-B2BB-FB7F0A07891B}" name="Column15539"/>
    <tableColumn id="15571" xr3:uid="{ED5A1E4E-9356-4DB5-8921-DC0C78F4E840}" name="Column15540"/>
    <tableColumn id="15572" xr3:uid="{9DDDDAFC-FC6F-477C-948C-FD2F1373CF88}" name="Column15541"/>
    <tableColumn id="15573" xr3:uid="{A02CF2EE-1696-4182-A59E-C6393D9DE805}" name="Column15542"/>
    <tableColumn id="15574" xr3:uid="{3006A909-CEE4-4E24-ADB3-9795E3A1D8BA}" name="Column15543"/>
    <tableColumn id="15575" xr3:uid="{F609B146-82A6-4962-ACBA-164516442290}" name="Column15544"/>
    <tableColumn id="15576" xr3:uid="{7CA96039-9628-4811-84C2-8AF7189BE32F}" name="Column15545"/>
    <tableColumn id="15577" xr3:uid="{73686403-EE6D-4565-8560-ECCEFA0F67F9}" name="Column15546"/>
    <tableColumn id="15578" xr3:uid="{82AA22E8-AF51-4867-8EC1-B5C39EE55707}" name="Column15547"/>
    <tableColumn id="15579" xr3:uid="{173B4FB4-0575-4A20-B7CB-5DF661243594}" name="Column15548"/>
    <tableColumn id="15580" xr3:uid="{8E6AEDCD-E3F1-4884-9571-A2F8926539FB}" name="Column15549"/>
    <tableColumn id="15581" xr3:uid="{36529957-2445-4BF9-A5BE-51B6057DA573}" name="Column15550"/>
    <tableColumn id="15582" xr3:uid="{EB06DD0A-81FB-434B-A29C-48853917E9DD}" name="Column15551"/>
    <tableColumn id="15583" xr3:uid="{B9B758F1-4EEC-4C5F-95D1-68649F5DCE62}" name="Column15552"/>
    <tableColumn id="15584" xr3:uid="{0DD42818-6EAC-4B44-B6E4-4F30B1A9BE8C}" name="Column15553"/>
    <tableColumn id="15585" xr3:uid="{DE27824B-F6B0-4AA8-A571-968F2D905EF3}" name="Column15554"/>
    <tableColumn id="15586" xr3:uid="{5664FA2B-B522-49A1-8E63-F72D69933DA6}" name="Column15555"/>
    <tableColumn id="15587" xr3:uid="{87AFC214-EC0A-4C0D-9995-C38844EB0B52}" name="Column15556"/>
    <tableColumn id="15588" xr3:uid="{167886E7-8197-4F28-810F-5E47135795AD}" name="Column15557"/>
    <tableColumn id="15589" xr3:uid="{5632304C-6254-4599-AA99-91EE3EDC94E3}" name="Column15558"/>
    <tableColumn id="15590" xr3:uid="{BE2038AB-9F32-49AA-ACB3-67860A36CAA8}" name="Column15559"/>
    <tableColumn id="15591" xr3:uid="{2D0646EB-9AE3-4187-9273-56598EBE95B5}" name="Column15560"/>
    <tableColumn id="15592" xr3:uid="{BBC7C05E-517F-4E7E-AA5C-617FC20994FA}" name="Column15561"/>
    <tableColumn id="15593" xr3:uid="{012E2C53-5562-42C3-BA18-FDB58A41B2A5}" name="Column15562"/>
    <tableColumn id="15594" xr3:uid="{8EE47854-854E-4357-8349-4FD1D05A0444}" name="Column15563"/>
    <tableColumn id="15595" xr3:uid="{5A66CDE9-61EE-406A-BD92-A31497B28361}" name="Column15564"/>
    <tableColumn id="15596" xr3:uid="{D64BD6A6-BD3F-4F1A-8924-F58FE90A3475}" name="Column15565"/>
    <tableColumn id="15597" xr3:uid="{86AE9159-6E8F-4020-9AD7-89E5C2F0E896}" name="Column15566"/>
    <tableColumn id="15598" xr3:uid="{19E163C7-BC8E-4713-8BA8-6DEE6B9221BC}" name="Column15567"/>
    <tableColumn id="15599" xr3:uid="{8A8B30DD-CE2C-41EC-9B3D-1199A873CF63}" name="Column15568"/>
    <tableColumn id="15600" xr3:uid="{9BEE5725-ABFD-4700-9C7E-5349727B921B}" name="Column15569"/>
    <tableColumn id="15601" xr3:uid="{5B3BE1FB-8182-4B94-BBE8-79C0781FAAF1}" name="Column15570"/>
    <tableColumn id="15602" xr3:uid="{E143F1DF-749C-45AC-8BB7-805AA25787A1}" name="Column15571"/>
    <tableColumn id="15603" xr3:uid="{141480F9-F724-4B11-A85D-B1EE7B99829E}" name="Column15572"/>
    <tableColumn id="15604" xr3:uid="{C99506EE-1C17-4934-A2E0-FD4B4049F328}" name="Column15573"/>
    <tableColumn id="15605" xr3:uid="{C8E649F0-34F4-44DD-B9F8-B72706E82322}" name="Column15574"/>
    <tableColumn id="15606" xr3:uid="{EFE92EA3-C721-4CA7-B14A-8E5FBDDEE73A}" name="Column15575"/>
    <tableColumn id="15607" xr3:uid="{6CABC321-0DEF-4169-8F15-3CCA35A377BC}" name="Column15576"/>
    <tableColumn id="15608" xr3:uid="{FA2F1BC6-6D59-438F-8D65-396C889A95CC}" name="Column15577"/>
    <tableColumn id="15609" xr3:uid="{8CACB131-30B5-43CD-BE2D-F336FCED2B2C}" name="Column15578"/>
    <tableColumn id="15610" xr3:uid="{948B6C4F-557D-4EBC-9D82-19F3BCD3CCD1}" name="Column15579"/>
    <tableColumn id="15611" xr3:uid="{3D37C426-8466-40DD-93D3-43ABB57CE992}" name="Column15580"/>
    <tableColumn id="15612" xr3:uid="{9E4E08B0-7BB0-483E-92FE-6B817AC87C34}" name="Column15581"/>
    <tableColumn id="15613" xr3:uid="{D8C5524F-E631-4436-9848-70B11B9FC380}" name="Column15582"/>
    <tableColumn id="15614" xr3:uid="{2AF1C2ED-5F87-4C83-B59A-BAE2E8AA9F9E}" name="Column15583"/>
    <tableColumn id="15615" xr3:uid="{4782CDF0-2242-43ED-967E-69412A2D86D9}" name="Column15584"/>
    <tableColumn id="15616" xr3:uid="{60C07015-3FFD-4415-B602-EE2E534318F8}" name="Column15585"/>
    <tableColumn id="15617" xr3:uid="{690CB139-1CAB-4A9E-8971-000803033007}" name="Column15586"/>
    <tableColumn id="15618" xr3:uid="{63484013-B101-49FD-9B13-471EE9BE4CEC}" name="Column15587"/>
    <tableColumn id="15619" xr3:uid="{3F3E8D7E-043E-443B-90BA-137B44C6B040}" name="Column15588"/>
    <tableColumn id="15620" xr3:uid="{4DE84E05-DF96-4032-89B3-C6B2A95B56B9}" name="Column15589"/>
    <tableColumn id="15621" xr3:uid="{65619342-1E10-41C2-89C2-584223615236}" name="Column15590"/>
    <tableColumn id="15622" xr3:uid="{7CABBF48-86C3-4BCD-BCC4-CA5649A34D61}" name="Column15591"/>
    <tableColumn id="15623" xr3:uid="{97203ECC-A5F8-432A-AC26-753FC6821745}" name="Column15592"/>
    <tableColumn id="15624" xr3:uid="{E0466136-CF45-4F69-95C5-DA09C313F95C}" name="Column15593"/>
    <tableColumn id="15625" xr3:uid="{9A08225F-FF9A-48AF-89EF-87ACEE18EC1F}" name="Column15594"/>
    <tableColumn id="15626" xr3:uid="{FF0B80F5-C4C0-4D41-B432-6142602BD8D1}" name="Column15595"/>
    <tableColumn id="15627" xr3:uid="{D7C8AC36-7D62-42BB-8760-721563C88CDC}" name="Column15596"/>
    <tableColumn id="15628" xr3:uid="{516A14E0-EE33-4FDA-9AAC-B009E77F3FB4}" name="Column15597"/>
    <tableColumn id="15629" xr3:uid="{FF1021AD-80A6-43D3-9BD8-0104B21A4CFF}" name="Column15598"/>
    <tableColumn id="15630" xr3:uid="{2A8E6719-0F44-469C-A698-F8AC079844B7}" name="Column15599"/>
    <tableColumn id="15631" xr3:uid="{F0063003-1AE0-4B58-92A3-EBCE6A66D00F}" name="Column15600"/>
    <tableColumn id="15632" xr3:uid="{72BE8B32-BDE7-41F2-88AE-DB7DAA09BECA}" name="Column15601"/>
    <tableColumn id="15633" xr3:uid="{5E87BE62-0E4E-46D8-844F-C3F4E7A09599}" name="Column15602"/>
    <tableColumn id="15634" xr3:uid="{CAEE619F-DF62-4E43-AF6B-0E8DEABDA5BC}" name="Column15603"/>
    <tableColumn id="15635" xr3:uid="{F530BC0C-6391-401B-9590-4DB42003D8A8}" name="Column15604"/>
    <tableColumn id="15636" xr3:uid="{9325608F-0B0D-4EB3-B980-CB6695DC81B8}" name="Column15605"/>
    <tableColumn id="15637" xr3:uid="{419C4EA5-F346-40AC-ADB0-6D9307418DBC}" name="Column15606"/>
    <tableColumn id="15638" xr3:uid="{0B3C1887-27F3-47C9-9CE7-A1CF02F5316E}" name="Column15607"/>
    <tableColumn id="15639" xr3:uid="{379A489D-29B8-4279-A34B-1712A2A78C55}" name="Column15608"/>
    <tableColumn id="15640" xr3:uid="{72F137FE-9F52-4171-85AD-D1405CF7FF70}" name="Column15609"/>
    <tableColumn id="15641" xr3:uid="{E30E42FC-C2E1-4508-9E71-7E45B6954F27}" name="Column15610"/>
    <tableColumn id="15642" xr3:uid="{CE2B6F57-DF0B-4A6A-B29C-2F0E2B83A454}" name="Column15611"/>
    <tableColumn id="15643" xr3:uid="{1794E3C7-BE81-4CA4-B317-4227D60CBBB4}" name="Column15612"/>
    <tableColumn id="15644" xr3:uid="{4028EF07-B401-47B6-B6FD-846EF6EACFEE}" name="Column15613"/>
    <tableColumn id="15645" xr3:uid="{E29A310A-479C-48CE-8B71-AABB83070B63}" name="Column15614"/>
    <tableColumn id="15646" xr3:uid="{8A3CBBFA-C60F-46B4-A4D2-16CC2C4E8FF1}" name="Column15615"/>
    <tableColumn id="15647" xr3:uid="{1BDB2144-FCE7-4992-AFB4-CDBEF7B137DC}" name="Column15616"/>
    <tableColumn id="15648" xr3:uid="{5A318CF8-69C4-43AD-AED8-90D195CD7947}" name="Column15617"/>
    <tableColumn id="15649" xr3:uid="{89C9041D-D79D-47AE-8441-F6CF786F23D6}" name="Column15618"/>
    <tableColumn id="15650" xr3:uid="{4B4B4CE2-2F5F-46F6-8725-FE30C774EF09}" name="Column15619"/>
    <tableColumn id="15651" xr3:uid="{6938C11A-38CE-4A48-B075-B5B6ED7F02A0}" name="Column15620"/>
    <tableColumn id="15652" xr3:uid="{1E1A7762-73F7-4DB5-8B80-6FEE1A466C8D}" name="Column15621"/>
    <tableColumn id="15653" xr3:uid="{FFF88354-52FD-4B96-ADE5-D3CAF4760762}" name="Column15622"/>
    <tableColumn id="15654" xr3:uid="{BDA0EBAB-6AFD-475D-A63B-809E73733B70}" name="Column15623"/>
    <tableColumn id="15655" xr3:uid="{A9893295-82E3-4417-A425-D706E0581594}" name="Column15624"/>
    <tableColumn id="15656" xr3:uid="{9A2A50A6-1221-485B-9816-2986D6C8E352}" name="Column15625"/>
    <tableColumn id="15657" xr3:uid="{B3616BE5-ADFB-4AB2-ACA4-266AA5E8E00A}" name="Column15626"/>
    <tableColumn id="15658" xr3:uid="{B5683FEB-9778-40C3-9FE3-60CFE3A4E3EB}" name="Column15627"/>
    <tableColumn id="15659" xr3:uid="{904B71D6-7950-435E-BEEE-F905F17557A3}" name="Column15628"/>
    <tableColumn id="15660" xr3:uid="{43170506-3447-41C0-8FC8-B79277485775}" name="Column15629"/>
    <tableColumn id="15661" xr3:uid="{EF846337-710F-45B2-8439-EFC580099D02}" name="Column15630"/>
    <tableColumn id="15662" xr3:uid="{828B4F70-97EE-4C23-8FC8-81DD9C6F8A64}" name="Column15631"/>
    <tableColumn id="15663" xr3:uid="{808E55C7-ED4A-4246-A4C9-F7A5DB33EA28}" name="Column15632"/>
    <tableColumn id="15664" xr3:uid="{9E666670-72C9-4394-8800-3CBCEB748FA4}" name="Column15633"/>
    <tableColumn id="15665" xr3:uid="{02CFD2D2-76A6-4014-98F7-75E776FEBF62}" name="Column15634"/>
    <tableColumn id="15666" xr3:uid="{1FFD679D-E02F-4A05-98D2-DD92306A2E5F}" name="Column15635"/>
    <tableColumn id="15667" xr3:uid="{F53F91A3-D388-4CD0-91B4-A732EDDE6380}" name="Column15636"/>
    <tableColumn id="15668" xr3:uid="{CB55F2DD-82DE-4DC1-83C9-57084AC4A8DF}" name="Column15637"/>
    <tableColumn id="15669" xr3:uid="{22C740D8-0D0E-42CD-999F-71569C0C4891}" name="Column15638"/>
    <tableColumn id="15670" xr3:uid="{3F469142-6AF1-45AC-8CF1-8F08DA404B7B}" name="Column15639"/>
    <tableColumn id="15671" xr3:uid="{CE70B2B8-6E0B-4ED1-B010-DD2F33301995}" name="Column15640"/>
    <tableColumn id="15672" xr3:uid="{CEC10436-2D46-4A9D-A470-0599A0F5652E}" name="Column15641"/>
    <tableColumn id="15673" xr3:uid="{2C6FBEDC-A56F-4EEC-B52A-47933D6F2C3F}" name="Column15642"/>
    <tableColumn id="15674" xr3:uid="{3345F31D-4731-41EF-BF36-37295E56B837}" name="Column15643"/>
    <tableColumn id="15675" xr3:uid="{12861F2B-DF43-4376-B68F-D56B3EC72D7F}" name="Column15644"/>
    <tableColumn id="15676" xr3:uid="{E429F1BE-6BEA-438E-8951-0616FD7D2F48}" name="Column15645"/>
    <tableColumn id="15677" xr3:uid="{59D3B34E-1BF3-41B9-90B1-6ADB12855AF9}" name="Column15646"/>
    <tableColumn id="15678" xr3:uid="{2172CD14-9CBA-4785-90CA-67CAB28C76C3}" name="Column15647"/>
    <tableColumn id="15679" xr3:uid="{7179F458-17F1-41B1-A2E8-88BCF3DA0DF5}" name="Column15648"/>
    <tableColumn id="15680" xr3:uid="{46FA9324-8F3E-48BD-889D-785AA7D24B60}" name="Column15649"/>
    <tableColumn id="15681" xr3:uid="{4B17F21B-5257-4762-96E3-998C9E00E799}" name="Column15650"/>
    <tableColumn id="15682" xr3:uid="{17E73FEE-84C6-484C-A920-D1E82D04A8D0}" name="Column15651"/>
    <tableColumn id="15683" xr3:uid="{AED8B926-BB84-47DE-A014-E910114FE173}" name="Column15652"/>
    <tableColumn id="15684" xr3:uid="{C61B120D-4A38-4AE7-B6AA-C7E1A9FF3542}" name="Column15653"/>
    <tableColumn id="15685" xr3:uid="{5FC0FE00-0014-4661-85C8-4A691E815E7E}" name="Column15654"/>
    <tableColumn id="15686" xr3:uid="{2A22253C-2953-494E-9422-9589AD5BEE5D}" name="Column15655"/>
    <tableColumn id="15687" xr3:uid="{86C62CEB-5151-47C1-9DAB-D5410CD4341D}" name="Column15656"/>
    <tableColumn id="15688" xr3:uid="{36DADC30-FE75-49CC-A6FE-2F9ECC61B159}" name="Column15657"/>
    <tableColumn id="15689" xr3:uid="{E613FF11-9BD5-4EB1-93FF-3E60A2783221}" name="Column15658"/>
    <tableColumn id="15690" xr3:uid="{BA506F3B-2B50-4555-B95F-2D7E8882FC53}" name="Column15659"/>
    <tableColumn id="15691" xr3:uid="{9CBC47F5-F321-4293-8F71-4F6A42FEDECB}" name="Column15660"/>
    <tableColumn id="15692" xr3:uid="{6E3881C8-3B5E-4226-A426-9D9FEFCD9306}" name="Column15661"/>
    <tableColumn id="15693" xr3:uid="{DA591A2A-DE65-4E3E-A1BB-EC46CC7D7EC1}" name="Column15662"/>
    <tableColumn id="15694" xr3:uid="{FE27EB27-3F33-4B16-9F3C-889222878F24}" name="Column15663"/>
    <tableColumn id="15695" xr3:uid="{E38241A2-8C45-4196-9231-8027E838014B}" name="Column15664"/>
    <tableColumn id="15696" xr3:uid="{15E3A5FD-12DF-48AA-9F18-C091080704C0}" name="Column15665"/>
    <tableColumn id="15697" xr3:uid="{C511FE3B-DC6E-458B-8A55-22F695CA78B7}" name="Column15666"/>
    <tableColumn id="15698" xr3:uid="{4E61BE38-61D7-4795-915F-119D3B654FFE}" name="Column15667"/>
    <tableColumn id="15699" xr3:uid="{63A73A92-8AC7-44C5-AB89-525924F2BC86}" name="Column15668"/>
    <tableColumn id="15700" xr3:uid="{193D2C51-F3F5-4C57-8EE3-797D5C35FE57}" name="Column15669"/>
    <tableColumn id="15701" xr3:uid="{ABE26252-CEEE-4BE0-B8C4-C30D70C35406}" name="Column15670"/>
    <tableColumn id="15702" xr3:uid="{88521A18-034C-435A-B9E7-1E27D8940D89}" name="Column15671"/>
    <tableColumn id="15703" xr3:uid="{0015044F-3F52-4C9E-A157-E1E140A68995}" name="Column15672"/>
    <tableColumn id="15704" xr3:uid="{D72E0857-3B61-408C-8CB9-09340409E552}" name="Column15673"/>
    <tableColumn id="15705" xr3:uid="{1B83A762-B7A8-441B-9B34-E9AEBC7F9A96}" name="Column15674"/>
    <tableColumn id="15706" xr3:uid="{6BBFF02E-8B44-428E-80B0-2163B9CB0F1F}" name="Column15675"/>
    <tableColumn id="15707" xr3:uid="{022D77B9-A1A9-40DC-9C2F-7075A17C8724}" name="Column15676"/>
    <tableColumn id="15708" xr3:uid="{EEC80B6E-9C8B-407E-942B-C5C3C75730DF}" name="Column15677"/>
    <tableColumn id="15709" xr3:uid="{FA8B72D4-B506-413E-B542-4D692CC47647}" name="Column15678"/>
    <tableColumn id="15710" xr3:uid="{11A9DF37-C5B3-4A0D-B64D-039D14C73237}" name="Column15679"/>
    <tableColumn id="15711" xr3:uid="{16796454-B65E-41CD-89FC-E2154270A5A5}" name="Column15680"/>
    <tableColumn id="15712" xr3:uid="{321C234A-FCA5-4BE3-8F92-69C2F5880F4A}" name="Column15681"/>
    <tableColumn id="15713" xr3:uid="{2A61D320-4C7F-44CD-B6FE-EC4A52BE972A}" name="Column15682"/>
    <tableColumn id="15714" xr3:uid="{ACA9CC7F-9CD3-4F15-84E3-5716879E91CC}" name="Column15683"/>
    <tableColumn id="15715" xr3:uid="{6A0A964C-5098-480F-9AC6-08CAEE614155}" name="Column15684"/>
    <tableColumn id="15716" xr3:uid="{6A2ED9CE-9FB2-4F7B-9525-72C94827FCCE}" name="Column15685"/>
    <tableColumn id="15717" xr3:uid="{480B6019-64A2-4FA4-A287-449651D40DB5}" name="Column15686"/>
    <tableColumn id="15718" xr3:uid="{66B706E1-31FE-4DEC-8A48-9FD6DF9891E4}" name="Column15687"/>
    <tableColumn id="15719" xr3:uid="{0FDF23E4-1330-4AD6-A6D5-10509F133CB8}" name="Column15688"/>
    <tableColumn id="15720" xr3:uid="{0CD8F17E-D66D-41C9-B5A3-82357A32CAD8}" name="Column15689"/>
    <tableColumn id="15721" xr3:uid="{4CBC9D22-91F8-448A-B5F3-73C144DAEB91}" name="Column15690"/>
    <tableColumn id="15722" xr3:uid="{8E05AFBA-9DF3-49A4-801E-E95ED1467859}" name="Column15691"/>
    <tableColumn id="15723" xr3:uid="{6AC73F4B-7429-4910-8839-F17D52A38011}" name="Column15692"/>
    <tableColumn id="15724" xr3:uid="{9F12215D-D57A-4519-BC83-13BF07CB74AA}" name="Column15693"/>
    <tableColumn id="15725" xr3:uid="{F9715A2A-0592-4203-9B4A-65D573E6E5A1}" name="Column15694"/>
    <tableColumn id="15726" xr3:uid="{C0518512-9FEF-42D5-A4C1-E8B3FE8CA732}" name="Column15695"/>
    <tableColumn id="15727" xr3:uid="{D091646B-0E96-4479-B5A6-E5EAF0BFD810}" name="Column15696"/>
    <tableColumn id="15728" xr3:uid="{82F3D1A6-632E-470B-AE2D-7222C557D05D}" name="Column15697"/>
    <tableColumn id="15729" xr3:uid="{40711101-F8B3-4F5E-8820-4321B0C5B333}" name="Column15698"/>
    <tableColumn id="15730" xr3:uid="{3139E500-39B7-447A-BC3C-A8C9286DC215}" name="Column15699"/>
    <tableColumn id="15731" xr3:uid="{15737A56-7440-4E01-9407-CA850A509CDC}" name="Column15700"/>
    <tableColumn id="15732" xr3:uid="{EE2BF231-31B5-44DE-AABC-DB63EE66FD3D}" name="Column15701"/>
    <tableColumn id="15733" xr3:uid="{0F5FAB25-5186-4473-A189-C9FD206548C3}" name="Column15702"/>
    <tableColumn id="15734" xr3:uid="{EE627B21-F58F-4100-BBA3-7246B384F150}" name="Column15703"/>
    <tableColumn id="15735" xr3:uid="{0911CD6A-5C75-4597-BA96-8B99938B7028}" name="Column15704"/>
    <tableColumn id="15736" xr3:uid="{74BCFD2E-BC49-4A66-971C-1CC0BB2C565C}" name="Column15705"/>
    <tableColumn id="15737" xr3:uid="{C4435FAE-733F-41D2-9637-B524772607CE}" name="Column15706"/>
    <tableColumn id="15738" xr3:uid="{2C2CDF26-CBC5-480F-949B-7E04F4C45E02}" name="Column15707"/>
    <tableColumn id="15739" xr3:uid="{5F753FD5-D287-435C-AA73-DE6E56FB9467}" name="Column15708"/>
    <tableColumn id="15740" xr3:uid="{DA035A3C-CDD2-4B07-82FF-37B21AC934CB}" name="Column15709"/>
    <tableColumn id="15741" xr3:uid="{07DE1005-31C9-4BF5-B445-963400458086}" name="Column15710"/>
    <tableColumn id="15742" xr3:uid="{9802B737-2AF6-486B-B8B5-006393C139FE}" name="Column15711"/>
    <tableColumn id="15743" xr3:uid="{04BD7E76-A40A-43F2-BEEB-4848054CC825}" name="Column15712"/>
    <tableColumn id="15744" xr3:uid="{0E5AA843-B06B-4B48-9A48-ED8D7A7FF4B8}" name="Column15713"/>
    <tableColumn id="15745" xr3:uid="{354B6F0B-20D2-44C3-9A1E-AA3AC536E623}" name="Column15714"/>
    <tableColumn id="15746" xr3:uid="{779C9A8A-EC38-404F-AAB4-3E6DA8DC32B8}" name="Column15715"/>
    <tableColumn id="15747" xr3:uid="{CA951783-7F63-4A99-B846-45037CAC65DD}" name="Column15716"/>
    <tableColumn id="15748" xr3:uid="{7B247278-B8AB-4451-A8ED-2DE4420E727A}" name="Column15717"/>
    <tableColumn id="15749" xr3:uid="{BB98BDAD-3695-4BAD-B841-2B0CFF79A264}" name="Column15718"/>
    <tableColumn id="15750" xr3:uid="{1B2C6100-E120-40CD-8BE7-4FE93DDF5353}" name="Column15719"/>
    <tableColumn id="15751" xr3:uid="{AD3EEBDC-678B-47E3-A1B4-7F1244CAF9C5}" name="Column15720"/>
    <tableColumn id="15752" xr3:uid="{6DDCCE9A-05A9-4036-910C-14D09B5565F9}" name="Column15721"/>
    <tableColumn id="15753" xr3:uid="{82AAA77C-230B-41CD-A7A1-8047DCCB82F7}" name="Column15722"/>
    <tableColumn id="15754" xr3:uid="{BBA83092-A64A-49CE-BA1B-43B1FAFE708C}" name="Column15723"/>
    <tableColumn id="15755" xr3:uid="{15A973B2-2966-4967-A61C-76A082572CFA}" name="Column15724"/>
    <tableColumn id="15756" xr3:uid="{DACA4139-4CEC-4989-946F-70C22FC2A995}" name="Column15725"/>
    <tableColumn id="15757" xr3:uid="{6589F419-6E76-4955-AE99-6F14291A847D}" name="Column15726"/>
    <tableColumn id="15758" xr3:uid="{03D2B0EC-B830-4CC0-A26A-04A44FBC2C4F}" name="Column15727"/>
    <tableColumn id="15759" xr3:uid="{051CEAAD-A345-4075-9ED0-2D9C883ADA46}" name="Column15728"/>
    <tableColumn id="15760" xr3:uid="{A79845A8-B097-463B-9CB9-E287A55CEE8F}" name="Column15729"/>
    <tableColumn id="15761" xr3:uid="{FAD78141-CEF3-4EB1-9BBA-3CF042B38D16}" name="Column15730"/>
    <tableColumn id="15762" xr3:uid="{46C1FD50-7742-4728-9F11-E857FEB5EB60}" name="Column15731"/>
    <tableColumn id="15763" xr3:uid="{58CE36F2-E5D3-4286-96D0-2A9C56216ADA}" name="Column15732"/>
    <tableColumn id="15764" xr3:uid="{C7371237-CE6B-4725-98AE-40122E771702}" name="Column15733"/>
    <tableColumn id="15765" xr3:uid="{922CAD41-F2D2-4D0B-9CA8-7574A1C5BB72}" name="Column15734"/>
    <tableColumn id="15766" xr3:uid="{C3C7F3DC-6403-4826-8C04-3C31074FC0CA}" name="Column15735"/>
    <tableColumn id="15767" xr3:uid="{0BBE8D4B-DA6B-4F17-9C55-28F820951E38}" name="Column15736"/>
    <tableColumn id="15768" xr3:uid="{F022A59C-FBC2-49DE-A96F-00BE805B1E30}" name="Column15737"/>
    <tableColumn id="15769" xr3:uid="{CAF2A9AB-62CF-47AE-B1F2-9A4C25CE75F1}" name="Column15738"/>
    <tableColumn id="15770" xr3:uid="{4A6D646B-DA25-4F3A-A8D3-CE7C45949751}" name="Column15739"/>
    <tableColumn id="15771" xr3:uid="{5856F603-A25C-448B-8E65-BCC734EEBDE7}" name="Column15740"/>
    <tableColumn id="15772" xr3:uid="{AC1AEC37-D242-4C9A-B108-F4D464DC1C33}" name="Column15741"/>
    <tableColumn id="15773" xr3:uid="{F6C64BC8-A8C4-4405-AE3F-274F96D64CBE}" name="Column15742"/>
    <tableColumn id="15774" xr3:uid="{59147723-77FE-4356-91FD-2E3066A61967}" name="Column15743"/>
    <tableColumn id="15775" xr3:uid="{6BC7680F-9A99-45E7-A56E-6DF82DF241BA}" name="Column15744"/>
    <tableColumn id="15776" xr3:uid="{BD62996C-C9F8-4176-991A-88386E493D82}" name="Column15745"/>
    <tableColumn id="15777" xr3:uid="{814C80FC-38E0-4B93-AF7E-B086FC67F6E5}" name="Column15746"/>
    <tableColumn id="15778" xr3:uid="{A3905711-EB17-4B82-BFAD-C25FADEEABC3}" name="Column15747"/>
    <tableColumn id="15779" xr3:uid="{0211D1CC-ADE7-4723-A656-1E45C3472E58}" name="Column15748"/>
    <tableColumn id="15780" xr3:uid="{1F70CD8C-3ED7-4682-AF15-7D562E836A16}" name="Column15749"/>
    <tableColumn id="15781" xr3:uid="{DA263B5A-FF1F-4941-9B81-F083508A47F9}" name="Column15750"/>
    <tableColumn id="15782" xr3:uid="{885ED724-5718-47DA-BC13-66DD452871D3}" name="Column15751"/>
    <tableColumn id="15783" xr3:uid="{8A6957C5-4392-4353-BFE0-18A7D45EC1D1}" name="Column15752"/>
    <tableColumn id="15784" xr3:uid="{552FEEF8-08A0-44F4-8917-656135E0F2C1}" name="Column15753"/>
    <tableColumn id="15785" xr3:uid="{B079AE44-51F6-4758-A9B7-E47199FD8895}" name="Column15754"/>
    <tableColumn id="15786" xr3:uid="{5956CCED-1648-4EB8-BE71-B05243E14AFD}" name="Column15755"/>
    <tableColumn id="15787" xr3:uid="{26DEEBD4-456D-46FF-8361-C4521A71274E}" name="Column15756"/>
    <tableColumn id="15788" xr3:uid="{2C740B13-E436-4503-88D4-D3EFD2A53E48}" name="Column15757"/>
    <tableColumn id="15789" xr3:uid="{0EFB4324-6A66-455E-9597-520472A6D83B}" name="Column15758"/>
    <tableColumn id="15790" xr3:uid="{597D5992-BD3F-469C-B786-C6EEEFE17A2F}" name="Column15759"/>
    <tableColumn id="15791" xr3:uid="{BC011C22-1D2A-4803-86BD-5695F1E091F0}" name="Column15760"/>
    <tableColumn id="15792" xr3:uid="{01D3DB79-644A-4D13-8667-9EB8AB776177}" name="Column15761"/>
    <tableColumn id="15793" xr3:uid="{F8285528-BC43-4BB8-A7F7-DC49D209719B}" name="Column15762"/>
    <tableColumn id="15794" xr3:uid="{7B7C2F49-BFB2-4F79-BC88-B61FF68FF377}" name="Column15763"/>
    <tableColumn id="15795" xr3:uid="{5F536E62-1B75-4B07-8048-92E8B9561379}" name="Column15764"/>
    <tableColumn id="15796" xr3:uid="{3A555595-CB7C-4BFB-B63F-2EC09BC30102}" name="Column15765"/>
    <tableColumn id="15797" xr3:uid="{932827F4-50E2-4708-8412-4C17A40D3FD2}" name="Column15766"/>
    <tableColumn id="15798" xr3:uid="{15C52C32-0463-4B2F-8B43-C1A78B7D6E5F}" name="Column15767"/>
    <tableColumn id="15799" xr3:uid="{05C6EE7E-BB68-45EB-BCB3-C5572B604FD7}" name="Column15768"/>
    <tableColumn id="15800" xr3:uid="{150A136F-5C4C-4B27-9BED-7D35205DBEDB}" name="Column15769"/>
    <tableColumn id="15801" xr3:uid="{B393602F-8491-400A-8040-B7A5AE1F97C3}" name="Column15770"/>
    <tableColumn id="15802" xr3:uid="{F6A31678-92F3-42DA-A17A-7A8A0D3A6351}" name="Column15771"/>
    <tableColumn id="15803" xr3:uid="{EA101563-9BF7-4567-8609-2F8ACDD419B5}" name="Column15772"/>
    <tableColumn id="15804" xr3:uid="{91539C33-13FF-4167-969B-05EBC9DED28A}" name="Column15773"/>
    <tableColumn id="15805" xr3:uid="{FFA1A3FC-5FF5-435C-BFBD-159B1D0CF2A3}" name="Column15774"/>
    <tableColumn id="15806" xr3:uid="{A5218F00-B1BC-42AC-B148-5404F2105A8C}" name="Column15775"/>
    <tableColumn id="15807" xr3:uid="{E95CAF59-AE63-427F-A7BB-5A657E366EAA}" name="Column15776"/>
    <tableColumn id="15808" xr3:uid="{A365D187-86C5-490C-82E6-FBF2AB8BFC4D}" name="Column15777"/>
    <tableColumn id="15809" xr3:uid="{620DC0D0-4B27-41F1-90A2-019BAEBD2509}" name="Column15778"/>
    <tableColumn id="15810" xr3:uid="{EAEE1250-E9BE-491A-9FB9-12AE6CEA4BB9}" name="Column15779"/>
    <tableColumn id="15811" xr3:uid="{5A6B82EC-680D-4479-870B-69B8DA02AD3E}" name="Column15780"/>
    <tableColumn id="15812" xr3:uid="{4BB810EE-FDDF-4DC2-8FBB-D55403195E2B}" name="Column15781"/>
    <tableColumn id="15813" xr3:uid="{DCDEEAE0-B45D-4F35-AB89-B48208095A4C}" name="Column15782"/>
    <tableColumn id="15814" xr3:uid="{4277D8B7-513C-4A89-BFBF-58BC85F4D01B}" name="Column15783"/>
    <tableColumn id="15815" xr3:uid="{5FFF8278-000A-4565-82D2-94D4ED24C31F}" name="Column15784"/>
    <tableColumn id="15816" xr3:uid="{EC650FFA-163F-4712-83A6-9FD82C90F3AB}" name="Column15785"/>
    <tableColumn id="15817" xr3:uid="{2800E4AF-1DCA-4037-9864-FBA41FACE5B5}" name="Column15786"/>
    <tableColumn id="15818" xr3:uid="{C7FA15FF-5FFA-4AA1-A381-830DCAF7FB3F}" name="Column15787"/>
    <tableColumn id="15819" xr3:uid="{4B4A1315-BB5F-4CA2-BAB8-1DFCCE542FFC}" name="Column15788"/>
    <tableColumn id="15820" xr3:uid="{2CB4B24E-4DE0-4132-9142-09064D4958EE}" name="Column15789"/>
    <tableColumn id="15821" xr3:uid="{2F925465-33CC-4858-B476-C9954AC6040B}" name="Column15790"/>
    <tableColumn id="15822" xr3:uid="{6744334D-38F1-46B3-AC9D-0F411684EA9C}" name="Column15791"/>
    <tableColumn id="15823" xr3:uid="{AB6A2A63-87A0-4496-873A-3ECA671FB592}" name="Column15792"/>
    <tableColumn id="15824" xr3:uid="{6345D1B9-5ADA-470B-A0A7-5CDCD5AE705F}" name="Column15793"/>
    <tableColumn id="15825" xr3:uid="{A4A19518-F805-4D02-95C4-5057F7C78F06}" name="Column15794"/>
    <tableColumn id="15826" xr3:uid="{5957716E-8832-480C-AACF-B3AFDE5CB0EE}" name="Column15795"/>
    <tableColumn id="15827" xr3:uid="{040DD378-2012-4EA4-A641-FA4ED3D5FA9A}" name="Column15796"/>
    <tableColumn id="15828" xr3:uid="{F22758F7-AE27-49F1-A59D-F652CEA03F7D}" name="Column15797"/>
    <tableColumn id="15829" xr3:uid="{5F947906-36E9-4DF3-B3C4-64B64320C19B}" name="Column15798"/>
    <tableColumn id="15830" xr3:uid="{C989F692-C289-44B1-A68C-D8D246A02EC2}" name="Column15799"/>
    <tableColumn id="15831" xr3:uid="{9552C535-7431-4714-9AE8-0F5DCF0F60B3}" name="Column15800"/>
    <tableColumn id="15832" xr3:uid="{F7976751-13C8-42B6-B377-97AF0F60D8F9}" name="Column15801"/>
    <tableColumn id="15833" xr3:uid="{47D462E9-4BB9-4BC2-828E-BF41DD105A2A}" name="Column15802"/>
    <tableColumn id="15834" xr3:uid="{5D4670E0-8C77-47F8-82AB-9D82FD87A652}" name="Column15803"/>
    <tableColumn id="15835" xr3:uid="{842CB457-CC4E-47A4-91B6-43B6167F61BE}" name="Column15804"/>
    <tableColumn id="15836" xr3:uid="{8E6BF4B0-B28D-40B1-A00D-FCE5B07D3971}" name="Column15805"/>
    <tableColumn id="15837" xr3:uid="{2C790F09-EB82-49BE-9282-7CA7C51C0EB0}" name="Column15806"/>
    <tableColumn id="15838" xr3:uid="{39CAD76E-FF04-4320-9F5B-366620D5EA9B}" name="Column15807"/>
    <tableColumn id="15839" xr3:uid="{7EF0463D-AF80-4C3C-8329-23A805E4EF42}" name="Column15808"/>
    <tableColumn id="15840" xr3:uid="{25AEA2F3-15F6-42CA-8684-45468A5C2276}" name="Column15809"/>
    <tableColumn id="15841" xr3:uid="{4CCC8366-E4B1-4ABE-AAF5-AFB5AA102643}" name="Column15810"/>
    <tableColumn id="15842" xr3:uid="{C8DA0872-2304-41B5-A85E-70527E125224}" name="Column15811"/>
    <tableColumn id="15843" xr3:uid="{D59CC64C-9658-4744-AF95-4DA2B808865A}" name="Column15812"/>
    <tableColumn id="15844" xr3:uid="{6688AEA8-3FE7-41FB-B365-B95BF5D36FA3}" name="Column15813"/>
    <tableColumn id="15845" xr3:uid="{28F57402-66F5-45EE-A654-5BCBEB48E416}" name="Column15814"/>
    <tableColumn id="15846" xr3:uid="{5E8AB3FD-5B0E-4B62-947C-C6EAF74BB0EE}" name="Column15815"/>
    <tableColumn id="15847" xr3:uid="{2797C175-1135-4BAB-BB86-CBCDFEC7DC64}" name="Column15816"/>
    <tableColumn id="15848" xr3:uid="{BE8495F0-100A-4139-A42B-26F211C63D2D}" name="Column15817"/>
    <tableColumn id="15849" xr3:uid="{6E729C95-3C86-4601-92CC-5C470A4F0817}" name="Column15818"/>
    <tableColumn id="15850" xr3:uid="{1EB3B701-42C8-44E1-9B27-231048976EE3}" name="Column15819"/>
    <tableColumn id="15851" xr3:uid="{7BCC364C-08AE-4124-87C3-9FE3CF90201E}" name="Column15820"/>
    <tableColumn id="15852" xr3:uid="{11932AF2-9B51-46BA-84A0-E61541C09672}" name="Column15821"/>
    <tableColumn id="15853" xr3:uid="{283511CC-8017-4D18-B164-5CD42DE94065}" name="Column15822"/>
    <tableColumn id="15854" xr3:uid="{8BA298B2-EDBB-4EF8-94D8-EC963875EEFB}" name="Column15823"/>
    <tableColumn id="15855" xr3:uid="{46850FAD-35FC-41C9-A596-BD12993E2475}" name="Column15824"/>
    <tableColumn id="15856" xr3:uid="{A112E692-ED64-4C49-A4AE-8743E2FD1E78}" name="Column15825"/>
    <tableColumn id="15857" xr3:uid="{A884A89D-BC0B-42BD-9202-93E05340CADB}" name="Column15826"/>
    <tableColumn id="15858" xr3:uid="{3A7AE37A-054C-48F9-846C-F59E6793A242}" name="Column15827"/>
    <tableColumn id="15859" xr3:uid="{73BB0D0B-1AA2-4453-B7AC-2C7C3ACAE805}" name="Column15828"/>
    <tableColumn id="15860" xr3:uid="{03BD1941-9783-4149-890C-7393DE283904}" name="Column15829"/>
    <tableColumn id="15861" xr3:uid="{8A33815A-D03D-4372-96C7-18FB6881CEAD}" name="Column15830"/>
    <tableColumn id="15862" xr3:uid="{4BD243C7-44A2-416E-BFAE-6C600F09229F}" name="Column15831"/>
    <tableColumn id="15863" xr3:uid="{29BAC1FC-E741-4BD8-A14C-1B9709D6523E}" name="Column15832"/>
    <tableColumn id="15864" xr3:uid="{0AFE2991-C388-4D32-B7D5-6A5EFC9F0070}" name="Column15833"/>
    <tableColumn id="15865" xr3:uid="{CF22CE41-CA3A-4DCB-B92D-B46DA329434C}" name="Column15834"/>
    <tableColumn id="15866" xr3:uid="{B82C46ED-C56C-4DDD-A6C5-0786ED1DA0A9}" name="Column15835"/>
    <tableColumn id="15867" xr3:uid="{30BA755A-E508-434B-AF74-DEDC1EA5DECA}" name="Column15836"/>
    <tableColumn id="15868" xr3:uid="{EF788EBE-C17E-40E4-8D43-46BCFBCA004C}" name="Column15837"/>
    <tableColumn id="15869" xr3:uid="{0690A75C-D893-4D6B-895C-31604ABD4E99}" name="Column15838"/>
    <tableColumn id="15870" xr3:uid="{CA32E0C0-7506-4506-A4C3-183BC32A8F75}" name="Column15839"/>
    <tableColumn id="15871" xr3:uid="{8C8EA7A0-1003-48F2-A1F0-9A5E11428430}" name="Column15840"/>
    <tableColumn id="15872" xr3:uid="{FDFFDB73-85D6-491D-9A83-6F1FC5628F01}" name="Column15841"/>
    <tableColumn id="15873" xr3:uid="{948EB6C4-2B78-4699-9F38-359A9DF93208}" name="Column15842"/>
    <tableColumn id="15874" xr3:uid="{2D381859-FAB8-4492-9A11-E21FBDC469C1}" name="Column15843"/>
    <tableColumn id="15875" xr3:uid="{F37BA2BC-8B5C-4CA1-91A1-A99F354858C1}" name="Column15844"/>
    <tableColumn id="15876" xr3:uid="{1FD3C310-2CA0-4E5A-91AC-7E8AFA0F4AC8}" name="Column15845"/>
    <tableColumn id="15877" xr3:uid="{C26C993B-D0E9-48A0-852D-F9B696B48AAC}" name="Column15846"/>
    <tableColumn id="15878" xr3:uid="{5B2509D9-89C9-4B4C-9C41-E73AC510A308}" name="Column15847"/>
    <tableColumn id="15879" xr3:uid="{16045F92-D684-45C7-928F-EE827DEF91C5}" name="Column15848"/>
    <tableColumn id="15880" xr3:uid="{5ECEE339-2142-4017-AA25-86818F14C465}" name="Column15849"/>
    <tableColumn id="15881" xr3:uid="{8E983B4A-5298-42F5-BFAE-C0A36994DD87}" name="Column15850"/>
    <tableColumn id="15882" xr3:uid="{2E056468-47BF-498D-857E-801FA8EC6FA4}" name="Column15851"/>
    <tableColumn id="15883" xr3:uid="{ACAF9A90-8AB0-47B1-B430-6ED2241910B0}" name="Column15852"/>
    <tableColumn id="15884" xr3:uid="{CC7821A8-A2D4-41C9-8D44-19C6B072470B}" name="Column15853"/>
    <tableColumn id="15885" xr3:uid="{FD05A14A-C1C5-4CCB-8ED3-1E33E440796E}" name="Column15854"/>
    <tableColumn id="15886" xr3:uid="{6A9AF8A9-B57A-4BB1-8369-92D3ED62C8F7}" name="Column15855"/>
    <tableColumn id="15887" xr3:uid="{9393EA1E-4511-41D9-90F9-DB65E593C2C5}" name="Column15856"/>
    <tableColumn id="15888" xr3:uid="{E31DCAD0-48C7-438C-9466-3945DD8E1AFC}" name="Column15857"/>
    <tableColumn id="15889" xr3:uid="{493AD182-24D8-42F9-BA4D-F773CAFB2FD3}" name="Column15858"/>
    <tableColumn id="15890" xr3:uid="{AAC43397-72C9-4BA3-B4BF-A59EBA59885F}" name="Column15859"/>
    <tableColumn id="15891" xr3:uid="{89BB7978-E549-4DB4-9142-9086A7781B5E}" name="Column15860"/>
    <tableColumn id="15892" xr3:uid="{35C827E6-A654-4260-BD4E-6771E5539F8F}" name="Column15861"/>
    <tableColumn id="15893" xr3:uid="{37378CB9-4826-40AC-A8EB-03E2098D581F}" name="Column15862"/>
    <tableColumn id="15894" xr3:uid="{EE4F179B-F33D-499B-96CF-18720AFADB8E}" name="Column15863"/>
    <tableColumn id="15895" xr3:uid="{B75B03BF-E8FA-4B17-98C3-32A6F6CA3293}" name="Column15864"/>
    <tableColumn id="15896" xr3:uid="{F9D44DB0-CF28-4F4C-A2E8-F6FAE60BA5B2}" name="Column15865"/>
    <tableColumn id="15897" xr3:uid="{7FCD9E95-6D3B-4D35-A26D-C4CA4379F81A}" name="Column15866"/>
    <tableColumn id="15898" xr3:uid="{645F14CB-CFEA-43E1-AD0A-82CFD1CCDF86}" name="Column15867"/>
    <tableColumn id="15899" xr3:uid="{430B210B-D7E4-4226-9377-A2AB9BDE74AA}" name="Column15868"/>
    <tableColumn id="15900" xr3:uid="{85D228C6-A02D-442A-9D4E-578BDB459EDA}" name="Column15869"/>
    <tableColumn id="15901" xr3:uid="{05FB3DCE-007D-4BFD-9E1F-F7C0668D70C2}" name="Column15870"/>
    <tableColumn id="15902" xr3:uid="{740552F1-89EC-4336-902A-A874A0C4FF1A}" name="Column15871"/>
    <tableColumn id="15903" xr3:uid="{E08C4909-195A-47E1-A7A3-556D9F87D03D}" name="Column15872"/>
    <tableColumn id="15904" xr3:uid="{B3DDD47E-9B9A-456F-8C3C-9B230B3E311B}" name="Column15873"/>
    <tableColumn id="15905" xr3:uid="{6E737D13-9784-44D7-B827-E8AD5E347400}" name="Column15874"/>
    <tableColumn id="15906" xr3:uid="{38A711B5-A9AF-49FE-8954-095A4B5F79F1}" name="Column15875"/>
    <tableColumn id="15907" xr3:uid="{E0F44AA0-F1B4-4DE9-B790-B0DB3C1B34E9}" name="Column15876"/>
    <tableColumn id="15908" xr3:uid="{C4EE97DF-2417-444E-A7B9-C58C83379EE1}" name="Column15877"/>
    <tableColumn id="15909" xr3:uid="{260EFD66-EA7C-4237-9F24-23E8A0923121}" name="Column15878"/>
    <tableColumn id="15910" xr3:uid="{6E43368F-A32B-497B-BE94-551A8B8B74F0}" name="Column15879"/>
    <tableColumn id="15911" xr3:uid="{071CB3AB-54E0-4EEC-A9DA-BE4BFB7CB186}" name="Column15880"/>
    <tableColumn id="15912" xr3:uid="{56698F88-7577-41DA-A9C5-7D60CA4C3AC8}" name="Column15881"/>
    <tableColumn id="15913" xr3:uid="{69D3EFE5-8444-4DAF-BF76-A26016DCF872}" name="Column15882"/>
    <tableColumn id="15914" xr3:uid="{79272A94-19AB-43FB-BA70-E54B24E24F8B}" name="Column15883"/>
    <tableColumn id="15915" xr3:uid="{7F194B16-5394-4856-B122-518F41448C9E}" name="Column15884"/>
    <tableColumn id="15916" xr3:uid="{EF816B92-1DC9-455E-929E-0B9168523162}" name="Column15885"/>
    <tableColumn id="15917" xr3:uid="{477E602A-AB2E-4EC0-BEC4-CA431722D5F9}" name="Column15886"/>
    <tableColumn id="15918" xr3:uid="{97FC97DB-FC32-415A-B2C0-B235AE380AB9}" name="Column15887"/>
    <tableColumn id="15919" xr3:uid="{D45D89DD-3FCF-4F54-917C-92C6944D7B4E}" name="Column15888"/>
    <tableColumn id="15920" xr3:uid="{F24AA683-021C-4C57-B612-D96FAD9DA403}" name="Column15889"/>
    <tableColumn id="15921" xr3:uid="{D1FD0798-2CE1-43EE-A465-8E33377AA238}" name="Column15890"/>
    <tableColumn id="15922" xr3:uid="{7E4AD6FF-4FCC-4489-ABAA-0D207C7DFC1D}" name="Column15891"/>
    <tableColumn id="15923" xr3:uid="{AA12DE4D-947C-4BA7-85A6-69D11ACE82D5}" name="Column15892"/>
    <tableColumn id="15924" xr3:uid="{DCCDA0A4-9BD6-4F30-9E13-C0EC1AA915E2}" name="Column15893"/>
    <tableColumn id="15925" xr3:uid="{48C5C5B2-6C97-41FE-90D8-F7A73D70287C}" name="Column15894"/>
    <tableColumn id="15926" xr3:uid="{533EBCA6-C542-4BA2-96A8-D12300C3C2DD}" name="Column15895"/>
    <tableColumn id="15927" xr3:uid="{DF44D0E5-DF6C-4FC1-9A62-B64BA173D84B}" name="Column15896"/>
    <tableColumn id="15928" xr3:uid="{9EA9ADC9-09DF-4196-93C0-E4C1A87F30DC}" name="Column15897"/>
    <tableColumn id="15929" xr3:uid="{F0F9041D-FECB-499C-905F-CA14D1A98B37}" name="Column15898"/>
    <tableColumn id="15930" xr3:uid="{A9B9FAAF-BC3B-4BDC-BC4A-0F8047FD6AE3}" name="Column15899"/>
    <tableColumn id="15931" xr3:uid="{506C2539-D817-4566-BC50-CD10FF49677C}" name="Column15900"/>
    <tableColumn id="15932" xr3:uid="{9A8BBB72-F2ED-4452-B9F7-62EE56FFF08E}" name="Column15901"/>
    <tableColumn id="15933" xr3:uid="{A333246D-0A10-4C4A-A9FD-FBB3025E433E}" name="Column15902"/>
    <tableColumn id="15934" xr3:uid="{9040AC66-5F57-414B-A6F0-3F9E45FF2F8E}" name="Column15903"/>
    <tableColumn id="15935" xr3:uid="{46CFB154-5B7A-48A6-BE29-D4F9E1D17C3D}" name="Column15904"/>
    <tableColumn id="15936" xr3:uid="{44C97CE2-8A6B-4BBD-A98A-609071EDE47D}" name="Column15905"/>
    <tableColumn id="15937" xr3:uid="{5868C9E9-6B0C-47F1-BB03-129CB061B822}" name="Column15906"/>
    <tableColumn id="15938" xr3:uid="{26A3C733-D525-48C1-9753-DFA1D0FB4E76}" name="Column15907"/>
    <tableColumn id="15939" xr3:uid="{6A82D846-7AD4-4426-B528-629C1991F63D}" name="Column15908"/>
    <tableColumn id="15940" xr3:uid="{16C5C944-859A-48B0-AE11-58C4F81FBA57}" name="Column15909"/>
    <tableColumn id="15941" xr3:uid="{2EC0CB7F-F1F5-404F-A759-1CB1E219C7BF}" name="Column15910"/>
    <tableColumn id="15942" xr3:uid="{BBC0BC30-9FAE-4842-96A9-FBA04C6C6F73}" name="Column15911"/>
    <tableColumn id="15943" xr3:uid="{5ABCA896-845A-4ADD-99FF-A604CF8E6A4A}" name="Column15912"/>
    <tableColumn id="15944" xr3:uid="{7839FAFE-FA9E-48E1-8468-5B803DD8824E}" name="Column15913"/>
    <tableColumn id="15945" xr3:uid="{5A5B0BB1-2A30-4854-B8E9-864A3EDB7DD9}" name="Column15914"/>
    <tableColumn id="15946" xr3:uid="{8FFC232B-7CC2-4454-9815-6595D5D57C34}" name="Column15915"/>
    <tableColumn id="15947" xr3:uid="{FDB2704E-9CAB-42A2-ABF6-64DED18B208A}" name="Column15916"/>
    <tableColumn id="15948" xr3:uid="{0FF9B548-C603-4911-9F5B-1E1954044BAE}" name="Column15917"/>
    <tableColumn id="15949" xr3:uid="{E1FAEE20-FB38-4186-B226-8580059D6DD6}" name="Column15918"/>
    <tableColumn id="15950" xr3:uid="{0CC146D9-44BC-419F-BD97-BA62AF986C26}" name="Column15919"/>
    <tableColumn id="15951" xr3:uid="{4E345FD2-8081-400B-9B47-B47488D14746}" name="Column15920"/>
    <tableColumn id="15952" xr3:uid="{4F5673F0-0211-4A3F-B748-47A1F59BBE1A}" name="Column15921"/>
    <tableColumn id="15953" xr3:uid="{3D1B5296-1BB9-4134-8AB6-5CAE1C4BAB5C}" name="Column15922"/>
    <tableColumn id="15954" xr3:uid="{66D7E384-6C82-427D-82A1-C5F1164380C0}" name="Column15923"/>
    <tableColumn id="15955" xr3:uid="{8C7D9AEF-C789-40EB-A58F-CDDF17B068FC}" name="Column15924"/>
    <tableColumn id="15956" xr3:uid="{31620362-9F0F-44FA-BDC2-558E10646854}" name="Column15925"/>
    <tableColumn id="15957" xr3:uid="{AA2FE303-A38F-4945-8F75-287B221E11E0}" name="Column15926"/>
    <tableColumn id="15958" xr3:uid="{26671961-4FCA-4EF3-9045-723804B4452F}" name="Column15927"/>
    <tableColumn id="15959" xr3:uid="{F14066B5-BDCA-490F-AB52-C72E8992FEE5}" name="Column15928"/>
    <tableColumn id="15960" xr3:uid="{C3FC6B84-4030-4670-AC76-377FF3A80332}" name="Column15929"/>
    <tableColumn id="15961" xr3:uid="{811FB97A-60CE-480D-8CEC-123651B4032D}" name="Column15930"/>
    <tableColumn id="15962" xr3:uid="{B34B72A5-83C3-4CB4-B6B9-2571E5F8C50F}" name="Column15931"/>
    <tableColumn id="15963" xr3:uid="{359BFEE3-1AF1-4DE4-97AC-278075B817BF}" name="Column15932"/>
    <tableColumn id="15964" xr3:uid="{00ACBD68-17FF-45D8-BD8E-E105C3CD4C7D}" name="Column15933"/>
    <tableColumn id="15965" xr3:uid="{91693045-97C3-4F06-999D-C1545A6F6251}" name="Column15934"/>
    <tableColumn id="15966" xr3:uid="{0478410A-95A8-4C90-9E4A-ABAD54C18BA0}" name="Column15935"/>
    <tableColumn id="15967" xr3:uid="{9A125845-B35A-4E83-9762-0DE105EC25B2}" name="Column15936"/>
    <tableColumn id="15968" xr3:uid="{E533EBF8-A2DE-4E13-B1FD-3F1537E899A3}" name="Column15937"/>
    <tableColumn id="15969" xr3:uid="{734322F6-28E0-4899-B3D4-2060B83D1EFB}" name="Column15938"/>
    <tableColumn id="15970" xr3:uid="{44458115-3DB4-472C-8CDF-F86663829CB2}" name="Column15939"/>
    <tableColumn id="15971" xr3:uid="{4C4C427F-A658-40AD-9B21-6D4F3C2FCF60}" name="Column15940"/>
    <tableColumn id="15972" xr3:uid="{8946B6FA-4DA7-4E73-8035-3CC945F043B3}" name="Column15941"/>
    <tableColumn id="15973" xr3:uid="{9328A1BA-6904-4007-B7C0-4416A36B0E00}" name="Column15942"/>
    <tableColumn id="15974" xr3:uid="{C4E13A2B-24CC-4ED1-8F37-F43D9E7FB9A5}" name="Column15943"/>
    <tableColumn id="15975" xr3:uid="{A3880FBF-F6FD-44C4-9A55-D12E62E0FC2D}" name="Column15944"/>
    <tableColumn id="15976" xr3:uid="{08196113-F788-460A-A306-728753C31141}" name="Column15945"/>
    <tableColumn id="15977" xr3:uid="{89BA1C2B-6005-4076-B46F-42A420B228C7}" name="Column15946"/>
    <tableColumn id="15978" xr3:uid="{05BECC88-F1CE-4293-AA3C-A65579A9061C}" name="Column15947"/>
    <tableColumn id="15979" xr3:uid="{6FB401A6-5768-4BC3-92D3-E429CC9ECECA}" name="Column15948"/>
    <tableColumn id="15980" xr3:uid="{5FE22122-8FC7-4D31-8CF9-54F0422A3A38}" name="Column15949"/>
    <tableColumn id="15981" xr3:uid="{EB2E90F1-3DFA-4BB9-A0F3-2377CE0FFB8F}" name="Column15950"/>
    <tableColumn id="15982" xr3:uid="{AC290CFA-4600-45F5-8F27-736379E70A15}" name="Column15951"/>
    <tableColumn id="15983" xr3:uid="{E46E4CA5-5344-4087-BF25-BA6CA0A08399}" name="Column15952"/>
    <tableColumn id="15984" xr3:uid="{D14D9C08-2F55-4F20-9882-039472E66019}" name="Column15953"/>
    <tableColumn id="15985" xr3:uid="{D97210F6-E55C-4252-AC80-5C50C06C24DF}" name="Column15954"/>
    <tableColumn id="15986" xr3:uid="{6E934AF7-363F-4DD2-8C48-D9D56AB83526}" name="Column15955"/>
    <tableColumn id="15987" xr3:uid="{88A69D8B-FFBB-465F-A9F2-FAA99F743FDF}" name="Column15956"/>
    <tableColumn id="15988" xr3:uid="{0B7E2767-A3B7-4812-999F-04F8A9AB1BAC}" name="Column15957"/>
    <tableColumn id="15989" xr3:uid="{0AF1074F-C116-45F8-9311-E5A67370058E}" name="Column15958"/>
    <tableColumn id="15990" xr3:uid="{C04FB133-5C06-4F0B-BD89-627D7D3E172E}" name="Column15959"/>
    <tableColumn id="15991" xr3:uid="{F629BA7C-CC1C-4D24-9533-EE323AC7A290}" name="Column15960"/>
    <tableColumn id="15992" xr3:uid="{2B65CF61-E10A-4C2C-A97E-4A786CE35A97}" name="Column15961"/>
    <tableColumn id="15993" xr3:uid="{BED7A390-CC18-4C93-A8C1-F0A88B727FDF}" name="Column15962"/>
    <tableColumn id="15994" xr3:uid="{D520E61F-610E-4A18-980B-9657DEE7044F}" name="Column15963"/>
    <tableColumn id="15995" xr3:uid="{DE4C44E2-DD6D-4E12-B6A5-EA9289FA2DFB}" name="Column15964"/>
    <tableColumn id="15996" xr3:uid="{74E704FD-9A0E-4265-A7A6-7A33A163A1A0}" name="Column15965"/>
    <tableColumn id="15997" xr3:uid="{21405482-F6B8-46D0-8CA1-811254801846}" name="Column15966"/>
    <tableColumn id="15998" xr3:uid="{45E8A0D6-F99E-401B-98A4-2E2C7F3D3730}" name="Column15967"/>
    <tableColumn id="15999" xr3:uid="{ADE772D6-61C2-429D-916F-EFB3667D29A8}" name="Column15968"/>
    <tableColumn id="16000" xr3:uid="{67F5B484-CA8C-4A9F-AC83-25CDFCFDE31E}" name="Column15969"/>
    <tableColumn id="16001" xr3:uid="{4CD94701-2188-46E1-902F-AD5F781AC9A5}" name="Column15970"/>
    <tableColumn id="16002" xr3:uid="{31D3EA27-28AD-490F-A215-59032544840C}" name="Column15971"/>
    <tableColumn id="16003" xr3:uid="{77395831-B201-4707-97F4-744D5EFE75DE}" name="Column15972"/>
    <tableColumn id="16004" xr3:uid="{589105E8-5429-4157-9997-124F77C85FA9}" name="Column15973"/>
    <tableColumn id="16005" xr3:uid="{B9FC6981-A816-4E69-A3BD-3ACFB19166F9}" name="Column15974"/>
    <tableColumn id="16006" xr3:uid="{823701D0-9268-42CF-AEB3-39849217D168}" name="Column15975"/>
    <tableColumn id="16007" xr3:uid="{079CD1DE-5C7C-4D4E-8DB3-367B38C4F6F2}" name="Column15976"/>
    <tableColumn id="16008" xr3:uid="{48DE2B4B-39EC-469F-B98C-E4287659C81B}" name="Column15977"/>
    <tableColumn id="16009" xr3:uid="{28DCF1E7-A5DE-40E0-AAC9-01C29FE4C21D}" name="Column15978"/>
    <tableColumn id="16010" xr3:uid="{8AC9F336-60D9-4B4D-A050-AD2F27429687}" name="Column15979"/>
    <tableColumn id="16011" xr3:uid="{66158F13-031E-4CDF-B702-B9851AA7B1F5}" name="Column15980"/>
    <tableColumn id="16012" xr3:uid="{9A929035-CD86-4653-A423-B337157424FA}" name="Column15981"/>
    <tableColumn id="16013" xr3:uid="{86A536C9-369C-44A0-984A-35313E516D39}" name="Column15982"/>
    <tableColumn id="16014" xr3:uid="{8FDC59CC-C701-469C-825B-0DCFC72B76FA}" name="Column15983"/>
    <tableColumn id="16015" xr3:uid="{516E70DF-66EE-430F-AD23-1896873F9051}" name="Column15984"/>
    <tableColumn id="16016" xr3:uid="{FB272E30-EA83-417D-ADE7-BDFA11409A53}" name="Column15985"/>
    <tableColumn id="16017" xr3:uid="{79952671-7BFB-4F90-8FD0-D4A2B7192630}" name="Column15986"/>
    <tableColumn id="16018" xr3:uid="{A46F108E-384F-4E23-8A59-FD807DA4125C}" name="Column15987"/>
    <tableColumn id="16019" xr3:uid="{D1441221-DCCE-40AF-940A-4B6EC5742CF9}" name="Column15988"/>
    <tableColumn id="16020" xr3:uid="{C34F6CE5-E247-44A5-8AB0-9B87A5701FFD}" name="Column15989"/>
    <tableColumn id="16021" xr3:uid="{13C70FF6-E519-43F8-A0DE-BF203D48044E}" name="Column15990"/>
    <tableColumn id="16022" xr3:uid="{CFE13EE5-8302-4AFA-96DE-5C7013E177D6}" name="Column15991"/>
    <tableColumn id="16023" xr3:uid="{4A267F31-1BAA-4F8F-B0D0-9C2CD79C8FF3}" name="Column15992"/>
    <tableColumn id="16024" xr3:uid="{9E1A2417-088E-43F6-9F48-2802CD28CE2C}" name="Column15993"/>
    <tableColumn id="16025" xr3:uid="{9C5C95B0-ECCE-4C0E-8B68-FBFD298C121C}" name="Column15994"/>
    <tableColumn id="16026" xr3:uid="{B6392FD0-9023-411F-B098-2621466CEAFE}" name="Column15995"/>
    <tableColumn id="16027" xr3:uid="{E958816A-50A0-4B31-8BAB-85342BCE58FD}" name="Column15996"/>
    <tableColumn id="16028" xr3:uid="{68B96D3A-B6A0-4DBB-BA96-9E00FDF9E1D9}" name="Column15997"/>
    <tableColumn id="16029" xr3:uid="{886D747C-363F-495A-ADF2-7F162CACD437}" name="Column15998"/>
    <tableColumn id="16030" xr3:uid="{C9F449A4-AB35-4CC1-AAE2-8BC7BCD92FB5}" name="Column15999"/>
    <tableColumn id="16031" xr3:uid="{8B67911D-2F62-47E3-A6CD-F54D285E402C}" name="Column16000"/>
    <tableColumn id="16032" xr3:uid="{20C3E21E-A0E5-4A27-AE3F-515E61414AA3}" name="Column16001"/>
    <tableColumn id="16033" xr3:uid="{0FCB6238-BCFF-48D8-B87F-4F42C2601C2E}" name="Column16002"/>
    <tableColumn id="16034" xr3:uid="{81E16064-6BE4-44E8-B352-7D7F46EF4C32}" name="Column16003"/>
    <tableColumn id="16035" xr3:uid="{EC527737-F272-406B-A759-68C940072CDE}" name="Column16004"/>
    <tableColumn id="16036" xr3:uid="{8C579673-8354-4014-A707-0E58CC795573}" name="Column16005"/>
    <tableColumn id="16037" xr3:uid="{C50EA644-D438-497A-86C4-89449B95D6D9}" name="Column16006"/>
    <tableColumn id="16038" xr3:uid="{624D8FE7-7D01-40D6-B481-4E35BF079027}" name="Column16007"/>
    <tableColumn id="16039" xr3:uid="{8B1D452B-8933-4A3E-A2C3-FD8B59AB3DE3}" name="Column16008"/>
    <tableColumn id="16040" xr3:uid="{748DFE59-7451-48B7-A393-F0555243CB9F}" name="Column16009"/>
    <tableColumn id="16041" xr3:uid="{C4FF04C2-C2B8-4983-81B7-79D0DA1A40A4}" name="Column16010"/>
    <tableColumn id="16042" xr3:uid="{C7734576-C13E-4A81-B442-D11A7ADCE974}" name="Column16011"/>
    <tableColumn id="16043" xr3:uid="{6451C11F-4DD6-4716-8CDB-CF082C7217CE}" name="Column16012"/>
    <tableColumn id="16044" xr3:uid="{666B678B-511C-4BDC-ACC0-37AC3ACA63F6}" name="Column16013"/>
    <tableColumn id="16045" xr3:uid="{628A1629-D495-480F-8DCA-56C1A5F57CBF}" name="Column16014"/>
    <tableColumn id="16046" xr3:uid="{00C97AD0-0075-411E-B5F6-6858C3C65D0E}" name="Column16015"/>
    <tableColumn id="16047" xr3:uid="{672E08BB-562E-4D14-BEE0-0A3665CCDA3A}" name="Column16016"/>
    <tableColumn id="16048" xr3:uid="{58CC3D34-97DD-4D87-876C-1594AE6DC3CF}" name="Column16017"/>
    <tableColumn id="16049" xr3:uid="{BE496ACE-2603-44C2-8F26-3AA5FD5E14EC}" name="Column16018"/>
    <tableColumn id="16050" xr3:uid="{DA898AC1-BF45-4FAB-8F4C-168A1185E966}" name="Column16019"/>
    <tableColumn id="16051" xr3:uid="{1E1A2B72-BA17-499B-93EE-AF71ABE9F84B}" name="Column16020"/>
    <tableColumn id="16052" xr3:uid="{1C5D04B4-0D08-4F4E-9C20-F4CB9AB94D75}" name="Column16021"/>
    <tableColumn id="16053" xr3:uid="{0CA736C9-7822-4427-BEC2-2BCD56796985}" name="Column16022"/>
    <tableColumn id="16054" xr3:uid="{E048DAC6-8D74-4C25-8624-4B5BBAC45420}" name="Column16023"/>
    <tableColumn id="16055" xr3:uid="{42E7EED4-EAD2-4A09-AE5D-03D6ABAF811C}" name="Column16024"/>
    <tableColumn id="16056" xr3:uid="{97F468E7-F7B7-4EF9-B5FB-0B0A770067F3}" name="Column16025"/>
    <tableColumn id="16057" xr3:uid="{D7198976-8799-4BF9-AA7A-ABE8420791F8}" name="Column16026"/>
    <tableColumn id="16058" xr3:uid="{755B6269-BD50-4E77-A105-AF31A5D3D91B}" name="Column16027"/>
    <tableColumn id="16059" xr3:uid="{C90D9DEF-F394-43E9-ACA4-8B978B2F9667}" name="Column16028"/>
    <tableColumn id="16060" xr3:uid="{68F60D0E-6DB8-4ED9-9E6F-6E10C917C682}" name="Column16029"/>
    <tableColumn id="16061" xr3:uid="{B9958D17-A355-4059-82B4-02EB923D5809}" name="Column16030"/>
    <tableColumn id="16062" xr3:uid="{3E59E3D1-5A0A-459A-945F-9F2EA8971B19}" name="Column16031"/>
    <tableColumn id="16063" xr3:uid="{C020C867-4AA0-4EFA-8371-F9F1F78961AF}" name="Column16032"/>
    <tableColumn id="16064" xr3:uid="{B46B4265-9B18-473B-BA96-D738C9842CDA}" name="Column16033"/>
    <tableColumn id="16065" xr3:uid="{43486AB6-37E3-4BF2-81D1-65EB7C36F171}" name="Column16034"/>
    <tableColumn id="16066" xr3:uid="{B66E78ED-5FC5-49CE-8CC2-4A16CF2C2433}" name="Column16035"/>
    <tableColumn id="16067" xr3:uid="{F397FDDC-828B-4350-B2F3-01D44352D3EA}" name="Column16036"/>
    <tableColumn id="16068" xr3:uid="{39F83DD5-91E5-4B66-856F-AB030301E75B}" name="Column16037"/>
    <tableColumn id="16069" xr3:uid="{4714CDF5-FD9E-4536-BE4D-9AB84F474166}" name="Column16038"/>
    <tableColumn id="16070" xr3:uid="{A185F641-91E8-4094-81AC-DF4616ED0FE6}" name="Column16039"/>
    <tableColumn id="16071" xr3:uid="{3990F928-B43A-4044-9229-90D80E039F7A}" name="Column16040"/>
    <tableColumn id="16072" xr3:uid="{07B2E88A-DD82-4714-A65A-3AB88EC70165}" name="Column16041"/>
    <tableColumn id="16073" xr3:uid="{556F6051-EB3B-4AD9-BA9E-572E666E6D11}" name="Column16042"/>
    <tableColumn id="16074" xr3:uid="{5971BB5F-3519-47A3-91E3-EEF6771CE320}" name="Column16043"/>
    <tableColumn id="16075" xr3:uid="{7BF1EC3C-4749-48E7-8854-88BA7E0B1EBC}" name="Column16044"/>
    <tableColumn id="16076" xr3:uid="{E3D20F08-425D-483E-A8A0-391B3DA0953C}" name="Column16045"/>
    <tableColumn id="16077" xr3:uid="{408E841C-6CB9-434A-8604-1665C435AB48}" name="Column16046"/>
    <tableColumn id="16078" xr3:uid="{F0BF0DB1-B6C6-46E2-A126-BCBA1304E02D}" name="Column16047"/>
    <tableColumn id="16079" xr3:uid="{46D0F6E2-5248-4079-9F11-38F9F3CB63EA}" name="Column16048"/>
    <tableColumn id="16080" xr3:uid="{8131A47D-6EA7-4418-93BA-72AE9E0ABBFF}" name="Column16049"/>
    <tableColumn id="16081" xr3:uid="{5A5DBAFD-4171-43D7-9609-52FF913D3F91}" name="Column16050"/>
    <tableColumn id="16082" xr3:uid="{E985CB7B-2516-4198-ADDE-52ECE6FB8462}" name="Column16051"/>
    <tableColumn id="16083" xr3:uid="{C9ADAFDD-D6D8-4D18-B1A1-B1F819AD620E}" name="Column16052"/>
    <tableColumn id="16084" xr3:uid="{0C71DD04-D6A8-4E30-982F-16DA9D7ACD3C}" name="Column16053"/>
    <tableColumn id="16085" xr3:uid="{594A1500-ED79-401D-AD79-D669F5DA87F3}" name="Column16054"/>
    <tableColumn id="16086" xr3:uid="{F3A34C60-6704-4658-BB7F-6AC1D549F365}" name="Column16055"/>
    <tableColumn id="16087" xr3:uid="{C8B7D43D-2ABD-48C6-89C8-DD496C416F1E}" name="Column16056"/>
    <tableColumn id="16088" xr3:uid="{F26A152C-DDCF-4289-936C-3FC57FE5B30D}" name="Column16057"/>
    <tableColumn id="16089" xr3:uid="{6C6451A1-E62D-4311-855E-D617B424FC5B}" name="Column16058"/>
    <tableColumn id="16090" xr3:uid="{FC7DDCC9-F11D-478E-8749-D88A0B096B99}" name="Column16059"/>
    <tableColumn id="16091" xr3:uid="{E2602D4F-F10A-437C-80C8-2DFFB9CF204D}" name="Column16060"/>
    <tableColumn id="16092" xr3:uid="{57972EC2-FED1-4127-95D9-6FBBBAFB1B25}" name="Column16061"/>
    <tableColumn id="16093" xr3:uid="{7324B533-2B09-465B-B77B-210C55C9EDA9}" name="Column16062"/>
    <tableColumn id="16094" xr3:uid="{C476FDC4-9A87-4EBC-97EF-D77A4B17067F}" name="Column16063"/>
    <tableColumn id="16095" xr3:uid="{0529D148-A042-49CF-A26E-520023B92CC7}" name="Column16064"/>
    <tableColumn id="16096" xr3:uid="{6D2742D8-7FF6-44C3-8B87-240D65314387}" name="Column16065"/>
    <tableColumn id="16097" xr3:uid="{201684DA-85BE-42AC-81B7-A28EE5801C7B}" name="Column16066"/>
    <tableColumn id="16098" xr3:uid="{B14EB1D9-AE47-4C05-90BF-8655AE3F5666}" name="Column16067"/>
    <tableColumn id="16099" xr3:uid="{AD5927D9-5477-437B-BC8F-F4A70FAC6027}" name="Column16068"/>
    <tableColumn id="16100" xr3:uid="{4C1920E3-C284-4FB6-97BD-71716B8C7512}" name="Column16069"/>
    <tableColumn id="16101" xr3:uid="{F382F150-117E-4F67-BB35-71A2BF7C4007}" name="Column16070"/>
    <tableColumn id="16102" xr3:uid="{E4367D0E-20B1-4203-82E7-8BC4DAB027A3}" name="Column16071"/>
    <tableColumn id="16103" xr3:uid="{E1E0AE5F-35B9-4862-93D5-253386176FED}" name="Column16072"/>
    <tableColumn id="16104" xr3:uid="{FE36FAF6-9352-49BD-9E69-E3C2C09658AF}" name="Column16073"/>
    <tableColumn id="16105" xr3:uid="{3F79E0F0-E8CA-4662-9455-479E583963C9}" name="Column16074"/>
    <tableColumn id="16106" xr3:uid="{F890BAD0-EB0E-4F80-A314-4F6F029A21EF}" name="Column16075"/>
    <tableColumn id="16107" xr3:uid="{0830FE2D-E63F-4399-ABE7-C1B401779E46}" name="Column16076"/>
    <tableColumn id="16108" xr3:uid="{5F87D132-D712-401B-8156-C8CD1137E85F}" name="Column16077"/>
    <tableColumn id="16109" xr3:uid="{60811914-91B2-41BB-AF2F-75F644774E24}" name="Column16078"/>
    <tableColumn id="16110" xr3:uid="{02FB1B43-2E3C-434D-86A4-1027972B8DE0}" name="Column16079"/>
    <tableColumn id="16111" xr3:uid="{D62CA6CC-887D-4FDB-B95D-14CA3B5049E4}" name="Column16080"/>
    <tableColumn id="16112" xr3:uid="{AF7922EF-C194-4F19-AA47-3FF26A64FA72}" name="Column16081"/>
    <tableColumn id="16113" xr3:uid="{01CA080D-B483-4529-9458-3438D1584C5C}" name="Column16082"/>
    <tableColumn id="16114" xr3:uid="{0EC7AD61-B491-4CE8-94A7-0E13FE6F31BB}" name="Column16083"/>
    <tableColumn id="16115" xr3:uid="{9442F06A-AB7B-4620-B68A-55945CF2794E}" name="Column16084"/>
    <tableColumn id="16116" xr3:uid="{24A748B5-F2DC-4200-BA83-420FD561E895}" name="Column16085"/>
    <tableColumn id="16117" xr3:uid="{E0B587E1-CA4F-4D8B-BA97-E1E784634BE7}" name="Column16086"/>
    <tableColumn id="16118" xr3:uid="{108BE3E9-2FDF-4736-A2EF-903261FF96B1}" name="Column16087"/>
    <tableColumn id="16119" xr3:uid="{A914FE9A-35AE-4FB9-98BF-0305F9D7B062}" name="Column16088"/>
    <tableColumn id="16120" xr3:uid="{6950BCD6-3906-4344-9055-5ED357F39394}" name="Column16089"/>
    <tableColumn id="16121" xr3:uid="{995B593D-A9D5-4B28-B653-18A1B057939D}" name="Column16090"/>
    <tableColumn id="16122" xr3:uid="{09E657B3-3A11-4B05-A0AC-E025E819D736}" name="Column16091"/>
    <tableColumn id="16123" xr3:uid="{4D949923-940C-43C4-8BFB-DF7E0E26FEC8}" name="Column16092"/>
    <tableColumn id="16124" xr3:uid="{AA434911-83F7-4166-A9A8-B384AEC9F93C}" name="Column16093"/>
    <tableColumn id="16125" xr3:uid="{6716BA1B-C975-4065-8153-836FCFFC791F}" name="Column16094"/>
    <tableColumn id="16126" xr3:uid="{FA7FA81B-9B11-471E-ACE7-079EF5BE11CA}" name="Column16095"/>
    <tableColumn id="16127" xr3:uid="{2CD3D4F3-7FC5-4E1E-86E0-7B036CA97374}" name="Column16096"/>
    <tableColumn id="16128" xr3:uid="{ACB45514-24C4-45EE-A410-AB53D889D84E}" name="Column16097"/>
    <tableColumn id="16129" xr3:uid="{4BD3F901-95AB-47D6-9AD6-67B1ACE97565}" name="Column16098"/>
    <tableColumn id="16130" xr3:uid="{B94262AF-F98C-4C40-A878-318A9C64016C}" name="Column16099"/>
    <tableColumn id="16131" xr3:uid="{75AAE083-FB2A-42EB-878A-6ABE6561E068}" name="Column16100"/>
    <tableColumn id="16132" xr3:uid="{6015E498-1536-4456-9BCF-7E3736FA5C13}" name="Column16101"/>
    <tableColumn id="16133" xr3:uid="{8ED28DF3-1B2C-42BF-9849-32D3AE20F7E7}" name="Column16102"/>
    <tableColumn id="16134" xr3:uid="{C55CDE59-086E-4414-BBFA-5C6AE28AAECD}" name="Column16103"/>
    <tableColumn id="16135" xr3:uid="{832BE261-4122-4F5D-B54C-6A29C08C2D4D}" name="Column16104"/>
    <tableColumn id="16136" xr3:uid="{AF84242B-6C2E-4DF1-90D2-BA39D4E14511}" name="Column16105"/>
    <tableColumn id="16137" xr3:uid="{40615893-5C59-4C31-8C96-F56BE40DA75D}" name="Column16106"/>
    <tableColumn id="16138" xr3:uid="{91AE375B-B7DA-4BD2-8BDB-D3B814EE2702}" name="Column16107"/>
    <tableColumn id="16139" xr3:uid="{87137EFE-FB19-4A26-9C33-833E8FCBB28A}" name="Column16108"/>
    <tableColumn id="16140" xr3:uid="{FFF40383-9C97-4184-9A65-D4E1D403F2B6}" name="Column16109"/>
    <tableColumn id="16141" xr3:uid="{50EF1E2A-F1AE-44A3-A22B-D83F0FEF7DB4}" name="Column16110"/>
    <tableColumn id="16142" xr3:uid="{B83F3B5C-3DB4-495D-B9E8-BB3B10B65351}" name="Column16111"/>
    <tableColumn id="16143" xr3:uid="{A3DD947F-364A-48EE-8ACE-6FC7E38737E5}" name="Column16112"/>
    <tableColumn id="16144" xr3:uid="{CC951108-EC1C-4440-A77C-E413A38384A2}" name="Column16113"/>
    <tableColumn id="16145" xr3:uid="{1B4D9EDA-6D57-47EA-86EF-A53F55FBC2F3}" name="Column16114"/>
    <tableColumn id="16146" xr3:uid="{ACC08BCF-2657-4F48-A6EC-987E0BFDB9C8}" name="Column16115"/>
    <tableColumn id="16147" xr3:uid="{5063E65E-80E9-4535-9E7E-8E6E5C5F779B}" name="Column16116"/>
    <tableColumn id="16148" xr3:uid="{5479D98C-5368-4B25-B13A-65A8BB60B2E6}" name="Column16117"/>
    <tableColumn id="16149" xr3:uid="{80B06BEF-7335-4D1D-845C-4FDD41611ECA}" name="Column16118"/>
    <tableColumn id="16150" xr3:uid="{4B4709D5-08B1-4134-A2F1-D4EE6112C1F6}" name="Column16119"/>
    <tableColumn id="16151" xr3:uid="{8EA91F20-4E0F-4229-8C58-3205D1A1639F}" name="Column16120"/>
    <tableColumn id="16152" xr3:uid="{D4E93D78-5FAE-4E38-B9CD-AF26E652EEE1}" name="Column16121"/>
    <tableColumn id="16153" xr3:uid="{99CE05C0-D088-4363-8E98-D43435D50C99}" name="Column16122"/>
    <tableColumn id="16154" xr3:uid="{9B62CFB0-C474-4373-AEE2-9C730D84CBAD}" name="Column16123"/>
    <tableColumn id="16155" xr3:uid="{F56E7795-71EF-48B8-9440-984348BDBF1B}" name="Column16124"/>
    <tableColumn id="16156" xr3:uid="{7D61797F-8367-4852-8174-D477E613B81E}" name="Column16125"/>
    <tableColumn id="16157" xr3:uid="{7F314172-67BE-4243-809B-CF947CDD69E4}" name="Column16126"/>
    <tableColumn id="16158" xr3:uid="{B6EB2A22-F5CD-420A-90DC-8DE1B5B86818}" name="Column16127"/>
    <tableColumn id="16159" xr3:uid="{E4D63E60-B0DD-4984-AD6D-B0273DD2C131}" name="Column16128"/>
    <tableColumn id="16160" xr3:uid="{6720DF6B-90E9-41E6-A51E-4D046C0E260E}" name="Column16129"/>
    <tableColumn id="16161" xr3:uid="{28633F98-841B-4948-9691-04A9CC4033A8}" name="Column16130"/>
    <tableColumn id="16162" xr3:uid="{06C6A9F9-44CB-4BC5-A5E0-F4013863621D}" name="Column16131"/>
    <tableColumn id="16163" xr3:uid="{73D020E0-82B1-4534-9041-6AFFCCA4B04E}" name="Column16132"/>
    <tableColumn id="16164" xr3:uid="{73000DF8-5F0C-45B9-A131-5DCC3378ECA2}" name="Column16133"/>
    <tableColumn id="16165" xr3:uid="{FFC547D9-2F13-4D05-9CCA-A129CEDF9372}" name="Column16134"/>
    <tableColumn id="16166" xr3:uid="{6A047A90-2654-482D-9E0B-84E869622840}" name="Column16135"/>
    <tableColumn id="16167" xr3:uid="{AC075B52-3E6A-4FA0-B73B-D892038D49A6}" name="Column16136"/>
    <tableColumn id="16168" xr3:uid="{FA3CA164-23FA-4A82-92F1-D4639D1B1B73}" name="Column16137"/>
    <tableColumn id="16169" xr3:uid="{6E925146-9B88-4D49-BB28-C0390304ADF3}" name="Column16138"/>
    <tableColumn id="16170" xr3:uid="{E279EC29-2ABF-4505-AC15-AF3D0C2E755E}" name="Column16139"/>
    <tableColumn id="16171" xr3:uid="{B6B319E7-B4D0-40EE-A13B-1BC9AB780B87}" name="Column16140"/>
    <tableColumn id="16172" xr3:uid="{D8647E37-E380-49C5-8355-962F0B0121CC}" name="Column16141"/>
    <tableColumn id="16173" xr3:uid="{1AB97CCD-7757-494B-9E56-5979CAFAA8C4}" name="Column16142"/>
    <tableColumn id="16174" xr3:uid="{6A691E1B-C720-4317-B644-F9EF429ACF80}" name="Column16143"/>
    <tableColumn id="16175" xr3:uid="{F5821979-F049-4BE8-9D0E-DAB802803930}" name="Column16144"/>
    <tableColumn id="16176" xr3:uid="{CE03B797-8141-42E5-AFF3-11EE151FCA6E}" name="Column16145"/>
    <tableColumn id="16177" xr3:uid="{AAB56C57-5720-48F8-A81B-A2069ED2DC43}" name="Column16146"/>
    <tableColumn id="16178" xr3:uid="{6DA0B1C3-443B-477D-A18F-D1D95BC03EF9}" name="Column16147"/>
    <tableColumn id="16179" xr3:uid="{2CD593FB-36D7-42D9-BB48-41194AE66EFC}" name="Column16148"/>
    <tableColumn id="16180" xr3:uid="{9E78E7C1-D833-4DF2-9AC3-777E19964291}" name="Column16149"/>
    <tableColumn id="16181" xr3:uid="{4EB92E6D-1417-4C6F-99DB-DF4E7A6DC6AF}" name="Column16150"/>
    <tableColumn id="16182" xr3:uid="{07202351-9AF1-4B7D-A987-1B72BD0D1595}" name="Column16151"/>
    <tableColumn id="16183" xr3:uid="{2BC9A901-4249-4150-9813-7D497BEA8772}" name="Column16152"/>
    <tableColumn id="16184" xr3:uid="{95FD7AF1-B883-4EE1-9D57-90F53AE9EF14}" name="Column16153"/>
    <tableColumn id="16185" xr3:uid="{91983216-0504-4189-8C51-27FC6E235594}" name="Column16154"/>
    <tableColumn id="16186" xr3:uid="{BCF8995E-F48B-4D61-B219-2466E93A9215}" name="Column16155"/>
    <tableColumn id="16187" xr3:uid="{8697470D-DC18-4FF3-AD01-8D120ECD4D5F}" name="Column16156"/>
    <tableColumn id="16188" xr3:uid="{FA4AE764-48F7-4FEC-A452-DA5087826D49}" name="Column16157"/>
    <tableColumn id="16189" xr3:uid="{A88AA593-FC1F-47BE-AEA1-C2FBF1A3C3CF}" name="Column16158"/>
    <tableColumn id="16190" xr3:uid="{14A3A178-1324-4599-9EF4-CE6CF9B37ECC}" name="Column16159"/>
    <tableColumn id="16191" xr3:uid="{8D53B5C8-F805-47B2-94D7-A0C321803C7A}" name="Column16160"/>
    <tableColumn id="16192" xr3:uid="{A68D3F7C-3EAC-412F-87C4-F912809095D4}" name="Column16161"/>
    <tableColumn id="16193" xr3:uid="{11F4364E-782C-40EE-A7A3-DCF9C677C776}" name="Column16162"/>
    <tableColumn id="16194" xr3:uid="{93BC5AD7-F15D-4B5A-8D9D-AD71E36A774C}" name="Column16163"/>
    <tableColumn id="16195" xr3:uid="{856BB8F6-E12D-47E4-939F-C6D837FFA678}" name="Column16164"/>
    <tableColumn id="16196" xr3:uid="{65E3D831-C08B-4299-B150-6E95A03F781F}" name="Column16165"/>
    <tableColumn id="16197" xr3:uid="{A6D4D42B-5B5E-4274-B040-13035420872A}" name="Column16166"/>
    <tableColumn id="16198" xr3:uid="{AF72B299-713A-45C0-9C3E-EABA8187E5FF}" name="Column16167"/>
    <tableColumn id="16199" xr3:uid="{B7F02C1A-3B31-4AC9-88AE-16454887B598}" name="Column16168"/>
    <tableColumn id="16200" xr3:uid="{39E8F0CD-2534-4E73-AECE-85DEF09D8D6F}" name="Column16169"/>
    <tableColumn id="16201" xr3:uid="{C332EEAE-0020-4497-90EA-6E119AA88450}" name="Column16170"/>
    <tableColumn id="16202" xr3:uid="{72C4DD4C-F881-4ADF-ADEF-E2DA1DBD478F}" name="Column16171"/>
    <tableColumn id="16203" xr3:uid="{78BCC41B-4E57-4D91-8C66-F85265A1701C}" name="Column16172"/>
    <tableColumn id="16204" xr3:uid="{C605AB41-24F1-4203-AE03-20469639419F}" name="Column16173"/>
    <tableColumn id="16205" xr3:uid="{E19FE870-DC0E-48FA-A4A2-AA2B78F0C77A}" name="Column16174"/>
    <tableColumn id="16206" xr3:uid="{36EB5EBC-79FE-472F-BF5A-3936332042BE}" name="Column16175"/>
    <tableColumn id="16207" xr3:uid="{8B370B3D-CEC5-4E34-AE01-E6227051868D}" name="Column16176"/>
    <tableColumn id="16208" xr3:uid="{B8BD1F3F-8B71-4BAD-BFAE-27CD07529FA6}" name="Column16177"/>
    <tableColumn id="16209" xr3:uid="{EAABF1F9-A4E1-4605-BAB1-2589535F8CF7}" name="Column16178"/>
    <tableColumn id="16210" xr3:uid="{03F102F2-9F37-4CE4-9ACC-F2C3A1EBC0D5}" name="Column16179"/>
    <tableColumn id="16211" xr3:uid="{8D5C630C-7903-40DC-BC27-71A6FC07385C}" name="Column16180"/>
    <tableColumn id="16212" xr3:uid="{6B865949-0F00-4957-8F6E-5470E3D4F849}" name="Column16181"/>
    <tableColumn id="16213" xr3:uid="{12FFDB32-4E56-43D2-85A4-4C6396E96D0D}" name="Column16182"/>
    <tableColumn id="16214" xr3:uid="{BF0D79F2-583E-4BCA-9D86-07DD33C5303F}" name="Column16183"/>
    <tableColumn id="16215" xr3:uid="{FE8E48CE-9A98-4B52-8C1E-CD50E14FE180}" name="Column16184"/>
    <tableColumn id="16216" xr3:uid="{9D2E9BDA-395D-4A71-9FBE-F924D41995CB}" name="Column16185"/>
    <tableColumn id="16217" xr3:uid="{28C4BB69-8ABF-4B1D-869E-80DD96C4C994}" name="Column16186"/>
    <tableColumn id="16218" xr3:uid="{971B3D41-9048-47B9-91B3-6351261BD7F3}" name="Column16187"/>
    <tableColumn id="16219" xr3:uid="{53698983-0500-4DCB-8E1F-18A9DB900AA2}" name="Column16188"/>
    <tableColumn id="16220" xr3:uid="{343CB8CC-836C-47AB-A971-0856FA6BC86A}" name="Column16189"/>
    <tableColumn id="16221" xr3:uid="{81198431-CBB3-4370-9BFC-F38889CA407A}" name="Column16190"/>
    <tableColumn id="16222" xr3:uid="{7FF71965-7EB2-4718-BCEE-6FDD9F409C9F}" name="Column16191"/>
    <tableColumn id="16223" xr3:uid="{53859FB4-1921-4D97-90A8-9E6F90ED96C3}" name="Column16192"/>
    <tableColumn id="16224" xr3:uid="{AACC8960-0A76-44DF-B587-97FCBCD9E3F2}" name="Column16193"/>
    <tableColumn id="16225" xr3:uid="{D814419E-247F-48E7-9C0E-D64ED340977D}" name="Column16194"/>
    <tableColumn id="16226" xr3:uid="{8FA0B9C3-B5B9-40E1-997F-489F5066EA1E}" name="Column16195"/>
    <tableColumn id="16227" xr3:uid="{55452FA0-BA42-4D89-B7B8-65E36EDE3C05}" name="Column16196"/>
    <tableColumn id="16228" xr3:uid="{51C3B7E3-767B-4A16-BBC1-315AB4B368FF}" name="Column16197"/>
    <tableColumn id="16229" xr3:uid="{0C9CF479-3F96-4BF4-A085-A93E7C67C677}" name="Column16198"/>
    <tableColumn id="16230" xr3:uid="{6D171011-48FB-49CA-A66E-F246122998F5}" name="Column16199"/>
    <tableColumn id="16231" xr3:uid="{07DE576C-84D2-4FB2-8D62-7F99C5844355}" name="Column16200"/>
    <tableColumn id="16232" xr3:uid="{78B9579B-F38D-4EAB-A654-807E6397C5ED}" name="Column16201"/>
    <tableColumn id="16233" xr3:uid="{29D10351-E858-4EF7-AB83-E5B9BEC7E65B}" name="Column16202"/>
    <tableColumn id="16234" xr3:uid="{EA793D9B-8B33-48FD-A4B4-226F63D5D508}" name="Column16203"/>
    <tableColumn id="16235" xr3:uid="{FCCB5EB8-07D3-4E5B-B344-7B79A3FB79DA}" name="Column16204"/>
    <tableColumn id="16236" xr3:uid="{04BE45EC-1C6A-4641-B9A8-8A1ABA78A1AB}" name="Column16205"/>
    <tableColumn id="16237" xr3:uid="{0CC02119-B6C0-4E48-92C4-B64F51876D78}" name="Column16206"/>
    <tableColumn id="16238" xr3:uid="{8EE73276-CF05-4AD5-A696-6CCCB817516C}" name="Column16207"/>
    <tableColumn id="16239" xr3:uid="{13C1B154-A50D-4952-8DCA-7CAF7F83A64D}" name="Column16208"/>
    <tableColumn id="16240" xr3:uid="{CF08DC7A-5187-4853-AC42-26712B0C4FCA}" name="Column16209"/>
    <tableColumn id="16241" xr3:uid="{357C66BE-AFD7-41E1-B8D4-033DBA2DFCCB}" name="Column16210"/>
    <tableColumn id="16242" xr3:uid="{A53E20BC-D915-4A8C-92EA-5CE7F5ED56D6}" name="Column16211"/>
    <tableColumn id="16243" xr3:uid="{46003A7A-2CAB-4F9A-A96E-4D3317FB1B1E}" name="Column16212"/>
    <tableColumn id="16244" xr3:uid="{96F4DB7C-422B-45C5-8796-71FC9DBCACED}" name="Column16213"/>
    <tableColumn id="16245" xr3:uid="{6E92A687-037C-423C-99E2-014503FE67E2}" name="Column16214"/>
    <tableColumn id="16246" xr3:uid="{6053388A-349E-4009-9013-95963404E237}" name="Column16215"/>
    <tableColumn id="16247" xr3:uid="{2AB0FA54-97E9-4A8D-BC92-407848A86E6B}" name="Column16216"/>
    <tableColumn id="16248" xr3:uid="{05BADA19-4EE3-462D-9C3B-F7A3ED01DA98}" name="Column16217"/>
    <tableColumn id="16249" xr3:uid="{BDBC3C60-B236-42CF-ABA2-E1A26327604F}" name="Column16218"/>
    <tableColumn id="16250" xr3:uid="{4A1E08D9-E332-4B96-9AF8-7D6286429BB0}" name="Column16219"/>
    <tableColumn id="16251" xr3:uid="{91509436-06C6-4D93-BD59-53B3513D914C}" name="Column16220"/>
    <tableColumn id="16252" xr3:uid="{EE84BBFE-9938-4291-AF1E-A305A8D07A0B}" name="Column16221"/>
    <tableColumn id="16253" xr3:uid="{DFA11FCA-A0C9-486A-A8E3-B427C93ADEAE}" name="Column16222"/>
    <tableColumn id="16254" xr3:uid="{6485E398-0978-48C8-A2B8-B0CE613FDFA9}" name="Column16223"/>
    <tableColumn id="16255" xr3:uid="{237850EF-1144-4112-B59C-3F9BC1CFB2BE}" name="Column16224"/>
    <tableColumn id="16256" xr3:uid="{3F43ED78-6667-47A6-8175-158977B49474}" name="Column16225"/>
    <tableColumn id="16257" xr3:uid="{2A7FB7D1-6E73-44E5-BB5E-5DE738B9339B}" name="Column16226"/>
    <tableColumn id="16258" xr3:uid="{2D42A1AC-0AEF-4E6B-971C-C488F377BB07}" name="Column16227"/>
    <tableColumn id="16259" xr3:uid="{F2AEE2D6-B1C2-44DB-B065-F0B85F7C1B8E}" name="Column16228"/>
    <tableColumn id="16260" xr3:uid="{22FDEB61-8FB7-44A9-997E-3F0F7AB48D82}" name="Column16229"/>
    <tableColumn id="16261" xr3:uid="{93AD5D7C-1B73-434D-BD74-283EE0F2D12A}" name="Column16230"/>
    <tableColumn id="16262" xr3:uid="{B3C3ED84-E294-4B55-8FDA-E4B834F30DA5}" name="Column16231"/>
    <tableColumn id="16263" xr3:uid="{33355141-A517-4AB8-BDF2-47E090B5FA91}" name="Column16232"/>
    <tableColumn id="16264" xr3:uid="{B1411AAE-0A17-451A-B8A9-090EE19D5978}" name="Column16233"/>
    <tableColumn id="16265" xr3:uid="{ABD36B27-4AC5-4D28-A3E4-9D51A9DCB2DA}" name="Column16234"/>
    <tableColumn id="16266" xr3:uid="{77362AE1-9DB9-4801-B43A-B130348C2CB4}" name="Column16235"/>
    <tableColumn id="16267" xr3:uid="{4A4547FD-1AC0-4195-9444-E6178DF1E2B7}" name="Column16236"/>
    <tableColumn id="16268" xr3:uid="{1F97E21F-40F1-4487-9D45-78AF9CCA731E}" name="Column16237"/>
    <tableColumn id="16269" xr3:uid="{985AFD1E-2796-422B-AD01-8B0C21E7C10B}" name="Column16238"/>
    <tableColumn id="16270" xr3:uid="{1AFF846C-2A49-4D87-8F7D-D5B1135A1436}" name="Column16239"/>
    <tableColumn id="16271" xr3:uid="{9A95C9F2-A926-4D02-AC67-D15E1E996533}" name="Column16240"/>
    <tableColumn id="16272" xr3:uid="{C3AFD806-A758-404B-B254-B9F6F23C6AD8}" name="Column16241"/>
    <tableColumn id="16273" xr3:uid="{09A82E22-7AF7-469D-9B2D-B3A1DF0F3231}" name="Column16242"/>
    <tableColumn id="16274" xr3:uid="{3AB99F07-25AC-40E4-A55F-3553181EC25D}" name="Column16243"/>
    <tableColumn id="16275" xr3:uid="{6F71A58D-AB4B-4946-9A5E-DEE8132D376B}" name="Column16244"/>
    <tableColumn id="16276" xr3:uid="{A2C31514-C472-4B5A-8E08-62E3AEDE739C}" name="Column16245"/>
    <tableColumn id="16277" xr3:uid="{438CDC13-B331-473A-AAE3-C8720B264C83}" name="Column16246"/>
    <tableColumn id="16278" xr3:uid="{DB532E6C-2A4A-40FB-B203-298C0D110D31}" name="Column16247"/>
    <tableColumn id="16279" xr3:uid="{550968C5-4BBA-4670-B436-6990CA397E73}" name="Column16248"/>
    <tableColumn id="16280" xr3:uid="{B07C6DD1-F3DC-4050-85A2-92AE8135FE1E}" name="Column16249"/>
    <tableColumn id="16281" xr3:uid="{8CD41CD3-1AF2-423D-AFC8-C59C9D1B9DA3}" name="Column16250"/>
    <tableColumn id="16282" xr3:uid="{FC8E9301-BD3E-4CA3-B31F-347BE4A9D7E9}" name="Column16251"/>
    <tableColumn id="16283" xr3:uid="{86E82DBF-2390-463A-BE1F-C356D76D7E1A}" name="Column16252"/>
    <tableColumn id="16284" xr3:uid="{C6528683-93B3-4771-94FA-716FCDEA9F1D}" name="Column16253"/>
    <tableColumn id="16285" xr3:uid="{9FA85A1B-6517-4BE1-869A-AF1B0495009A}" name="Column16254"/>
    <tableColumn id="16286" xr3:uid="{EEA9C992-03C5-42A0-A2D1-C8D350932186}" name="Column16255"/>
    <tableColumn id="16287" xr3:uid="{A5EA3BDD-7763-425E-9A9E-7B92F9126E81}" name="Column16256"/>
    <tableColumn id="16288" xr3:uid="{71E2942D-3846-41FD-8FAD-9E8BCC703F92}" name="Column16257"/>
    <tableColumn id="16289" xr3:uid="{D8EB0FEE-E9AC-44EF-A775-421FBDC4B21C}" name="Column16258"/>
    <tableColumn id="16290" xr3:uid="{E2D5CC10-B4F0-47A7-8028-2F3F506F2F67}" name="Column16259"/>
    <tableColumn id="16291" xr3:uid="{83CBD9E8-D82D-49CD-B124-A5026DA7A408}" name="Column16260"/>
    <tableColumn id="16292" xr3:uid="{D9164EC9-85DF-4A7B-A551-11C711134395}" name="Column16261"/>
    <tableColumn id="16293" xr3:uid="{747714C5-9ED3-4C58-BAC5-277E4219A866}" name="Column16262"/>
    <tableColumn id="16294" xr3:uid="{C2B1BAED-A479-4600-BD16-883BAB70EED2}" name="Column16263"/>
    <tableColumn id="16295" xr3:uid="{212D459F-81D6-4C52-91FA-00EF00E22C4D}" name="Column16264"/>
    <tableColumn id="16296" xr3:uid="{022A8CA6-A207-4CEB-B745-0B324861C2EB}" name="Column16265"/>
    <tableColumn id="16297" xr3:uid="{082C9AB4-3678-41FC-9485-C55DF7B7F10E}" name="Column16266"/>
    <tableColumn id="16298" xr3:uid="{489DAA14-72E1-40BD-8222-4EDF4A7EC363}" name="Column16267"/>
    <tableColumn id="16299" xr3:uid="{1D4E27E2-E5CF-4B4D-A9D2-9019E49073B9}" name="Column16268"/>
    <tableColumn id="16300" xr3:uid="{CB38D91A-6B74-4A4B-B449-E1CF481C56EA}" name="Column16269"/>
    <tableColumn id="16301" xr3:uid="{0A0DF18B-F160-4ED2-BBEB-D008E045A69A}" name="Column16270"/>
    <tableColumn id="16302" xr3:uid="{AF84EF79-26B0-4EA4-A4D0-E0DCA0E71004}" name="Column16271"/>
    <tableColumn id="16303" xr3:uid="{C60D8D36-9740-4BC9-9639-CFD91C8184A3}" name="Column16272"/>
    <tableColumn id="16304" xr3:uid="{A688743D-DC2B-4FEA-B767-38396AED4EB8}" name="Column16273"/>
    <tableColumn id="16305" xr3:uid="{D5A0CF5F-D188-4F06-89AE-F598C1E5CEAE}" name="Column16274"/>
    <tableColumn id="16306" xr3:uid="{2C7D08C1-C035-4CF2-B796-617BA81665DA}" name="Column16275"/>
    <tableColumn id="16307" xr3:uid="{93752257-E1D5-41CB-8956-72B7EFEC8031}" name="Column16276"/>
    <tableColumn id="16308" xr3:uid="{C1AB791D-FFE4-4B76-9EBF-369A5DEEDDF6}" name="Column16277"/>
    <tableColumn id="16309" xr3:uid="{67BDF374-07C6-4D1C-A342-A06BFF602793}" name="Column16278"/>
    <tableColumn id="16310" xr3:uid="{092DA63F-3DFB-4D8B-AD7C-BA696CC1D065}" name="Column16279"/>
    <tableColumn id="16311" xr3:uid="{10370CE3-A1FA-48BB-A47D-013DDFA19819}" name="Column16280"/>
    <tableColumn id="16312" xr3:uid="{8A28660A-8C50-45D6-B61C-A79958C20162}" name="Column16281"/>
    <tableColumn id="16313" xr3:uid="{38FDC71C-B3ED-4526-8916-D118787ADAB9}" name="Column16282"/>
    <tableColumn id="16314" xr3:uid="{C2FB124F-7BFD-4B0B-8EA5-15871D45BA99}" name="Column16283"/>
    <tableColumn id="16315" xr3:uid="{29402FC7-9F51-45E8-9058-D2E9EF71CEF0}" name="Column16284"/>
    <tableColumn id="16316" xr3:uid="{D1899FEE-B42D-48BC-A687-358E1A0C6DAB}" name="Column16285"/>
    <tableColumn id="16317" xr3:uid="{5BA0E5BC-8669-44D3-AECA-B225B5F433EF}" name="Column16286"/>
    <tableColumn id="16318" xr3:uid="{998D2447-46A2-4E6D-B980-4D979D538DE0}" name="Column16287"/>
    <tableColumn id="16319" xr3:uid="{9D4F0E68-68EA-48BC-878D-BEFDCFC0703B}" name="Column16288"/>
    <tableColumn id="16320" xr3:uid="{7326842E-0451-4B80-8BC2-9B7CEC5BFFED}" name="Column16289"/>
    <tableColumn id="16321" xr3:uid="{F6F3E88E-E148-4370-AE14-74D9355ED0A3}" name="Column16290"/>
    <tableColumn id="16322" xr3:uid="{ACC6F443-E8C0-4BF8-A316-247E2BBB2134}" name="Column16291"/>
    <tableColumn id="16323" xr3:uid="{513EC78A-3113-4179-A75B-BDCC3FD6D780}" name="Column16292"/>
    <tableColumn id="16324" xr3:uid="{CC1441CB-2C67-49E4-ADE1-6BD915244ED9}" name="Column16293"/>
    <tableColumn id="16325" xr3:uid="{9FC71B81-85BB-4F55-814E-7704C78AE247}" name="Column16294"/>
    <tableColumn id="16326" xr3:uid="{D417FFF5-FAA0-4B17-8849-2441176A1D72}" name="Column16295"/>
    <tableColumn id="16327" xr3:uid="{858163B6-964E-4428-908A-AECCD5D43894}" name="Column16296"/>
    <tableColumn id="16328" xr3:uid="{64FE7B84-B61D-4616-97C9-587A7FFC2B0F}" name="Column16297"/>
    <tableColumn id="16329" xr3:uid="{E8FA6522-8477-41F8-9F7D-F05AC17B354E}" name="Column16298"/>
    <tableColumn id="16330" xr3:uid="{F4EABF23-9247-49B6-8041-7149E7080E2F}" name="Column16299"/>
    <tableColumn id="16331" xr3:uid="{DA1CA1E9-00B0-4A1E-9D97-A9762757DB9F}" name="Column16300"/>
    <tableColumn id="16332" xr3:uid="{F3F71E24-A863-46FC-B512-B0A33D04E1C4}" name="Column16301"/>
    <tableColumn id="16333" xr3:uid="{FDBB5579-73D0-467F-92C4-EA331EDD11E2}" name="Column16302"/>
    <tableColumn id="16334" xr3:uid="{530F42CC-BB4C-4EEA-97FB-E5B83C19EB1B}" name="Column16303"/>
    <tableColumn id="16335" xr3:uid="{7052383D-1372-4268-A1B1-A078DA6D4FD9}" name="Column16304"/>
    <tableColumn id="16336" xr3:uid="{7A3DD13C-1824-438D-9B57-B207EEF29111}" name="Column16305"/>
    <tableColumn id="16337" xr3:uid="{783DF4FA-3279-4700-8876-35119919A721}" name="Column16306"/>
    <tableColumn id="16338" xr3:uid="{9B6667B4-2239-4B51-812E-7E52E9D28417}" name="Column16307"/>
    <tableColumn id="16339" xr3:uid="{477E3ED1-4F35-4CDD-B008-C3564C2F262F}" name="Column16308"/>
    <tableColumn id="16340" xr3:uid="{0108D344-20B7-4DF9-8364-34B30384578F}" name="Column16309"/>
    <tableColumn id="16341" xr3:uid="{0FC4D51A-4B20-4E5D-9346-1309C565A0EB}" name="Column16310"/>
    <tableColumn id="16342" xr3:uid="{CE1F1D40-375A-4966-ACF7-D64E07692F7A}" name="Column16311"/>
    <tableColumn id="16343" xr3:uid="{B4BBB5A5-1E60-486D-80D6-0BE49F50A556}" name="Column16312"/>
    <tableColumn id="16344" xr3:uid="{50E53D51-E384-4F9F-B32D-5644DA59B7CA}" name="Column16313"/>
    <tableColumn id="16345" xr3:uid="{766260A2-88EE-4C11-8F56-17C9B945E74D}" name="Column16314"/>
    <tableColumn id="16346" xr3:uid="{2F0653B7-FAFB-4498-B78F-59976C40C011}" name="Column16315"/>
    <tableColumn id="16347" xr3:uid="{36AC4801-D476-4B49-9FF8-1C2AE31E77EB}" name="Column16316"/>
    <tableColumn id="16348" xr3:uid="{E1A41EC4-6761-4A55-9C58-383CBAFF4941}" name="Column16317"/>
    <tableColumn id="16349" xr3:uid="{8B100184-BD77-491E-827F-F2D6D56F3EAF}" name="Column16318"/>
    <tableColumn id="16350" xr3:uid="{E7DCDB0C-C001-4C91-978E-5E52E7C7A94D}" name="Column16319"/>
    <tableColumn id="16351" xr3:uid="{B50EA6B1-1E78-4E21-B711-1806E49A3987}" name="Column16320"/>
    <tableColumn id="16352" xr3:uid="{A5E272C0-D762-4D87-90E1-2EE4EA5AC46E}" name="Column16321"/>
    <tableColumn id="16353" xr3:uid="{8FBC4C5B-8F31-427C-9585-51C9366090A2}" name="Column16322"/>
    <tableColumn id="16354" xr3:uid="{20CB0F30-201A-40C9-BFE3-C40D0BA01835}" name="Column16323"/>
    <tableColumn id="16355" xr3:uid="{6D605302-E331-4D50-A767-544CBB18DFD0}" name="Column16324"/>
    <tableColumn id="16356" xr3:uid="{9687124B-18B9-4069-B546-6B6708D020E7}" name="Column16325"/>
    <tableColumn id="16357" xr3:uid="{2073B5F8-0FF4-4DC0-ADD2-3223173353A6}" name="Column16326"/>
    <tableColumn id="16358" xr3:uid="{8741F3A1-3D55-4309-B2A7-5A9F4AD384B4}" name="Column16327"/>
    <tableColumn id="16359" xr3:uid="{7CFAFF22-16AE-4E02-A988-AE9DECD0DCA8}" name="Column16328"/>
    <tableColumn id="16360" xr3:uid="{544C43D6-AFF1-4665-A3E7-2615827C0028}" name="Column16329"/>
    <tableColumn id="16361" xr3:uid="{4EBBF186-332B-4A09-B198-9D9EC4B51A8D}" name="Column16330"/>
    <tableColumn id="16362" xr3:uid="{72851DFE-F67C-4ADF-A1AC-413758A29C1C}" name="Column16331"/>
    <tableColumn id="16363" xr3:uid="{DFCAC908-FA15-4C33-B3D0-66D6E1E5EFD7}" name="Column16332"/>
    <tableColumn id="16364" xr3:uid="{B91B9A5A-DE99-4242-86AC-6DDF4FB0783D}" name="Column16333"/>
    <tableColumn id="16365" xr3:uid="{A3C0C22C-46F4-482D-82F5-BDAC077862E1}" name="Column16334"/>
    <tableColumn id="16366" xr3:uid="{2A8A3807-D207-410B-BEBC-31F6F9DF8D66}" name="Column16335"/>
    <tableColumn id="16367" xr3:uid="{8DF8894B-0CA5-47E2-9593-0640FA3172DD}" name="Column16336"/>
    <tableColumn id="16368" xr3:uid="{2FC4F55E-D2C6-466D-8CEB-4F8CB93CF84B}" name="Column16337"/>
    <tableColumn id="16369" xr3:uid="{D66E33A0-A501-4EB7-B0C0-0ABA7E5650DF}" name="Column16338"/>
    <tableColumn id="16370" xr3:uid="{D20FCBC6-AB76-44A4-A632-C6B271A6F6FA}" name="Column16339"/>
    <tableColumn id="16371" xr3:uid="{B8583B3B-F61C-4025-9EA8-AD9DF76DC955}" name="Column16340"/>
    <tableColumn id="16372" xr3:uid="{E64BB9E2-7F19-436E-8216-21A6250B6E7B}" name="Column16341"/>
    <tableColumn id="16373" xr3:uid="{83E22FE5-D618-41B1-8E04-AD3F4E97270C}" name="Column16342"/>
    <tableColumn id="16374" xr3:uid="{C804B0AB-EC9D-41AF-9E06-CED318C2608F}" name="Column16343"/>
    <tableColumn id="16375" xr3:uid="{F40D288D-3A53-4377-A316-6B1AC73FFCC2}" name="Column16344"/>
    <tableColumn id="16376" xr3:uid="{2DC840E4-5BBA-4137-85A7-CD049DA45A72}" name="Column16345"/>
    <tableColumn id="16377" xr3:uid="{C1DF16AA-DEBB-4B8B-86B3-8D9E2C0C5099}" name="Column16346"/>
    <tableColumn id="16378" xr3:uid="{349368A9-7D40-40AE-878C-D0E94283D6B8}" name="Column16347"/>
    <tableColumn id="16379" xr3:uid="{96904AB3-D382-4836-A874-9BC2E40015F0}" name="Column16348"/>
    <tableColumn id="16380" xr3:uid="{FF354063-BFFC-4ADE-A316-28DFAA5F263B}" name="Column16349"/>
    <tableColumn id="16381" xr3:uid="{00380C43-AC2A-4145-BDF7-23518A64CEA5}" name="Column16350"/>
    <tableColumn id="16382" xr3:uid="{46A8B337-7AA7-4D6D-8FD2-8E812323E073}" name="Column16351"/>
    <tableColumn id="16383" xr3:uid="{3EB6F607-7638-458A-90FC-933A3883B6BF}" name="Column16352"/>
    <tableColumn id="16384" xr3:uid="{E0D3CA71-E784-4EE6-8A1E-80A47805F886}" name="Column16353"/>
    <tableColumn id="16385" xr3:uid="{6E1850BC-6205-4C00-A8AA-8D3568685686}" name="Column16354"/>
    <tableColumn id="16386" xr3:uid="{64DDAF86-C096-48CA-A438-97F38325A095}" name="Column1635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CEBE6A-A24F-4883-A155-5B5A01941D96}" name="Table2" displayName="Table2" ref="A25:D39" totalsRowShown="0" headerRowDxfId="60">
  <autoFilter ref="A25:D39" xr:uid="{EACEBE6A-A24F-4883-A155-5B5A01941D96}"/>
  <tableColumns count="4">
    <tableColumn id="1" xr3:uid="{F0BF6FB1-5DCF-453D-8EB5-2B642098AC4E}" name="order_week" dataDxfId="63"/>
    <tableColumn id="2" xr3:uid="{DF72A5F5-65A4-4EA4-8FF5-41807A76A0BA}" name="Weekly Orders" dataDxfId="62"/>
    <tableColumn id="3" xr3:uid="{955CB82A-8B6E-451C-A39A-EF355A148C2E}" name="Avg Discount %" dataDxfId="46"/>
    <tableColumn id="4" xr3:uid="{8B414169-20F3-4C7D-B868-DD108BB39870}" name="Weekly Return Rate" dataDxfId="61" dataCellStyle="Percent">
      <calculatedColumnFormula>C26/B26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897A-B4BB-42D1-BD23-E980C5AF74EA}">
  <dimension ref="A1:W347"/>
  <sheetViews>
    <sheetView zoomScale="66" workbookViewId="0">
      <selection activeCell="O11" sqref="A11:XFD11"/>
    </sheetView>
  </sheetViews>
  <sheetFormatPr defaultRowHeight="14.4" x14ac:dyDescent="0.3"/>
  <cols>
    <col min="1" max="1" width="10" bestFit="1" customWidth="1"/>
    <col min="2" max="2" width="14.6640625" customWidth="1"/>
    <col min="3" max="3" width="17" customWidth="1"/>
    <col min="4" max="4" width="8.77734375" bestFit="1" customWidth="1"/>
    <col min="5" max="5" width="12.44140625" bestFit="1" customWidth="1"/>
    <col min="6" max="6" width="10.44140625" bestFit="1" customWidth="1"/>
    <col min="7" max="7" width="21.6640625" bestFit="1" customWidth="1"/>
    <col min="9" max="9" width="3.88671875" bestFit="1" customWidth="1"/>
    <col min="10" max="10" width="5.21875" bestFit="1" customWidth="1"/>
    <col min="11" max="11" width="12.77734375" bestFit="1" customWidth="1"/>
    <col min="12" max="12" width="6.21875" bestFit="1" customWidth="1"/>
    <col min="13" max="13" width="10.109375" bestFit="1" customWidth="1"/>
    <col min="14" max="14" width="13.6640625" bestFit="1" customWidth="1"/>
    <col min="15" max="15" width="18.109375" bestFit="1" customWidth="1"/>
    <col min="16" max="16" width="15.5546875" bestFit="1" customWidth="1"/>
    <col min="17" max="17" width="10.33203125" bestFit="1" customWidth="1"/>
    <col min="18" max="18" width="10.5546875" bestFit="1" customWidth="1"/>
    <col min="19" max="19" width="9.6640625" bestFit="1" customWidth="1"/>
    <col min="20" max="20" width="7.33203125" bestFit="1" customWidth="1"/>
    <col min="21" max="21" width="16.6640625" bestFit="1" customWidth="1"/>
    <col min="22" max="22" width="10.5546875" bestFit="1" customWidth="1"/>
    <col min="23" max="23" width="12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45566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1299</v>
      </c>
      <c r="I2">
        <v>2</v>
      </c>
      <c r="J2">
        <v>2598</v>
      </c>
      <c r="L2">
        <v>0</v>
      </c>
      <c r="M2" t="s">
        <v>29</v>
      </c>
      <c r="N2" t="s">
        <v>30</v>
      </c>
      <c r="O2" t="s">
        <v>31</v>
      </c>
      <c r="P2" t="s">
        <v>32</v>
      </c>
      <c r="Q2" t="s">
        <v>31</v>
      </c>
      <c r="R2" s="1">
        <v>45570</v>
      </c>
      <c r="S2" t="s">
        <v>33</v>
      </c>
      <c r="T2" t="s">
        <v>34</v>
      </c>
      <c r="W2" t="s">
        <v>35</v>
      </c>
    </row>
    <row r="3" spans="1:23" x14ac:dyDescent="0.3">
      <c r="A3" t="s">
        <v>36</v>
      </c>
      <c r="B3" s="1">
        <v>45566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>
        <v>2499</v>
      </c>
      <c r="I3">
        <v>1</v>
      </c>
      <c r="J3">
        <v>2499</v>
      </c>
      <c r="K3" t="s">
        <v>42</v>
      </c>
      <c r="L3">
        <v>20</v>
      </c>
      <c r="M3" t="s">
        <v>43</v>
      </c>
      <c r="N3" t="s">
        <v>44</v>
      </c>
      <c r="O3" t="s">
        <v>45</v>
      </c>
      <c r="P3" t="s">
        <v>45</v>
      </c>
      <c r="Q3" t="s">
        <v>45</v>
      </c>
      <c r="R3" s="1">
        <v>45569</v>
      </c>
      <c r="S3" t="s">
        <v>33</v>
      </c>
      <c r="T3" t="s">
        <v>46</v>
      </c>
      <c r="U3" t="s">
        <v>47</v>
      </c>
      <c r="V3" s="1">
        <v>45580</v>
      </c>
      <c r="W3" t="s">
        <v>48</v>
      </c>
    </row>
    <row r="4" spans="1:23" x14ac:dyDescent="0.3">
      <c r="A4" t="s">
        <v>49</v>
      </c>
      <c r="B4" s="1">
        <v>45301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>
        <v>1899</v>
      </c>
      <c r="I4">
        <v>1</v>
      </c>
      <c r="J4">
        <v>1899</v>
      </c>
      <c r="L4">
        <v>0</v>
      </c>
      <c r="M4" t="s">
        <v>55</v>
      </c>
      <c r="N4" t="s">
        <v>30</v>
      </c>
      <c r="O4" t="s">
        <v>56</v>
      </c>
      <c r="P4" t="s">
        <v>57</v>
      </c>
      <c r="Q4" t="s">
        <v>56</v>
      </c>
      <c r="R4" s="1">
        <v>45571</v>
      </c>
      <c r="S4" t="s">
        <v>33</v>
      </c>
      <c r="T4" t="s">
        <v>34</v>
      </c>
      <c r="W4" t="s">
        <v>35</v>
      </c>
    </row>
    <row r="5" spans="1:23" x14ac:dyDescent="0.3">
      <c r="A5" t="s">
        <v>58</v>
      </c>
      <c r="B5" s="1">
        <v>45566</v>
      </c>
      <c r="C5" t="s">
        <v>59</v>
      </c>
      <c r="D5" t="s">
        <v>25</v>
      </c>
      <c r="E5" t="s">
        <v>60</v>
      </c>
      <c r="F5" t="s">
        <v>61</v>
      </c>
      <c r="G5" t="s">
        <v>62</v>
      </c>
      <c r="H5">
        <v>3499</v>
      </c>
      <c r="I5">
        <v>1</v>
      </c>
      <c r="J5">
        <v>3499</v>
      </c>
      <c r="K5" t="s">
        <v>63</v>
      </c>
      <c r="L5">
        <v>15</v>
      </c>
      <c r="M5" t="s">
        <v>64</v>
      </c>
      <c r="N5" t="s">
        <v>65</v>
      </c>
      <c r="O5" t="s">
        <v>66</v>
      </c>
      <c r="P5" t="s">
        <v>67</v>
      </c>
      <c r="Q5" t="s">
        <v>31</v>
      </c>
      <c r="R5" s="1">
        <v>45573</v>
      </c>
      <c r="S5" t="s">
        <v>33</v>
      </c>
      <c r="T5" t="s">
        <v>46</v>
      </c>
      <c r="U5" t="s">
        <v>68</v>
      </c>
      <c r="V5" s="1">
        <v>45585</v>
      </c>
      <c r="W5" t="s">
        <v>48</v>
      </c>
    </row>
    <row r="6" spans="1:23" x14ac:dyDescent="0.3">
      <c r="A6" t="s">
        <v>69</v>
      </c>
      <c r="B6" s="1">
        <v>45566</v>
      </c>
      <c r="C6" t="s">
        <v>24</v>
      </c>
      <c r="D6" t="s">
        <v>25</v>
      </c>
      <c r="E6" t="s">
        <v>70</v>
      </c>
      <c r="F6" t="s">
        <v>71</v>
      </c>
      <c r="G6" t="s">
        <v>72</v>
      </c>
      <c r="H6">
        <v>799</v>
      </c>
      <c r="I6">
        <v>3</v>
      </c>
      <c r="J6">
        <v>2397</v>
      </c>
      <c r="L6">
        <v>0</v>
      </c>
      <c r="M6" t="s">
        <v>29</v>
      </c>
      <c r="N6" t="s">
        <v>30</v>
      </c>
      <c r="O6" t="s">
        <v>31</v>
      </c>
      <c r="P6" t="s">
        <v>32</v>
      </c>
      <c r="Q6" t="s">
        <v>31</v>
      </c>
      <c r="R6" s="1">
        <v>45571</v>
      </c>
      <c r="S6" t="s">
        <v>33</v>
      </c>
      <c r="T6" t="s">
        <v>34</v>
      </c>
      <c r="W6" t="s">
        <v>35</v>
      </c>
    </row>
    <row r="7" spans="1:23" x14ac:dyDescent="0.3">
      <c r="A7" t="s">
        <v>73</v>
      </c>
      <c r="B7" s="1">
        <v>45567</v>
      </c>
      <c r="C7" t="s">
        <v>74</v>
      </c>
      <c r="D7" t="s">
        <v>38</v>
      </c>
      <c r="E7" t="s">
        <v>75</v>
      </c>
      <c r="F7" t="s">
        <v>27</v>
      </c>
      <c r="G7" t="s">
        <v>76</v>
      </c>
      <c r="H7">
        <v>1599</v>
      </c>
      <c r="I7">
        <v>2</v>
      </c>
      <c r="J7">
        <v>3198</v>
      </c>
      <c r="L7">
        <v>0</v>
      </c>
      <c r="M7" t="s">
        <v>43</v>
      </c>
      <c r="N7" t="s">
        <v>44</v>
      </c>
      <c r="O7" t="s">
        <v>77</v>
      </c>
      <c r="P7" t="s">
        <v>78</v>
      </c>
      <c r="Q7" t="s">
        <v>56</v>
      </c>
      <c r="R7" s="1">
        <v>45572</v>
      </c>
      <c r="S7" t="s">
        <v>33</v>
      </c>
      <c r="T7" t="s">
        <v>46</v>
      </c>
      <c r="U7" t="s">
        <v>79</v>
      </c>
      <c r="V7" s="1">
        <v>45583</v>
      </c>
      <c r="W7" t="s">
        <v>48</v>
      </c>
    </row>
    <row r="8" spans="1:23" x14ac:dyDescent="0.3">
      <c r="A8" t="s">
        <v>80</v>
      </c>
      <c r="B8" s="1">
        <v>45567</v>
      </c>
      <c r="C8" t="s">
        <v>81</v>
      </c>
      <c r="D8" t="s">
        <v>25</v>
      </c>
      <c r="E8" t="s">
        <v>82</v>
      </c>
      <c r="F8" t="s">
        <v>40</v>
      </c>
      <c r="G8" t="s">
        <v>83</v>
      </c>
      <c r="H8">
        <v>2199</v>
      </c>
      <c r="I8">
        <v>1</v>
      </c>
      <c r="J8">
        <v>2199</v>
      </c>
      <c r="K8" t="s">
        <v>42</v>
      </c>
      <c r="L8">
        <v>20</v>
      </c>
      <c r="M8" t="s">
        <v>55</v>
      </c>
      <c r="N8" t="s">
        <v>30</v>
      </c>
      <c r="O8" t="s">
        <v>84</v>
      </c>
      <c r="P8" t="s">
        <v>32</v>
      </c>
      <c r="Q8" t="s">
        <v>31</v>
      </c>
      <c r="S8" t="s">
        <v>85</v>
      </c>
      <c r="T8" t="s">
        <v>34</v>
      </c>
      <c r="W8" t="s">
        <v>35</v>
      </c>
    </row>
    <row r="9" spans="1:23" x14ac:dyDescent="0.3">
      <c r="A9" t="s">
        <v>86</v>
      </c>
      <c r="B9" s="1">
        <v>45567</v>
      </c>
      <c r="C9" t="s">
        <v>87</v>
      </c>
      <c r="D9" t="s">
        <v>25</v>
      </c>
      <c r="E9" t="s">
        <v>88</v>
      </c>
      <c r="F9" t="s">
        <v>53</v>
      </c>
      <c r="G9" t="s">
        <v>89</v>
      </c>
      <c r="H9">
        <v>2299</v>
      </c>
      <c r="I9">
        <v>1</v>
      </c>
      <c r="J9">
        <v>2299</v>
      </c>
      <c r="L9">
        <v>0</v>
      </c>
      <c r="M9" t="s">
        <v>29</v>
      </c>
      <c r="N9" t="s">
        <v>44</v>
      </c>
      <c r="O9" t="s">
        <v>90</v>
      </c>
      <c r="P9" t="s">
        <v>91</v>
      </c>
      <c r="Q9" t="s">
        <v>45</v>
      </c>
      <c r="R9" s="1">
        <v>45575</v>
      </c>
      <c r="S9" t="s">
        <v>33</v>
      </c>
      <c r="T9" t="s">
        <v>34</v>
      </c>
      <c r="W9" t="s">
        <v>35</v>
      </c>
    </row>
    <row r="10" spans="1:23" x14ac:dyDescent="0.3">
      <c r="A10" t="s">
        <v>92</v>
      </c>
      <c r="B10" s="1">
        <v>45567</v>
      </c>
      <c r="C10" t="s">
        <v>93</v>
      </c>
      <c r="D10" t="s">
        <v>38</v>
      </c>
      <c r="E10" t="s">
        <v>94</v>
      </c>
      <c r="F10" t="s">
        <v>27</v>
      </c>
      <c r="G10" t="s">
        <v>95</v>
      </c>
      <c r="H10">
        <v>1399</v>
      </c>
      <c r="I10">
        <v>5</v>
      </c>
      <c r="J10">
        <v>6995</v>
      </c>
      <c r="L10">
        <v>0</v>
      </c>
      <c r="M10" t="s">
        <v>43</v>
      </c>
      <c r="N10" t="s">
        <v>30</v>
      </c>
      <c r="O10" t="s">
        <v>96</v>
      </c>
      <c r="P10" t="s">
        <v>97</v>
      </c>
      <c r="Q10" t="s">
        <v>31</v>
      </c>
      <c r="R10" s="1">
        <v>45574</v>
      </c>
      <c r="S10" t="s">
        <v>33</v>
      </c>
      <c r="T10" t="s">
        <v>46</v>
      </c>
      <c r="U10" t="s">
        <v>47</v>
      </c>
      <c r="V10" s="1">
        <v>45587</v>
      </c>
      <c r="W10" t="s">
        <v>48</v>
      </c>
    </row>
    <row r="11" spans="1:23" x14ac:dyDescent="0.3">
      <c r="A11" t="s">
        <v>98</v>
      </c>
      <c r="B11" s="1">
        <v>45567</v>
      </c>
      <c r="C11" t="s">
        <v>99</v>
      </c>
      <c r="D11" t="s">
        <v>25</v>
      </c>
      <c r="E11" t="s">
        <v>100</v>
      </c>
      <c r="F11" t="s">
        <v>61</v>
      </c>
      <c r="G11" t="s">
        <v>101</v>
      </c>
      <c r="H11">
        <v>4999</v>
      </c>
      <c r="I11">
        <v>-1</v>
      </c>
      <c r="J11">
        <v>4999</v>
      </c>
      <c r="L11">
        <v>0</v>
      </c>
      <c r="M11" t="s">
        <v>64</v>
      </c>
      <c r="N11" t="s">
        <v>65</v>
      </c>
      <c r="O11" t="s">
        <v>102</v>
      </c>
      <c r="P11" t="s">
        <v>103</v>
      </c>
      <c r="Q11" t="s">
        <v>45</v>
      </c>
      <c r="R11" s="1">
        <v>45576</v>
      </c>
      <c r="S11" t="s">
        <v>33</v>
      </c>
      <c r="T11" t="s">
        <v>46</v>
      </c>
      <c r="U11" t="s">
        <v>104</v>
      </c>
      <c r="V11" s="1">
        <v>45590</v>
      </c>
      <c r="W11" t="s">
        <v>105</v>
      </c>
    </row>
    <row r="12" spans="1:23" x14ac:dyDescent="0.3">
      <c r="A12" t="s">
        <v>106</v>
      </c>
      <c r="B12" s="1">
        <v>45568</v>
      </c>
      <c r="C12" t="s">
        <v>107</v>
      </c>
      <c r="D12" t="s">
        <v>25</v>
      </c>
      <c r="E12" t="s">
        <v>108</v>
      </c>
      <c r="F12" t="s">
        <v>71</v>
      </c>
      <c r="G12" t="s">
        <v>109</v>
      </c>
      <c r="H12">
        <v>1299</v>
      </c>
      <c r="I12">
        <v>2</v>
      </c>
      <c r="J12">
        <v>2598</v>
      </c>
      <c r="K12" t="s">
        <v>110</v>
      </c>
      <c r="L12">
        <v>10</v>
      </c>
      <c r="M12" t="s">
        <v>111</v>
      </c>
      <c r="N12" t="s">
        <v>30</v>
      </c>
      <c r="O12" t="s">
        <v>112</v>
      </c>
      <c r="P12" t="s">
        <v>113</v>
      </c>
      <c r="Q12" t="s">
        <v>45</v>
      </c>
      <c r="R12" s="1">
        <v>45575</v>
      </c>
      <c r="S12" t="s">
        <v>33</v>
      </c>
      <c r="T12" t="s">
        <v>34</v>
      </c>
      <c r="W12" t="s">
        <v>35</v>
      </c>
    </row>
    <row r="13" spans="1:23" x14ac:dyDescent="0.3">
      <c r="A13" t="s">
        <v>114</v>
      </c>
      <c r="B13" s="1">
        <v>45568</v>
      </c>
      <c r="C13" t="s">
        <v>115</v>
      </c>
      <c r="D13" t="s">
        <v>25</v>
      </c>
      <c r="E13" t="s">
        <v>116</v>
      </c>
      <c r="F13" t="s">
        <v>40</v>
      </c>
      <c r="G13" t="s">
        <v>117</v>
      </c>
      <c r="H13">
        <v>3299</v>
      </c>
      <c r="I13">
        <v>1</v>
      </c>
      <c r="J13">
        <v>3299</v>
      </c>
      <c r="L13">
        <v>0</v>
      </c>
      <c r="M13" t="s">
        <v>55</v>
      </c>
      <c r="N13" t="s">
        <v>44</v>
      </c>
      <c r="O13" t="s">
        <v>118</v>
      </c>
      <c r="P13" t="s">
        <v>119</v>
      </c>
      <c r="Q13" t="s">
        <v>45</v>
      </c>
      <c r="S13" t="s">
        <v>120</v>
      </c>
      <c r="T13" t="s">
        <v>34</v>
      </c>
      <c r="W13" t="s">
        <v>35</v>
      </c>
    </row>
    <row r="14" spans="1:23" x14ac:dyDescent="0.3">
      <c r="A14" t="s">
        <v>121</v>
      </c>
      <c r="B14" s="1">
        <v>45568</v>
      </c>
      <c r="C14" t="s">
        <v>122</v>
      </c>
      <c r="D14" t="s">
        <v>38</v>
      </c>
      <c r="E14" t="s">
        <v>123</v>
      </c>
      <c r="F14" t="s">
        <v>27</v>
      </c>
      <c r="G14" t="s">
        <v>124</v>
      </c>
      <c r="H14">
        <v>2499</v>
      </c>
      <c r="I14">
        <v>1</v>
      </c>
      <c r="J14">
        <v>2499</v>
      </c>
      <c r="L14">
        <v>0</v>
      </c>
      <c r="M14" t="s">
        <v>43</v>
      </c>
      <c r="N14" t="s">
        <v>30</v>
      </c>
      <c r="O14" t="s">
        <v>31</v>
      </c>
      <c r="P14" t="s">
        <v>32</v>
      </c>
      <c r="Q14" t="s">
        <v>31</v>
      </c>
      <c r="R14" s="1">
        <v>45574</v>
      </c>
      <c r="S14" t="s">
        <v>33</v>
      </c>
      <c r="T14" t="s">
        <v>34</v>
      </c>
      <c r="W14" t="s">
        <v>35</v>
      </c>
    </row>
    <row r="15" spans="1:23" x14ac:dyDescent="0.3">
      <c r="A15" t="s">
        <v>125</v>
      </c>
      <c r="B15" s="1">
        <v>45568</v>
      </c>
      <c r="C15" t="s">
        <v>126</v>
      </c>
      <c r="D15" t="s">
        <v>25</v>
      </c>
      <c r="E15" t="s">
        <v>127</v>
      </c>
      <c r="F15" t="s">
        <v>53</v>
      </c>
      <c r="G15" t="s">
        <v>128</v>
      </c>
      <c r="H15">
        <v>1799</v>
      </c>
      <c r="I15">
        <v>2</v>
      </c>
      <c r="J15">
        <v>3598</v>
      </c>
      <c r="K15" t="s">
        <v>42</v>
      </c>
      <c r="L15">
        <v>20</v>
      </c>
      <c r="M15" t="s">
        <v>29</v>
      </c>
      <c r="N15" t="s">
        <v>65</v>
      </c>
      <c r="O15" t="s">
        <v>45</v>
      </c>
      <c r="P15" t="s">
        <v>45</v>
      </c>
      <c r="Q15" t="s">
        <v>45</v>
      </c>
      <c r="R15" s="1">
        <v>45576</v>
      </c>
      <c r="S15" t="s">
        <v>33</v>
      </c>
      <c r="T15" t="s">
        <v>46</v>
      </c>
      <c r="U15" t="s">
        <v>47</v>
      </c>
      <c r="V15" s="1">
        <v>45593</v>
      </c>
      <c r="W15" t="s">
        <v>48</v>
      </c>
    </row>
    <row r="16" spans="1:23" x14ac:dyDescent="0.3">
      <c r="A16" t="s">
        <v>129</v>
      </c>
      <c r="B16" s="1">
        <v>45568</v>
      </c>
      <c r="C16" t="s">
        <v>130</v>
      </c>
      <c r="D16" t="s">
        <v>25</v>
      </c>
      <c r="E16" t="s">
        <v>131</v>
      </c>
      <c r="F16" t="s">
        <v>61</v>
      </c>
      <c r="G16" t="s">
        <v>132</v>
      </c>
      <c r="H16">
        <v>2799</v>
      </c>
      <c r="I16">
        <v>1</v>
      </c>
      <c r="J16">
        <v>2799</v>
      </c>
      <c r="L16">
        <v>0</v>
      </c>
      <c r="M16" t="s">
        <v>64</v>
      </c>
      <c r="N16" t="s">
        <v>44</v>
      </c>
      <c r="O16" t="s">
        <v>56</v>
      </c>
      <c r="P16" t="s">
        <v>57</v>
      </c>
      <c r="Q16" t="s">
        <v>56</v>
      </c>
      <c r="R16" s="1">
        <v>45577</v>
      </c>
      <c r="S16" t="s">
        <v>33</v>
      </c>
      <c r="T16" t="s">
        <v>34</v>
      </c>
      <c r="W16" t="s">
        <v>35</v>
      </c>
    </row>
    <row r="17" spans="1:23" x14ac:dyDescent="0.3">
      <c r="A17" t="s">
        <v>133</v>
      </c>
      <c r="B17" s="1">
        <v>45569</v>
      </c>
      <c r="C17" t="s">
        <v>134</v>
      </c>
      <c r="D17" t="s">
        <v>38</v>
      </c>
      <c r="E17" t="s">
        <v>135</v>
      </c>
      <c r="F17" t="s">
        <v>71</v>
      </c>
      <c r="G17" t="s">
        <v>136</v>
      </c>
      <c r="H17">
        <v>599</v>
      </c>
      <c r="I17">
        <v>4</v>
      </c>
      <c r="J17">
        <v>2396</v>
      </c>
      <c r="L17">
        <v>0</v>
      </c>
      <c r="M17" t="s">
        <v>55</v>
      </c>
      <c r="N17" t="s">
        <v>30</v>
      </c>
      <c r="O17" t="s">
        <v>137</v>
      </c>
      <c r="P17" t="s">
        <v>113</v>
      </c>
      <c r="Q17" t="s">
        <v>45</v>
      </c>
      <c r="R17" s="1">
        <v>45579</v>
      </c>
      <c r="S17" t="s">
        <v>33</v>
      </c>
      <c r="T17" t="s">
        <v>46</v>
      </c>
      <c r="U17" t="s">
        <v>138</v>
      </c>
      <c r="V17" s="1">
        <v>45591</v>
      </c>
      <c r="W17" t="s">
        <v>48</v>
      </c>
    </row>
    <row r="18" spans="1:23" x14ac:dyDescent="0.3">
      <c r="A18" t="s">
        <v>139</v>
      </c>
      <c r="B18" s="1">
        <v>45569</v>
      </c>
      <c r="C18" t="s">
        <v>140</v>
      </c>
      <c r="D18" t="s">
        <v>25</v>
      </c>
      <c r="E18" t="s">
        <v>141</v>
      </c>
      <c r="F18" t="s">
        <v>27</v>
      </c>
      <c r="G18" t="s">
        <v>142</v>
      </c>
      <c r="H18">
        <v>999</v>
      </c>
      <c r="I18">
        <v>1</v>
      </c>
      <c r="J18">
        <v>999</v>
      </c>
      <c r="K18" t="s">
        <v>63</v>
      </c>
      <c r="L18">
        <v>15</v>
      </c>
      <c r="M18" t="s">
        <v>29</v>
      </c>
      <c r="N18" t="s">
        <v>44</v>
      </c>
      <c r="O18" t="s">
        <v>143</v>
      </c>
      <c r="P18" t="s">
        <v>144</v>
      </c>
      <c r="Q18" t="s">
        <v>45</v>
      </c>
      <c r="R18" s="1">
        <v>45577</v>
      </c>
      <c r="S18" t="s">
        <v>145</v>
      </c>
      <c r="T18" t="s">
        <v>34</v>
      </c>
      <c r="W18" t="s">
        <v>35</v>
      </c>
    </row>
    <row r="19" spans="1:23" x14ac:dyDescent="0.3">
      <c r="A19" t="s">
        <v>146</v>
      </c>
      <c r="B19" s="1">
        <v>45569</v>
      </c>
      <c r="C19" t="s">
        <v>147</v>
      </c>
      <c r="D19" t="s">
        <v>25</v>
      </c>
      <c r="E19" t="s">
        <v>148</v>
      </c>
      <c r="F19" t="s">
        <v>40</v>
      </c>
      <c r="G19" t="s">
        <v>149</v>
      </c>
      <c r="H19">
        <v>2899</v>
      </c>
      <c r="I19">
        <v>1</v>
      </c>
      <c r="J19">
        <v>2899</v>
      </c>
      <c r="L19">
        <v>0</v>
      </c>
      <c r="M19" t="s">
        <v>43</v>
      </c>
      <c r="N19" t="s">
        <v>30</v>
      </c>
      <c r="O19" t="s">
        <v>150</v>
      </c>
      <c r="P19" t="s">
        <v>151</v>
      </c>
      <c r="Q19" t="s">
        <v>31</v>
      </c>
      <c r="R19" s="1">
        <v>45579</v>
      </c>
      <c r="S19" t="s">
        <v>33</v>
      </c>
      <c r="T19" t="s">
        <v>34</v>
      </c>
      <c r="W19" t="s">
        <v>35</v>
      </c>
    </row>
    <row r="20" spans="1:23" x14ac:dyDescent="0.3">
      <c r="A20" t="s">
        <v>152</v>
      </c>
      <c r="B20" s="1">
        <v>45569</v>
      </c>
      <c r="C20" t="s">
        <v>153</v>
      </c>
      <c r="D20" t="s">
        <v>38</v>
      </c>
      <c r="E20" t="s">
        <v>154</v>
      </c>
      <c r="F20" t="s">
        <v>53</v>
      </c>
      <c r="G20" t="s">
        <v>155</v>
      </c>
      <c r="H20">
        <v>1499</v>
      </c>
      <c r="I20">
        <v>2</v>
      </c>
      <c r="J20">
        <v>2998</v>
      </c>
      <c r="L20">
        <v>0</v>
      </c>
      <c r="M20" t="s">
        <v>111</v>
      </c>
      <c r="N20" t="s">
        <v>65</v>
      </c>
      <c r="O20" t="s">
        <v>156</v>
      </c>
      <c r="P20" t="s">
        <v>97</v>
      </c>
      <c r="Q20" t="s">
        <v>31</v>
      </c>
      <c r="R20" s="1">
        <v>45578</v>
      </c>
      <c r="S20" t="s">
        <v>33</v>
      </c>
      <c r="T20" t="s">
        <v>46</v>
      </c>
      <c r="U20" t="s">
        <v>47</v>
      </c>
      <c r="V20" s="1">
        <v>45595</v>
      </c>
      <c r="W20" t="s">
        <v>48</v>
      </c>
    </row>
    <row r="21" spans="1:23" x14ac:dyDescent="0.3">
      <c r="A21" t="s">
        <v>157</v>
      </c>
      <c r="B21" s="1">
        <v>45570</v>
      </c>
      <c r="C21" t="s">
        <v>158</v>
      </c>
      <c r="D21" t="s">
        <v>25</v>
      </c>
      <c r="E21" t="s">
        <v>159</v>
      </c>
      <c r="F21" t="s">
        <v>61</v>
      </c>
      <c r="G21" t="s">
        <v>160</v>
      </c>
      <c r="H21">
        <v>3999</v>
      </c>
      <c r="I21">
        <v>1</v>
      </c>
      <c r="J21">
        <v>3999</v>
      </c>
      <c r="K21" t="s">
        <v>42</v>
      </c>
      <c r="L21">
        <v>20</v>
      </c>
      <c r="M21" t="s">
        <v>55</v>
      </c>
      <c r="N21" t="s">
        <v>30</v>
      </c>
      <c r="O21" t="s">
        <v>161</v>
      </c>
      <c r="P21" t="s">
        <v>162</v>
      </c>
      <c r="Q21" t="s">
        <v>45</v>
      </c>
      <c r="S21" t="s">
        <v>120</v>
      </c>
      <c r="T21" t="s">
        <v>34</v>
      </c>
      <c r="W21" t="s">
        <v>35</v>
      </c>
    </row>
    <row r="22" spans="1:23" x14ac:dyDescent="0.3">
      <c r="A22" t="s">
        <v>163</v>
      </c>
      <c r="B22" s="1">
        <v>45570</v>
      </c>
      <c r="C22" t="s">
        <v>164</v>
      </c>
      <c r="D22" t="s">
        <v>25</v>
      </c>
      <c r="E22" t="s">
        <v>165</v>
      </c>
      <c r="F22" t="s">
        <v>27</v>
      </c>
      <c r="G22" t="s">
        <v>166</v>
      </c>
      <c r="H22">
        <v>1699</v>
      </c>
      <c r="I22">
        <v>1</v>
      </c>
      <c r="J22">
        <v>1699</v>
      </c>
      <c r="L22">
        <v>0</v>
      </c>
      <c r="M22" t="s">
        <v>29</v>
      </c>
      <c r="N22" t="s">
        <v>44</v>
      </c>
      <c r="O22" t="s">
        <v>167</v>
      </c>
      <c r="P22" t="s">
        <v>151</v>
      </c>
      <c r="Q22" t="s">
        <v>31</v>
      </c>
      <c r="R22" s="1">
        <v>45580</v>
      </c>
      <c r="S22" t="s">
        <v>33</v>
      </c>
      <c r="T22" t="s">
        <v>34</v>
      </c>
      <c r="W22" t="s">
        <v>35</v>
      </c>
    </row>
    <row r="23" spans="1:23" x14ac:dyDescent="0.3">
      <c r="A23" t="s">
        <v>168</v>
      </c>
      <c r="B23" s="1">
        <v>45570</v>
      </c>
      <c r="C23" t="s">
        <v>169</v>
      </c>
      <c r="D23" t="s">
        <v>38</v>
      </c>
      <c r="E23" t="s">
        <v>170</v>
      </c>
      <c r="F23" t="s">
        <v>40</v>
      </c>
      <c r="G23" t="s">
        <v>171</v>
      </c>
      <c r="H23">
        <v>2399</v>
      </c>
      <c r="I23">
        <v>1</v>
      </c>
      <c r="J23">
        <v>2399</v>
      </c>
      <c r="L23">
        <v>0</v>
      </c>
      <c r="M23" t="s">
        <v>43</v>
      </c>
      <c r="N23" t="s">
        <v>30</v>
      </c>
      <c r="O23" t="s">
        <v>172</v>
      </c>
      <c r="P23" t="s">
        <v>32</v>
      </c>
      <c r="Q23" t="s">
        <v>31</v>
      </c>
      <c r="R23" s="1">
        <v>45581</v>
      </c>
      <c r="S23" t="s">
        <v>33</v>
      </c>
      <c r="T23" t="s">
        <v>46</v>
      </c>
      <c r="U23" t="s">
        <v>68</v>
      </c>
      <c r="V23" s="1">
        <v>45598</v>
      </c>
      <c r="W23" t="s">
        <v>48</v>
      </c>
    </row>
    <row r="24" spans="1:23" x14ac:dyDescent="0.3">
      <c r="A24" t="s">
        <v>173</v>
      </c>
      <c r="B24" s="1">
        <v>45570</v>
      </c>
      <c r="C24" t="s">
        <v>174</v>
      </c>
      <c r="D24" t="s">
        <v>25</v>
      </c>
      <c r="E24" t="s">
        <v>175</v>
      </c>
      <c r="F24" t="s">
        <v>71</v>
      </c>
      <c r="G24" t="s">
        <v>176</v>
      </c>
      <c r="H24">
        <v>899</v>
      </c>
      <c r="I24">
        <v>1</v>
      </c>
      <c r="J24">
        <v>899</v>
      </c>
      <c r="K24" t="s">
        <v>110</v>
      </c>
      <c r="L24">
        <v>10</v>
      </c>
      <c r="M24" t="s">
        <v>64</v>
      </c>
      <c r="N24" t="s">
        <v>44</v>
      </c>
      <c r="O24" t="s">
        <v>177</v>
      </c>
      <c r="P24" t="s">
        <v>67</v>
      </c>
      <c r="Q24" t="s">
        <v>56</v>
      </c>
      <c r="R24" s="1">
        <v>45582</v>
      </c>
      <c r="S24" t="s">
        <v>33</v>
      </c>
      <c r="T24" t="s">
        <v>34</v>
      </c>
      <c r="W24" t="s">
        <v>35</v>
      </c>
    </row>
    <row r="25" spans="1:23" x14ac:dyDescent="0.3">
      <c r="A25" t="s">
        <v>178</v>
      </c>
      <c r="B25" s="1">
        <v>45571</v>
      </c>
      <c r="C25" t="s">
        <v>179</v>
      </c>
      <c r="D25" t="s">
        <v>25</v>
      </c>
      <c r="E25" t="s">
        <v>180</v>
      </c>
      <c r="F25" t="s">
        <v>53</v>
      </c>
      <c r="G25" t="s">
        <v>181</v>
      </c>
      <c r="H25">
        <v>1199</v>
      </c>
      <c r="I25">
        <v>3</v>
      </c>
      <c r="J25">
        <v>3597</v>
      </c>
      <c r="L25">
        <v>0</v>
      </c>
      <c r="M25" t="s">
        <v>55</v>
      </c>
      <c r="N25" t="s">
        <v>65</v>
      </c>
      <c r="O25" t="s">
        <v>182</v>
      </c>
      <c r="P25" t="s">
        <v>183</v>
      </c>
      <c r="Q25" t="s">
        <v>56</v>
      </c>
      <c r="R25" s="1">
        <v>45583</v>
      </c>
      <c r="S25" t="s">
        <v>33</v>
      </c>
      <c r="T25" t="s">
        <v>46</v>
      </c>
      <c r="U25" t="s">
        <v>79</v>
      </c>
      <c r="V25" s="1">
        <v>45601</v>
      </c>
      <c r="W25" t="s">
        <v>48</v>
      </c>
    </row>
    <row r="26" spans="1:23" x14ac:dyDescent="0.3">
      <c r="A26" t="s">
        <v>184</v>
      </c>
      <c r="B26" s="1">
        <v>45571</v>
      </c>
      <c r="C26" t="s">
        <v>185</v>
      </c>
      <c r="D26" t="s">
        <v>25</v>
      </c>
      <c r="E26" t="s">
        <v>186</v>
      </c>
      <c r="F26" t="s">
        <v>27</v>
      </c>
      <c r="G26" t="s">
        <v>187</v>
      </c>
      <c r="H26">
        <v>1799</v>
      </c>
      <c r="I26">
        <v>2</v>
      </c>
      <c r="J26">
        <v>3598</v>
      </c>
      <c r="L26">
        <v>0</v>
      </c>
      <c r="M26" t="s">
        <v>29</v>
      </c>
      <c r="N26" t="s">
        <v>30</v>
      </c>
      <c r="O26" t="s">
        <v>188</v>
      </c>
      <c r="P26" t="s">
        <v>189</v>
      </c>
      <c r="Q26" t="s">
        <v>56</v>
      </c>
      <c r="R26" s="1">
        <v>45582</v>
      </c>
      <c r="S26" t="s">
        <v>33</v>
      </c>
      <c r="T26" t="s">
        <v>34</v>
      </c>
      <c r="W26" t="s">
        <v>35</v>
      </c>
    </row>
    <row r="27" spans="1:23" x14ac:dyDescent="0.3">
      <c r="A27" t="s">
        <v>190</v>
      </c>
      <c r="B27" s="1">
        <v>45571</v>
      </c>
      <c r="C27" t="s">
        <v>191</v>
      </c>
      <c r="D27" t="s">
        <v>25</v>
      </c>
      <c r="E27" t="s">
        <v>192</v>
      </c>
      <c r="F27" t="s">
        <v>40</v>
      </c>
      <c r="G27" t="s">
        <v>193</v>
      </c>
      <c r="H27">
        <v>2699</v>
      </c>
      <c r="I27">
        <v>1</v>
      </c>
      <c r="J27">
        <v>2699</v>
      </c>
      <c r="L27">
        <v>0</v>
      </c>
      <c r="M27" t="s">
        <v>43</v>
      </c>
      <c r="N27" t="s">
        <v>44</v>
      </c>
      <c r="O27" t="s">
        <v>194</v>
      </c>
      <c r="P27" t="s">
        <v>183</v>
      </c>
      <c r="Q27" t="s">
        <v>56</v>
      </c>
      <c r="R27" s="1">
        <v>45583</v>
      </c>
      <c r="S27" t="s">
        <v>33</v>
      </c>
      <c r="T27" t="s">
        <v>34</v>
      </c>
      <c r="W27" t="s">
        <v>35</v>
      </c>
    </row>
    <row r="28" spans="1:23" x14ac:dyDescent="0.3">
      <c r="A28" t="s">
        <v>195</v>
      </c>
      <c r="B28" s="1">
        <v>45571</v>
      </c>
      <c r="C28" t="s">
        <v>196</v>
      </c>
      <c r="D28" t="s">
        <v>38</v>
      </c>
      <c r="E28" t="s">
        <v>197</v>
      </c>
      <c r="F28" t="s">
        <v>61</v>
      </c>
      <c r="G28" t="s">
        <v>198</v>
      </c>
      <c r="H28">
        <v>4599</v>
      </c>
      <c r="I28">
        <v>1</v>
      </c>
      <c r="J28">
        <v>4599</v>
      </c>
      <c r="K28" t="s">
        <v>110</v>
      </c>
      <c r="L28">
        <v>10</v>
      </c>
      <c r="M28" t="s">
        <v>64</v>
      </c>
      <c r="N28" t="s">
        <v>30</v>
      </c>
      <c r="O28" t="s">
        <v>199</v>
      </c>
      <c r="P28" t="s">
        <v>57</v>
      </c>
      <c r="Q28" t="s">
        <v>56</v>
      </c>
      <c r="R28" s="1">
        <v>45584</v>
      </c>
      <c r="S28" t="s">
        <v>33</v>
      </c>
      <c r="T28" t="s">
        <v>46</v>
      </c>
      <c r="U28" t="s">
        <v>47</v>
      </c>
      <c r="V28" s="1">
        <v>45604</v>
      </c>
      <c r="W28" t="s">
        <v>48</v>
      </c>
    </row>
    <row r="29" spans="1:23" x14ac:dyDescent="0.3">
      <c r="A29" t="s">
        <v>200</v>
      </c>
      <c r="B29" s="1">
        <v>45572</v>
      </c>
      <c r="C29" t="s">
        <v>201</v>
      </c>
      <c r="D29" t="s">
        <v>25</v>
      </c>
      <c r="E29" t="s">
        <v>202</v>
      </c>
      <c r="F29" t="s">
        <v>71</v>
      </c>
      <c r="G29" t="s">
        <v>203</v>
      </c>
      <c r="H29">
        <v>1099</v>
      </c>
      <c r="I29">
        <v>1</v>
      </c>
      <c r="J29">
        <v>1099</v>
      </c>
      <c r="L29">
        <v>0</v>
      </c>
      <c r="M29" t="s">
        <v>29</v>
      </c>
      <c r="N29" t="s">
        <v>65</v>
      </c>
      <c r="O29" t="s">
        <v>204</v>
      </c>
      <c r="P29" t="s">
        <v>97</v>
      </c>
      <c r="Q29" t="s">
        <v>31</v>
      </c>
      <c r="R29" s="1">
        <v>45585</v>
      </c>
      <c r="S29" t="s">
        <v>33</v>
      </c>
      <c r="T29" t="s">
        <v>34</v>
      </c>
      <c r="W29" t="s">
        <v>35</v>
      </c>
    </row>
    <row r="30" spans="1:23" x14ac:dyDescent="0.3">
      <c r="A30" t="s">
        <v>205</v>
      </c>
      <c r="B30" s="1">
        <v>45572</v>
      </c>
      <c r="C30" t="s">
        <v>206</v>
      </c>
      <c r="D30" t="s">
        <v>25</v>
      </c>
      <c r="E30" t="s">
        <v>207</v>
      </c>
      <c r="F30" t="s">
        <v>27</v>
      </c>
      <c r="G30" t="s">
        <v>208</v>
      </c>
      <c r="H30">
        <v>1899</v>
      </c>
      <c r="I30">
        <v>1</v>
      </c>
      <c r="J30">
        <v>1899</v>
      </c>
      <c r="L30">
        <v>0</v>
      </c>
      <c r="M30" t="s">
        <v>55</v>
      </c>
      <c r="N30" t="s">
        <v>44</v>
      </c>
      <c r="O30" t="s">
        <v>209</v>
      </c>
      <c r="P30" t="s">
        <v>97</v>
      </c>
      <c r="Q30" t="s">
        <v>31</v>
      </c>
      <c r="S30" t="s">
        <v>120</v>
      </c>
      <c r="T30" t="s">
        <v>34</v>
      </c>
      <c r="W30" t="s">
        <v>35</v>
      </c>
    </row>
    <row r="31" spans="1:23" x14ac:dyDescent="0.3">
      <c r="A31" t="s">
        <v>210</v>
      </c>
      <c r="B31" s="1">
        <v>45572</v>
      </c>
      <c r="C31" t="s">
        <v>211</v>
      </c>
      <c r="D31" t="s">
        <v>25</v>
      </c>
      <c r="E31" t="s">
        <v>212</v>
      </c>
      <c r="F31" t="s">
        <v>53</v>
      </c>
      <c r="G31" t="s">
        <v>213</v>
      </c>
      <c r="H31">
        <v>2199</v>
      </c>
      <c r="I31">
        <v>1</v>
      </c>
      <c r="J31">
        <v>2199</v>
      </c>
      <c r="K31" t="s">
        <v>42</v>
      </c>
      <c r="L31">
        <v>20</v>
      </c>
      <c r="M31" t="s">
        <v>43</v>
      </c>
      <c r="N31" t="s">
        <v>30</v>
      </c>
      <c r="O31" t="s">
        <v>214</v>
      </c>
      <c r="P31" t="s">
        <v>113</v>
      </c>
      <c r="Q31" t="s">
        <v>45</v>
      </c>
      <c r="R31" s="1">
        <v>45585</v>
      </c>
      <c r="S31" t="s">
        <v>33</v>
      </c>
      <c r="T31" t="s">
        <v>34</v>
      </c>
      <c r="W31" t="s">
        <v>35</v>
      </c>
    </row>
    <row r="32" spans="1:23" x14ac:dyDescent="0.3">
      <c r="A32" t="s">
        <v>215</v>
      </c>
      <c r="B32" s="1">
        <v>45572</v>
      </c>
      <c r="C32" t="s">
        <v>216</v>
      </c>
      <c r="D32" t="s">
        <v>38</v>
      </c>
      <c r="E32" t="s">
        <v>217</v>
      </c>
      <c r="F32" t="s">
        <v>40</v>
      </c>
      <c r="G32" t="s">
        <v>218</v>
      </c>
      <c r="H32">
        <v>5499</v>
      </c>
      <c r="I32">
        <v>1</v>
      </c>
      <c r="J32">
        <v>5499</v>
      </c>
      <c r="L32">
        <v>0</v>
      </c>
      <c r="M32" t="s">
        <v>43</v>
      </c>
      <c r="N32" t="s">
        <v>44</v>
      </c>
      <c r="O32" t="s">
        <v>31</v>
      </c>
      <c r="P32" t="s">
        <v>32</v>
      </c>
      <c r="Q32" t="s">
        <v>31</v>
      </c>
      <c r="R32" s="1">
        <v>45586</v>
      </c>
      <c r="S32" t="s">
        <v>33</v>
      </c>
      <c r="T32" t="s">
        <v>46</v>
      </c>
      <c r="U32" t="s">
        <v>47</v>
      </c>
      <c r="V32" s="1">
        <v>45606</v>
      </c>
      <c r="W32" t="s">
        <v>48</v>
      </c>
    </row>
    <row r="33" spans="1:23" x14ac:dyDescent="0.3">
      <c r="A33" t="s">
        <v>219</v>
      </c>
      <c r="B33" s="1">
        <v>45573</v>
      </c>
      <c r="C33" t="s">
        <v>220</v>
      </c>
      <c r="D33" t="s">
        <v>25</v>
      </c>
      <c r="E33" t="s">
        <v>221</v>
      </c>
      <c r="F33" t="s">
        <v>27</v>
      </c>
      <c r="G33" t="s">
        <v>222</v>
      </c>
      <c r="H33">
        <v>899</v>
      </c>
      <c r="I33">
        <v>2</v>
      </c>
      <c r="J33">
        <v>1798</v>
      </c>
      <c r="L33">
        <v>0</v>
      </c>
      <c r="M33" t="s">
        <v>29</v>
      </c>
      <c r="N33" t="s">
        <v>30</v>
      </c>
      <c r="O33" t="s">
        <v>45</v>
      </c>
      <c r="P33" t="s">
        <v>45</v>
      </c>
      <c r="Q33" t="s">
        <v>45</v>
      </c>
      <c r="R33" s="1">
        <v>45579</v>
      </c>
      <c r="S33" t="s">
        <v>33</v>
      </c>
      <c r="T33" t="s">
        <v>34</v>
      </c>
      <c r="W33" t="s">
        <v>35</v>
      </c>
    </row>
    <row r="34" spans="1:23" x14ac:dyDescent="0.3">
      <c r="A34" t="s">
        <v>223</v>
      </c>
      <c r="B34" s="1">
        <v>45573</v>
      </c>
      <c r="C34" t="s">
        <v>224</v>
      </c>
      <c r="D34" t="s">
        <v>25</v>
      </c>
      <c r="E34" t="s">
        <v>225</v>
      </c>
      <c r="F34" t="s">
        <v>61</v>
      </c>
      <c r="G34" t="s">
        <v>226</v>
      </c>
      <c r="H34">
        <v>6999</v>
      </c>
      <c r="I34">
        <v>1</v>
      </c>
      <c r="J34">
        <v>6999</v>
      </c>
      <c r="K34" t="s">
        <v>63</v>
      </c>
      <c r="L34">
        <v>15</v>
      </c>
      <c r="M34" t="s">
        <v>64</v>
      </c>
      <c r="N34" t="s">
        <v>65</v>
      </c>
      <c r="O34" t="s">
        <v>90</v>
      </c>
      <c r="P34" t="s">
        <v>91</v>
      </c>
      <c r="Q34" t="s">
        <v>45</v>
      </c>
      <c r="R34" s="1">
        <v>45581</v>
      </c>
      <c r="S34" t="s">
        <v>33</v>
      </c>
      <c r="T34" t="s">
        <v>46</v>
      </c>
      <c r="U34" t="s">
        <v>68</v>
      </c>
      <c r="V34" s="1">
        <v>45601</v>
      </c>
      <c r="W34" t="s">
        <v>48</v>
      </c>
    </row>
    <row r="35" spans="1:23" x14ac:dyDescent="0.3">
      <c r="A35" t="s">
        <v>227</v>
      </c>
      <c r="B35" s="1">
        <v>45573</v>
      </c>
      <c r="C35" t="s">
        <v>228</v>
      </c>
      <c r="D35" t="s">
        <v>38</v>
      </c>
      <c r="E35" t="s">
        <v>229</v>
      </c>
      <c r="F35" t="s">
        <v>71</v>
      </c>
      <c r="G35" t="s">
        <v>230</v>
      </c>
      <c r="H35">
        <v>2999</v>
      </c>
      <c r="I35">
        <v>1</v>
      </c>
      <c r="J35">
        <v>2999</v>
      </c>
      <c r="L35">
        <v>0</v>
      </c>
      <c r="M35" t="s">
        <v>43</v>
      </c>
      <c r="N35" t="s">
        <v>44</v>
      </c>
      <c r="O35" t="s">
        <v>66</v>
      </c>
      <c r="P35" t="s">
        <v>67</v>
      </c>
      <c r="Q35" t="s">
        <v>56</v>
      </c>
      <c r="R35" s="1">
        <v>45580</v>
      </c>
      <c r="S35" t="s">
        <v>33</v>
      </c>
      <c r="T35" t="s">
        <v>34</v>
      </c>
      <c r="W35" t="s">
        <v>35</v>
      </c>
    </row>
    <row r="36" spans="1:23" x14ac:dyDescent="0.3">
      <c r="A36" t="s">
        <v>231</v>
      </c>
      <c r="B36" s="1">
        <v>45573</v>
      </c>
      <c r="C36" t="s">
        <v>232</v>
      </c>
      <c r="D36" t="s">
        <v>25</v>
      </c>
      <c r="E36" t="s">
        <v>233</v>
      </c>
      <c r="F36" t="s">
        <v>53</v>
      </c>
      <c r="G36" t="s">
        <v>234</v>
      </c>
      <c r="H36">
        <v>1599</v>
      </c>
      <c r="I36">
        <v>1</v>
      </c>
      <c r="J36">
        <v>1599</v>
      </c>
      <c r="L36">
        <v>0</v>
      </c>
      <c r="M36" t="s">
        <v>55</v>
      </c>
      <c r="N36" t="s">
        <v>30</v>
      </c>
      <c r="O36" t="s">
        <v>77</v>
      </c>
      <c r="P36" t="s">
        <v>78</v>
      </c>
      <c r="Q36" t="s">
        <v>56</v>
      </c>
      <c r="R36" s="1">
        <v>45582</v>
      </c>
      <c r="S36" t="s">
        <v>33</v>
      </c>
      <c r="T36" t="s">
        <v>46</v>
      </c>
      <c r="U36" t="s">
        <v>47</v>
      </c>
      <c r="V36" s="1">
        <v>45604</v>
      </c>
      <c r="W36" t="s">
        <v>48</v>
      </c>
    </row>
    <row r="37" spans="1:23" x14ac:dyDescent="0.3">
      <c r="A37" t="s">
        <v>235</v>
      </c>
      <c r="B37" s="1">
        <v>45574</v>
      </c>
      <c r="C37" t="s">
        <v>236</v>
      </c>
      <c r="D37" t="s">
        <v>25</v>
      </c>
      <c r="E37" t="s">
        <v>237</v>
      </c>
      <c r="F37" t="s">
        <v>40</v>
      </c>
      <c r="G37" t="s">
        <v>238</v>
      </c>
      <c r="H37">
        <v>1999</v>
      </c>
      <c r="I37">
        <v>1</v>
      </c>
      <c r="J37">
        <v>1999</v>
      </c>
      <c r="K37" t="s">
        <v>42</v>
      </c>
      <c r="L37">
        <v>20</v>
      </c>
      <c r="M37" t="s">
        <v>111</v>
      </c>
      <c r="N37" t="s">
        <v>44</v>
      </c>
      <c r="O37" t="s">
        <v>84</v>
      </c>
      <c r="P37" t="s">
        <v>32</v>
      </c>
      <c r="Q37" t="s">
        <v>31</v>
      </c>
      <c r="R37" s="1">
        <v>45581</v>
      </c>
      <c r="S37" t="s">
        <v>33</v>
      </c>
      <c r="T37" t="s">
        <v>34</v>
      </c>
      <c r="W37" t="s">
        <v>35</v>
      </c>
    </row>
    <row r="38" spans="1:23" x14ac:dyDescent="0.3">
      <c r="A38" t="s">
        <v>239</v>
      </c>
      <c r="B38" s="1">
        <v>45574</v>
      </c>
      <c r="C38" t="s">
        <v>240</v>
      </c>
      <c r="D38" t="s">
        <v>25</v>
      </c>
      <c r="E38" t="s">
        <v>241</v>
      </c>
      <c r="F38" t="s">
        <v>27</v>
      </c>
      <c r="G38" t="s">
        <v>242</v>
      </c>
      <c r="H38">
        <v>1799</v>
      </c>
      <c r="I38">
        <v>1</v>
      </c>
      <c r="J38">
        <v>1799</v>
      </c>
      <c r="L38">
        <v>0</v>
      </c>
      <c r="M38" t="s">
        <v>29</v>
      </c>
      <c r="N38" t="s">
        <v>65</v>
      </c>
      <c r="O38" t="s">
        <v>96</v>
      </c>
      <c r="P38" t="s">
        <v>97</v>
      </c>
      <c r="Q38" t="s">
        <v>31</v>
      </c>
      <c r="R38" s="1">
        <v>45582</v>
      </c>
      <c r="S38" t="s">
        <v>33</v>
      </c>
      <c r="T38" t="s">
        <v>46</v>
      </c>
      <c r="U38" t="s">
        <v>79</v>
      </c>
      <c r="V38" s="1">
        <v>45608</v>
      </c>
      <c r="W38" t="s">
        <v>48</v>
      </c>
    </row>
    <row r="39" spans="1:23" x14ac:dyDescent="0.3">
      <c r="A39" t="s">
        <v>243</v>
      </c>
      <c r="B39" s="1">
        <v>45574</v>
      </c>
      <c r="C39" t="s">
        <v>244</v>
      </c>
      <c r="D39" t="s">
        <v>38</v>
      </c>
      <c r="E39" t="s">
        <v>245</v>
      </c>
      <c r="F39" t="s">
        <v>61</v>
      </c>
      <c r="G39" t="s">
        <v>246</v>
      </c>
      <c r="H39">
        <v>7999</v>
      </c>
      <c r="I39">
        <v>1</v>
      </c>
      <c r="J39">
        <v>7999</v>
      </c>
      <c r="L39">
        <v>0</v>
      </c>
      <c r="M39" t="s">
        <v>43</v>
      </c>
      <c r="N39" t="s">
        <v>30</v>
      </c>
      <c r="O39" t="s">
        <v>102</v>
      </c>
      <c r="P39" t="s">
        <v>103</v>
      </c>
      <c r="Q39" t="s">
        <v>45</v>
      </c>
      <c r="R39" s="1">
        <v>45583</v>
      </c>
      <c r="S39" t="s">
        <v>33</v>
      </c>
      <c r="T39" t="s">
        <v>34</v>
      </c>
      <c r="W39" t="s">
        <v>35</v>
      </c>
    </row>
    <row r="40" spans="1:23" x14ac:dyDescent="0.3">
      <c r="A40" t="s">
        <v>247</v>
      </c>
      <c r="B40" s="1">
        <v>45574</v>
      </c>
      <c r="C40" t="s">
        <v>248</v>
      </c>
      <c r="D40" t="s">
        <v>25</v>
      </c>
      <c r="E40" t="s">
        <v>249</v>
      </c>
      <c r="F40" t="s">
        <v>71</v>
      </c>
      <c r="G40" t="s">
        <v>250</v>
      </c>
      <c r="H40">
        <v>1499</v>
      </c>
      <c r="I40">
        <v>1</v>
      </c>
      <c r="J40">
        <v>1499</v>
      </c>
      <c r="K40" t="s">
        <v>110</v>
      </c>
      <c r="L40">
        <v>10</v>
      </c>
      <c r="M40" t="s">
        <v>64</v>
      </c>
      <c r="N40" t="s">
        <v>44</v>
      </c>
      <c r="O40" t="s">
        <v>112</v>
      </c>
      <c r="P40" t="s">
        <v>113</v>
      </c>
      <c r="Q40" t="s">
        <v>45</v>
      </c>
      <c r="R40" s="1">
        <v>45582</v>
      </c>
      <c r="S40" t="s">
        <v>33</v>
      </c>
      <c r="T40" t="s">
        <v>34</v>
      </c>
      <c r="W40" t="s">
        <v>35</v>
      </c>
    </row>
    <row r="41" spans="1:23" x14ac:dyDescent="0.3">
      <c r="A41" t="s">
        <v>251</v>
      </c>
      <c r="B41" s="1">
        <v>45575</v>
      </c>
      <c r="C41" t="s">
        <v>252</v>
      </c>
      <c r="D41" t="s">
        <v>25</v>
      </c>
      <c r="E41" t="s">
        <v>253</v>
      </c>
      <c r="F41" t="s">
        <v>53</v>
      </c>
      <c r="G41" t="s">
        <v>254</v>
      </c>
      <c r="H41">
        <v>1699</v>
      </c>
      <c r="I41">
        <v>1</v>
      </c>
      <c r="J41">
        <v>1699</v>
      </c>
      <c r="L41">
        <v>0</v>
      </c>
      <c r="M41" t="s">
        <v>55</v>
      </c>
      <c r="N41" t="s">
        <v>30</v>
      </c>
      <c r="O41" t="s">
        <v>56</v>
      </c>
      <c r="P41" t="s">
        <v>57</v>
      </c>
      <c r="Q41" t="s">
        <v>56</v>
      </c>
      <c r="R41" s="1">
        <v>45584</v>
      </c>
      <c r="S41" t="s">
        <v>33</v>
      </c>
      <c r="T41" t="s">
        <v>46</v>
      </c>
      <c r="U41" t="s">
        <v>47</v>
      </c>
      <c r="V41" s="1">
        <v>45606</v>
      </c>
      <c r="W41" t="s">
        <v>48</v>
      </c>
    </row>
    <row r="42" spans="1:23" x14ac:dyDescent="0.3">
      <c r="A42" t="s">
        <v>255</v>
      </c>
      <c r="B42" s="1">
        <v>45575</v>
      </c>
      <c r="C42" t="s">
        <v>256</v>
      </c>
      <c r="D42" t="s">
        <v>25</v>
      </c>
      <c r="E42" t="s">
        <v>257</v>
      </c>
      <c r="F42" t="s">
        <v>40</v>
      </c>
      <c r="G42" t="s">
        <v>258</v>
      </c>
      <c r="H42">
        <v>2299</v>
      </c>
      <c r="I42">
        <v>1</v>
      </c>
      <c r="J42">
        <v>2299</v>
      </c>
      <c r="L42">
        <v>0</v>
      </c>
      <c r="M42" t="s">
        <v>29</v>
      </c>
      <c r="N42" t="s">
        <v>65</v>
      </c>
      <c r="O42" t="s">
        <v>31</v>
      </c>
      <c r="P42" t="s">
        <v>32</v>
      </c>
      <c r="Q42" t="s">
        <v>31</v>
      </c>
      <c r="R42" s="1">
        <v>45583</v>
      </c>
      <c r="S42" t="s">
        <v>33</v>
      </c>
      <c r="T42" t="s">
        <v>34</v>
      </c>
      <c r="W42" t="s">
        <v>35</v>
      </c>
    </row>
    <row r="43" spans="1:23" x14ac:dyDescent="0.3">
      <c r="A43" t="s">
        <v>259</v>
      </c>
      <c r="B43" s="1">
        <v>45575</v>
      </c>
      <c r="C43" t="s">
        <v>260</v>
      </c>
      <c r="D43" t="s">
        <v>38</v>
      </c>
      <c r="E43" t="s">
        <v>261</v>
      </c>
      <c r="F43" t="s">
        <v>27</v>
      </c>
      <c r="G43" t="s">
        <v>262</v>
      </c>
      <c r="H43">
        <v>1599</v>
      </c>
      <c r="I43">
        <v>2</v>
      </c>
      <c r="J43">
        <v>3198</v>
      </c>
      <c r="K43" t="s">
        <v>42</v>
      </c>
      <c r="L43">
        <v>20</v>
      </c>
      <c r="M43" t="s">
        <v>43</v>
      </c>
      <c r="N43" t="s">
        <v>44</v>
      </c>
      <c r="O43" t="s">
        <v>45</v>
      </c>
      <c r="P43" t="s">
        <v>45</v>
      </c>
      <c r="Q43" t="s">
        <v>45</v>
      </c>
      <c r="R43" s="1">
        <v>45582</v>
      </c>
      <c r="S43" t="s">
        <v>33</v>
      </c>
      <c r="T43" t="s">
        <v>46</v>
      </c>
      <c r="U43" t="s">
        <v>104</v>
      </c>
      <c r="V43" s="1">
        <v>45604</v>
      </c>
      <c r="W43" t="s">
        <v>48</v>
      </c>
    </row>
    <row r="44" spans="1:23" x14ac:dyDescent="0.3">
      <c r="A44" t="s">
        <v>263</v>
      </c>
      <c r="B44" s="1">
        <v>45575</v>
      </c>
      <c r="C44" t="s">
        <v>264</v>
      </c>
      <c r="D44" t="s">
        <v>25</v>
      </c>
      <c r="E44" t="s">
        <v>265</v>
      </c>
      <c r="F44" t="s">
        <v>61</v>
      </c>
      <c r="G44" t="s">
        <v>266</v>
      </c>
      <c r="H44">
        <v>2499</v>
      </c>
      <c r="I44">
        <v>1</v>
      </c>
      <c r="J44">
        <v>2499</v>
      </c>
      <c r="L44">
        <v>0</v>
      </c>
      <c r="M44" t="s">
        <v>111</v>
      </c>
      <c r="N44" t="s">
        <v>30</v>
      </c>
      <c r="O44" t="s">
        <v>118</v>
      </c>
      <c r="P44" t="s">
        <v>119</v>
      </c>
      <c r="Q44" t="s">
        <v>45</v>
      </c>
      <c r="R44" s="1">
        <v>45585</v>
      </c>
      <c r="S44" t="s">
        <v>33</v>
      </c>
      <c r="T44" t="s">
        <v>34</v>
      </c>
      <c r="W44" t="s">
        <v>35</v>
      </c>
    </row>
    <row r="45" spans="1:23" x14ac:dyDescent="0.3">
      <c r="A45" t="s">
        <v>267</v>
      </c>
      <c r="B45" s="1">
        <v>45576</v>
      </c>
      <c r="C45" t="s">
        <v>268</v>
      </c>
      <c r="D45" t="s">
        <v>25</v>
      </c>
      <c r="E45" t="s">
        <v>269</v>
      </c>
      <c r="F45" t="s">
        <v>71</v>
      </c>
      <c r="G45" t="s">
        <v>270</v>
      </c>
      <c r="H45">
        <v>1899</v>
      </c>
      <c r="I45">
        <v>1</v>
      </c>
      <c r="J45">
        <v>1899</v>
      </c>
      <c r="L45">
        <v>0</v>
      </c>
      <c r="M45" t="s">
        <v>64</v>
      </c>
      <c r="N45" t="s">
        <v>65</v>
      </c>
      <c r="O45" t="s">
        <v>137</v>
      </c>
      <c r="P45" t="s">
        <v>113</v>
      </c>
      <c r="Q45" t="s">
        <v>45</v>
      </c>
      <c r="R45" s="1">
        <v>45586</v>
      </c>
      <c r="S45" t="s">
        <v>33</v>
      </c>
      <c r="T45" t="s">
        <v>46</v>
      </c>
      <c r="U45" t="s">
        <v>138</v>
      </c>
      <c r="V45" s="1">
        <v>45608</v>
      </c>
      <c r="W45" t="s">
        <v>48</v>
      </c>
    </row>
    <row r="46" spans="1:23" x14ac:dyDescent="0.3">
      <c r="A46" t="s">
        <v>271</v>
      </c>
      <c r="B46" s="1">
        <v>45576</v>
      </c>
      <c r="C46" t="s">
        <v>272</v>
      </c>
      <c r="D46" t="s">
        <v>25</v>
      </c>
      <c r="E46" t="s">
        <v>273</v>
      </c>
      <c r="F46" t="s">
        <v>53</v>
      </c>
      <c r="G46" t="s">
        <v>274</v>
      </c>
      <c r="H46">
        <v>1999</v>
      </c>
      <c r="I46">
        <v>1</v>
      </c>
      <c r="J46">
        <v>1999</v>
      </c>
      <c r="K46" t="s">
        <v>63</v>
      </c>
      <c r="L46">
        <v>15</v>
      </c>
      <c r="M46" t="s">
        <v>29</v>
      </c>
      <c r="N46" t="s">
        <v>44</v>
      </c>
      <c r="O46" t="s">
        <v>143</v>
      </c>
      <c r="P46" t="s">
        <v>144</v>
      </c>
      <c r="Q46" t="s">
        <v>45</v>
      </c>
      <c r="R46" s="1">
        <v>45584</v>
      </c>
      <c r="S46" t="s">
        <v>33</v>
      </c>
      <c r="T46" t="s">
        <v>34</v>
      </c>
      <c r="W46" t="s">
        <v>35</v>
      </c>
    </row>
    <row r="47" spans="1:23" x14ac:dyDescent="0.3">
      <c r="A47" t="s">
        <v>275</v>
      </c>
      <c r="B47" s="1">
        <v>45576</v>
      </c>
      <c r="C47" t="s">
        <v>276</v>
      </c>
      <c r="D47" t="s">
        <v>38</v>
      </c>
      <c r="E47" t="s">
        <v>277</v>
      </c>
      <c r="F47" t="s">
        <v>40</v>
      </c>
      <c r="G47" t="s">
        <v>278</v>
      </c>
      <c r="H47">
        <v>2599</v>
      </c>
      <c r="I47">
        <v>1</v>
      </c>
      <c r="J47">
        <v>2599</v>
      </c>
      <c r="L47">
        <v>0</v>
      </c>
      <c r="M47" t="s">
        <v>43</v>
      </c>
      <c r="N47" t="s">
        <v>30</v>
      </c>
      <c r="O47" t="s">
        <v>150</v>
      </c>
      <c r="P47" t="s">
        <v>151</v>
      </c>
      <c r="Q47" t="s">
        <v>31</v>
      </c>
      <c r="R47" s="1">
        <v>45585</v>
      </c>
      <c r="S47" t="s">
        <v>33</v>
      </c>
      <c r="T47" t="s">
        <v>34</v>
      </c>
      <c r="W47" t="s">
        <v>35</v>
      </c>
    </row>
    <row r="48" spans="1:23" x14ac:dyDescent="0.3">
      <c r="A48" t="s">
        <v>279</v>
      </c>
      <c r="B48" s="1">
        <v>45576</v>
      </c>
      <c r="C48" t="s">
        <v>280</v>
      </c>
      <c r="D48" t="s">
        <v>25</v>
      </c>
      <c r="E48" t="s">
        <v>281</v>
      </c>
      <c r="F48" t="s">
        <v>27</v>
      </c>
      <c r="G48" t="s">
        <v>282</v>
      </c>
      <c r="H48">
        <v>1299</v>
      </c>
      <c r="I48">
        <v>1</v>
      </c>
      <c r="J48">
        <v>1299</v>
      </c>
      <c r="L48">
        <v>0</v>
      </c>
      <c r="M48" t="s">
        <v>55</v>
      </c>
      <c r="N48" t="s">
        <v>65</v>
      </c>
      <c r="O48" t="s">
        <v>156</v>
      </c>
      <c r="P48" t="s">
        <v>97</v>
      </c>
      <c r="Q48" t="s">
        <v>31</v>
      </c>
      <c r="S48" t="s">
        <v>120</v>
      </c>
      <c r="T48" t="s">
        <v>34</v>
      </c>
      <c r="W48" t="s">
        <v>35</v>
      </c>
    </row>
    <row r="49" spans="1:23" x14ac:dyDescent="0.3">
      <c r="A49" t="s">
        <v>283</v>
      </c>
      <c r="B49" s="1">
        <v>45577</v>
      </c>
      <c r="C49" t="s">
        <v>284</v>
      </c>
      <c r="D49" t="s">
        <v>25</v>
      </c>
      <c r="E49" t="s">
        <v>285</v>
      </c>
      <c r="F49" t="s">
        <v>61</v>
      </c>
      <c r="G49" t="s">
        <v>286</v>
      </c>
      <c r="H49">
        <v>5999</v>
      </c>
      <c r="I49">
        <v>1</v>
      </c>
      <c r="J49">
        <v>5999</v>
      </c>
      <c r="K49" t="s">
        <v>42</v>
      </c>
      <c r="L49">
        <v>20</v>
      </c>
      <c r="M49" t="s">
        <v>43</v>
      </c>
      <c r="N49" t="s">
        <v>44</v>
      </c>
      <c r="O49" t="s">
        <v>161</v>
      </c>
      <c r="P49" t="s">
        <v>162</v>
      </c>
      <c r="Q49" t="s">
        <v>45</v>
      </c>
      <c r="R49" s="1">
        <v>45587</v>
      </c>
      <c r="S49" t="s">
        <v>33</v>
      </c>
      <c r="T49" t="s">
        <v>46</v>
      </c>
      <c r="U49" t="s">
        <v>47</v>
      </c>
      <c r="V49" s="1">
        <v>45611</v>
      </c>
      <c r="W49" t="s">
        <v>48</v>
      </c>
    </row>
    <row r="50" spans="1:23" x14ac:dyDescent="0.3">
      <c r="A50" t="s">
        <v>287</v>
      </c>
      <c r="B50" s="1">
        <v>45577</v>
      </c>
      <c r="C50" t="s">
        <v>288</v>
      </c>
      <c r="D50" t="s">
        <v>25</v>
      </c>
      <c r="E50" t="s">
        <v>289</v>
      </c>
      <c r="F50" t="s">
        <v>71</v>
      </c>
      <c r="G50" t="s">
        <v>290</v>
      </c>
      <c r="H50">
        <v>799</v>
      </c>
      <c r="I50">
        <v>2</v>
      </c>
      <c r="J50">
        <v>1598</v>
      </c>
      <c r="L50">
        <v>0</v>
      </c>
      <c r="M50" t="s">
        <v>29</v>
      </c>
      <c r="N50" t="s">
        <v>30</v>
      </c>
      <c r="O50" t="s">
        <v>167</v>
      </c>
      <c r="P50" t="s">
        <v>151</v>
      </c>
      <c r="Q50" t="s">
        <v>31</v>
      </c>
      <c r="R50" s="1">
        <v>45585</v>
      </c>
      <c r="S50" t="s">
        <v>33</v>
      </c>
      <c r="T50" t="s">
        <v>34</v>
      </c>
      <c r="W50" t="s">
        <v>35</v>
      </c>
    </row>
    <row r="51" spans="1:23" x14ac:dyDescent="0.3">
      <c r="A51" t="s">
        <v>291</v>
      </c>
      <c r="B51" s="1">
        <v>45577</v>
      </c>
      <c r="C51" t="s">
        <v>292</v>
      </c>
      <c r="D51" t="s">
        <v>38</v>
      </c>
      <c r="E51" t="s">
        <v>293</v>
      </c>
      <c r="F51" t="s">
        <v>53</v>
      </c>
      <c r="G51" t="s">
        <v>294</v>
      </c>
      <c r="H51">
        <v>999</v>
      </c>
      <c r="I51">
        <v>2</v>
      </c>
      <c r="J51">
        <v>1998</v>
      </c>
      <c r="L51">
        <v>0</v>
      </c>
      <c r="M51" t="s">
        <v>111</v>
      </c>
      <c r="N51" t="s">
        <v>44</v>
      </c>
      <c r="O51" t="s">
        <v>172</v>
      </c>
      <c r="P51" t="s">
        <v>32</v>
      </c>
      <c r="Q51" t="s">
        <v>31</v>
      </c>
      <c r="R51" s="1">
        <v>45584</v>
      </c>
      <c r="S51" t="s">
        <v>33</v>
      </c>
      <c r="T51" t="s">
        <v>34</v>
      </c>
      <c r="W51" t="s">
        <v>35</v>
      </c>
    </row>
    <row r="52" spans="1:23" x14ac:dyDescent="0.3">
      <c r="A52" t="s">
        <v>295</v>
      </c>
      <c r="B52" s="1">
        <v>45577</v>
      </c>
      <c r="C52" t="s">
        <v>296</v>
      </c>
      <c r="D52" t="s">
        <v>25</v>
      </c>
      <c r="E52" t="s">
        <v>297</v>
      </c>
      <c r="F52" t="s">
        <v>40</v>
      </c>
      <c r="G52" t="s">
        <v>298</v>
      </c>
      <c r="H52">
        <v>1899</v>
      </c>
      <c r="I52">
        <v>1</v>
      </c>
      <c r="J52">
        <v>1899</v>
      </c>
      <c r="L52">
        <v>0</v>
      </c>
      <c r="M52" t="s">
        <v>64</v>
      </c>
      <c r="N52" t="s">
        <v>65</v>
      </c>
      <c r="O52" t="s">
        <v>177</v>
      </c>
      <c r="P52" t="s">
        <v>67</v>
      </c>
      <c r="Q52" t="s">
        <v>56</v>
      </c>
      <c r="R52" s="1">
        <v>45587</v>
      </c>
      <c r="S52" t="s">
        <v>33</v>
      </c>
      <c r="T52" t="s">
        <v>46</v>
      </c>
      <c r="U52" t="s">
        <v>68</v>
      </c>
      <c r="V52" s="1">
        <v>45610</v>
      </c>
      <c r="W52" t="s">
        <v>48</v>
      </c>
    </row>
    <row r="53" spans="1:23" x14ac:dyDescent="0.3">
      <c r="A53" t="s">
        <v>299</v>
      </c>
      <c r="B53" s="1">
        <v>45578</v>
      </c>
      <c r="C53" t="s">
        <v>300</v>
      </c>
      <c r="D53" t="s">
        <v>25</v>
      </c>
      <c r="E53" t="s">
        <v>301</v>
      </c>
      <c r="F53" t="s">
        <v>27</v>
      </c>
      <c r="G53" t="s">
        <v>302</v>
      </c>
      <c r="H53">
        <v>1699</v>
      </c>
      <c r="I53">
        <v>1</v>
      </c>
      <c r="J53">
        <v>1699</v>
      </c>
      <c r="K53" t="s">
        <v>110</v>
      </c>
      <c r="L53">
        <v>10</v>
      </c>
      <c r="M53" t="s">
        <v>43</v>
      </c>
      <c r="N53" t="s">
        <v>30</v>
      </c>
      <c r="O53" t="s">
        <v>182</v>
      </c>
      <c r="P53" t="s">
        <v>183</v>
      </c>
      <c r="Q53" t="s">
        <v>56</v>
      </c>
      <c r="R53" s="1">
        <v>45586</v>
      </c>
      <c r="S53" t="s">
        <v>33</v>
      </c>
      <c r="T53" t="s">
        <v>34</v>
      </c>
      <c r="W53" t="s">
        <v>35</v>
      </c>
    </row>
    <row r="54" spans="1:23" x14ac:dyDescent="0.3">
      <c r="A54" t="s">
        <v>303</v>
      </c>
      <c r="B54" s="1">
        <v>45578</v>
      </c>
      <c r="C54" t="s">
        <v>304</v>
      </c>
      <c r="D54" t="s">
        <v>25</v>
      </c>
      <c r="E54" t="s">
        <v>305</v>
      </c>
      <c r="F54" t="s">
        <v>61</v>
      </c>
      <c r="G54" t="s">
        <v>306</v>
      </c>
      <c r="H54">
        <v>3799</v>
      </c>
      <c r="I54">
        <v>1</v>
      </c>
      <c r="J54">
        <v>3799</v>
      </c>
      <c r="L54">
        <v>0</v>
      </c>
      <c r="M54" t="s">
        <v>29</v>
      </c>
      <c r="N54" t="s">
        <v>44</v>
      </c>
      <c r="O54" t="s">
        <v>188</v>
      </c>
      <c r="P54" t="s">
        <v>189</v>
      </c>
      <c r="Q54" t="s">
        <v>56</v>
      </c>
      <c r="R54" s="1">
        <v>45588</v>
      </c>
      <c r="S54" t="s">
        <v>33</v>
      </c>
      <c r="T54" t="s">
        <v>46</v>
      </c>
      <c r="U54" t="s">
        <v>47</v>
      </c>
      <c r="V54" s="1">
        <v>45614</v>
      </c>
      <c r="W54" t="s">
        <v>48</v>
      </c>
    </row>
    <row r="55" spans="1:23" x14ac:dyDescent="0.3">
      <c r="A55" t="s">
        <v>307</v>
      </c>
      <c r="B55" s="1">
        <v>45578</v>
      </c>
      <c r="C55" t="s">
        <v>308</v>
      </c>
      <c r="D55" t="s">
        <v>38</v>
      </c>
      <c r="E55" t="s">
        <v>309</v>
      </c>
      <c r="F55" t="s">
        <v>71</v>
      </c>
      <c r="G55" t="s">
        <v>310</v>
      </c>
      <c r="H55">
        <v>1299</v>
      </c>
      <c r="I55">
        <v>1</v>
      </c>
      <c r="J55">
        <v>1299</v>
      </c>
      <c r="L55">
        <v>0</v>
      </c>
      <c r="M55" t="s">
        <v>55</v>
      </c>
      <c r="N55" t="s">
        <v>65</v>
      </c>
      <c r="O55" t="s">
        <v>194</v>
      </c>
      <c r="P55" t="s">
        <v>183</v>
      </c>
      <c r="Q55" t="s">
        <v>56</v>
      </c>
      <c r="R55" s="1">
        <v>45587</v>
      </c>
      <c r="S55" t="s">
        <v>33</v>
      </c>
      <c r="T55" t="s">
        <v>34</v>
      </c>
      <c r="W55" t="s">
        <v>35</v>
      </c>
    </row>
    <row r="56" spans="1:23" x14ac:dyDescent="0.3">
      <c r="A56" t="s">
        <v>311</v>
      </c>
      <c r="B56" s="1">
        <v>45578</v>
      </c>
      <c r="C56" t="s">
        <v>312</v>
      </c>
      <c r="D56" t="s">
        <v>25</v>
      </c>
      <c r="E56" t="s">
        <v>313</v>
      </c>
      <c r="F56" t="s">
        <v>53</v>
      </c>
      <c r="G56" t="s">
        <v>314</v>
      </c>
      <c r="H56">
        <v>2099</v>
      </c>
      <c r="I56">
        <v>1</v>
      </c>
      <c r="J56">
        <v>2099</v>
      </c>
      <c r="K56" t="s">
        <v>42</v>
      </c>
      <c r="L56">
        <v>20</v>
      </c>
      <c r="M56" t="s">
        <v>43</v>
      </c>
      <c r="N56" t="s">
        <v>30</v>
      </c>
      <c r="O56" t="s">
        <v>199</v>
      </c>
      <c r="P56" t="s">
        <v>57</v>
      </c>
      <c r="Q56" t="s">
        <v>56</v>
      </c>
      <c r="R56" s="1">
        <v>45589</v>
      </c>
      <c r="S56" t="s">
        <v>33</v>
      </c>
      <c r="T56" t="s">
        <v>34</v>
      </c>
      <c r="W56" t="s">
        <v>35</v>
      </c>
    </row>
    <row r="57" spans="1:23" x14ac:dyDescent="0.3">
      <c r="A57" t="s">
        <v>315</v>
      </c>
      <c r="B57" s="1">
        <v>45579</v>
      </c>
      <c r="C57" t="s">
        <v>316</v>
      </c>
      <c r="D57" t="s">
        <v>25</v>
      </c>
      <c r="E57" t="s">
        <v>317</v>
      </c>
      <c r="F57" t="s">
        <v>40</v>
      </c>
      <c r="G57" t="s">
        <v>318</v>
      </c>
      <c r="H57">
        <v>2799</v>
      </c>
      <c r="I57">
        <v>1</v>
      </c>
      <c r="J57">
        <v>2799</v>
      </c>
      <c r="L57">
        <v>0</v>
      </c>
      <c r="M57" t="s">
        <v>64</v>
      </c>
      <c r="N57" t="s">
        <v>44</v>
      </c>
      <c r="O57" t="s">
        <v>204</v>
      </c>
      <c r="P57" t="s">
        <v>97</v>
      </c>
      <c r="Q57" t="s">
        <v>31</v>
      </c>
      <c r="R57" s="1">
        <v>45588</v>
      </c>
      <c r="S57" t="s">
        <v>33</v>
      </c>
      <c r="T57" t="s">
        <v>46</v>
      </c>
      <c r="U57" t="s">
        <v>79</v>
      </c>
      <c r="V57" s="1">
        <v>45612</v>
      </c>
      <c r="W57" t="s">
        <v>48</v>
      </c>
    </row>
    <row r="58" spans="1:23" x14ac:dyDescent="0.3">
      <c r="A58" t="s">
        <v>319</v>
      </c>
      <c r="B58" s="1">
        <v>45579</v>
      </c>
      <c r="C58" t="s">
        <v>320</v>
      </c>
      <c r="D58" t="s">
        <v>25</v>
      </c>
      <c r="E58" t="s">
        <v>321</v>
      </c>
      <c r="F58" t="s">
        <v>27</v>
      </c>
      <c r="G58" t="s">
        <v>322</v>
      </c>
      <c r="H58">
        <v>1499</v>
      </c>
      <c r="I58">
        <v>1</v>
      </c>
      <c r="J58">
        <v>1499</v>
      </c>
      <c r="L58">
        <v>0</v>
      </c>
      <c r="M58" t="s">
        <v>111</v>
      </c>
      <c r="N58" t="s">
        <v>30</v>
      </c>
      <c r="O58" t="s">
        <v>209</v>
      </c>
      <c r="P58" t="s">
        <v>97</v>
      </c>
      <c r="Q58" t="s">
        <v>31</v>
      </c>
      <c r="R58" s="1">
        <v>45587</v>
      </c>
      <c r="S58" t="s">
        <v>33</v>
      </c>
      <c r="T58" t="s">
        <v>34</v>
      </c>
      <c r="W58" t="s">
        <v>35</v>
      </c>
    </row>
    <row r="59" spans="1:23" x14ac:dyDescent="0.3">
      <c r="A59" t="s">
        <v>323</v>
      </c>
      <c r="B59" s="1">
        <v>45579</v>
      </c>
      <c r="C59" t="s">
        <v>324</v>
      </c>
      <c r="D59" t="s">
        <v>38</v>
      </c>
      <c r="E59" t="s">
        <v>325</v>
      </c>
      <c r="F59" t="s">
        <v>61</v>
      </c>
      <c r="G59" t="s">
        <v>326</v>
      </c>
      <c r="H59">
        <v>4499</v>
      </c>
      <c r="I59">
        <v>1</v>
      </c>
      <c r="J59">
        <v>4499</v>
      </c>
      <c r="K59" t="s">
        <v>63</v>
      </c>
      <c r="L59">
        <v>15</v>
      </c>
      <c r="M59" t="s">
        <v>29</v>
      </c>
      <c r="N59" t="s">
        <v>65</v>
      </c>
      <c r="O59" t="s">
        <v>214</v>
      </c>
      <c r="P59" t="s">
        <v>113</v>
      </c>
      <c r="Q59" t="s">
        <v>45</v>
      </c>
      <c r="R59" s="1">
        <v>45590</v>
      </c>
      <c r="S59" t="s">
        <v>33</v>
      </c>
      <c r="T59" t="s">
        <v>46</v>
      </c>
      <c r="U59" t="s">
        <v>104</v>
      </c>
      <c r="V59" s="1">
        <v>45616</v>
      </c>
      <c r="W59" t="s">
        <v>48</v>
      </c>
    </row>
    <row r="60" spans="1:23" x14ac:dyDescent="0.3">
      <c r="A60" t="s">
        <v>327</v>
      </c>
      <c r="B60" s="1">
        <v>45579</v>
      </c>
      <c r="C60" t="s">
        <v>328</v>
      </c>
      <c r="D60" t="s">
        <v>25</v>
      </c>
      <c r="E60" t="s">
        <v>329</v>
      </c>
      <c r="F60" t="s">
        <v>71</v>
      </c>
      <c r="G60" t="s">
        <v>330</v>
      </c>
      <c r="H60">
        <v>899</v>
      </c>
      <c r="I60">
        <v>1</v>
      </c>
      <c r="J60">
        <v>899</v>
      </c>
      <c r="L60">
        <v>0</v>
      </c>
      <c r="M60" t="s">
        <v>43</v>
      </c>
      <c r="N60" t="s">
        <v>44</v>
      </c>
      <c r="O60" t="s">
        <v>31</v>
      </c>
      <c r="P60" t="s">
        <v>32</v>
      </c>
      <c r="Q60" t="s">
        <v>31</v>
      </c>
      <c r="R60" s="1">
        <v>45588</v>
      </c>
      <c r="S60" t="s">
        <v>33</v>
      </c>
      <c r="T60" t="s">
        <v>34</v>
      </c>
      <c r="W60" t="s">
        <v>35</v>
      </c>
    </row>
    <row r="61" spans="1:23" x14ac:dyDescent="0.3">
      <c r="A61" t="s">
        <v>331</v>
      </c>
      <c r="B61" s="1">
        <v>45580</v>
      </c>
      <c r="C61" t="s">
        <v>332</v>
      </c>
      <c r="D61" t="s">
        <v>25</v>
      </c>
      <c r="E61" t="s">
        <v>333</v>
      </c>
      <c r="F61" t="s">
        <v>53</v>
      </c>
      <c r="G61" t="s">
        <v>334</v>
      </c>
      <c r="H61">
        <v>1799</v>
      </c>
      <c r="I61">
        <v>1</v>
      </c>
      <c r="J61">
        <v>1799</v>
      </c>
      <c r="L61">
        <v>0</v>
      </c>
      <c r="M61" t="s">
        <v>55</v>
      </c>
      <c r="N61" t="s">
        <v>30</v>
      </c>
      <c r="O61" t="s">
        <v>45</v>
      </c>
      <c r="P61" t="s">
        <v>45</v>
      </c>
      <c r="Q61" t="s">
        <v>45</v>
      </c>
      <c r="S61" t="s">
        <v>120</v>
      </c>
      <c r="T61" t="s">
        <v>34</v>
      </c>
      <c r="W61" t="s">
        <v>35</v>
      </c>
    </row>
    <row r="62" spans="1:23" x14ac:dyDescent="0.3">
      <c r="A62" t="s">
        <v>335</v>
      </c>
      <c r="B62" s="1">
        <v>45580</v>
      </c>
      <c r="C62" t="s">
        <v>336</v>
      </c>
      <c r="D62" t="s">
        <v>25</v>
      </c>
      <c r="E62" t="s">
        <v>337</v>
      </c>
      <c r="F62" t="s">
        <v>40</v>
      </c>
      <c r="G62" t="s">
        <v>338</v>
      </c>
      <c r="H62">
        <v>2199</v>
      </c>
      <c r="I62">
        <v>1</v>
      </c>
      <c r="J62">
        <v>2199</v>
      </c>
      <c r="K62" t="s">
        <v>42</v>
      </c>
      <c r="L62">
        <v>20</v>
      </c>
      <c r="M62" t="s">
        <v>64</v>
      </c>
      <c r="N62" t="s">
        <v>65</v>
      </c>
      <c r="O62" t="s">
        <v>90</v>
      </c>
      <c r="P62" t="s">
        <v>91</v>
      </c>
      <c r="Q62" t="s">
        <v>45</v>
      </c>
      <c r="R62" s="1">
        <v>45591</v>
      </c>
      <c r="S62" t="s">
        <v>33</v>
      </c>
      <c r="T62" t="s">
        <v>46</v>
      </c>
      <c r="U62" t="s">
        <v>47</v>
      </c>
      <c r="V62" s="1">
        <v>45618</v>
      </c>
      <c r="W62" t="s">
        <v>48</v>
      </c>
    </row>
    <row r="63" spans="1:23" x14ac:dyDescent="0.3">
      <c r="A63" t="s">
        <v>339</v>
      </c>
      <c r="B63" s="1">
        <v>45580</v>
      </c>
      <c r="C63" t="s">
        <v>340</v>
      </c>
      <c r="D63" t="s">
        <v>38</v>
      </c>
      <c r="E63" t="s">
        <v>341</v>
      </c>
      <c r="F63" t="s">
        <v>27</v>
      </c>
      <c r="G63" t="s">
        <v>342</v>
      </c>
      <c r="H63">
        <v>1399</v>
      </c>
      <c r="I63">
        <v>1</v>
      </c>
      <c r="J63">
        <v>1399</v>
      </c>
      <c r="L63">
        <v>0</v>
      </c>
      <c r="M63" t="s">
        <v>29</v>
      </c>
      <c r="N63" t="s">
        <v>44</v>
      </c>
      <c r="O63" t="s">
        <v>66</v>
      </c>
      <c r="P63" t="s">
        <v>67</v>
      </c>
      <c r="Q63" t="s">
        <v>56</v>
      </c>
      <c r="R63" s="1">
        <v>45589</v>
      </c>
      <c r="S63" t="s">
        <v>33</v>
      </c>
      <c r="T63" t="s">
        <v>34</v>
      </c>
      <c r="W63" t="s">
        <v>35</v>
      </c>
    </row>
    <row r="64" spans="1:23" x14ac:dyDescent="0.3">
      <c r="A64" t="s">
        <v>343</v>
      </c>
      <c r="B64" s="1">
        <v>45580</v>
      </c>
      <c r="C64" t="s">
        <v>344</v>
      </c>
      <c r="D64" t="s">
        <v>25</v>
      </c>
      <c r="E64" t="s">
        <v>345</v>
      </c>
      <c r="F64" t="s">
        <v>61</v>
      </c>
      <c r="G64" t="s">
        <v>346</v>
      </c>
      <c r="H64">
        <v>2999</v>
      </c>
      <c r="I64">
        <v>1</v>
      </c>
      <c r="J64">
        <v>2999</v>
      </c>
      <c r="L64">
        <v>0</v>
      </c>
      <c r="M64" t="s">
        <v>43</v>
      </c>
      <c r="N64" t="s">
        <v>30</v>
      </c>
      <c r="O64" t="s">
        <v>77</v>
      </c>
      <c r="P64" t="s">
        <v>78</v>
      </c>
      <c r="Q64" t="s">
        <v>56</v>
      </c>
      <c r="R64" s="1">
        <v>45592</v>
      </c>
      <c r="S64" t="s">
        <v>33</v>
      </c>
      <c r="T64" t="s">
        <v>46</v>
      </c>
      <c r="U64" t="s">
        <v>68</v>
      </c>
      <c r="V64" s="1">
        <v>45620</v>
      </c>
      <c r="W64" t="s">
        <v>48</v>
      </c>
    </row>
    <row r="65" spans="1:23" x14ac:dyDescent="0.3">
      <c r="A65" t="s">
        <v>347</v>
      </c>
      <c r="B65" s="1">
        <v>45581</v>
      </c>
      <c r="C65" t="s">
        <v>348</v>
      </c>
      <c r="D65" t="s">
        <v>25</v>
      </c>
      <c r="E65" t="s">
        <v>349</v>
      </c>
      <c r="F65" t="s">
        <v>71</v>
      </c>
      <c r="G65" t="s">
        <v>350</v>
      </c>
      <c r="H65">
        <v>699</v>
      </c>
      <c r="I65">
        <v>2</v>
      </c>
      <c r="J65">
        <v>1398</v>
      </c>
      <c r="K65" t="s">
        <v>110</v>
      </c>
      <c r="L65">
        <v>10</v>
      </c>
      <c r="M65" t="s">
        <v>111</v>
      </c>
      <c r="N65" t="s">
        <v>65</v>
      </c>
      <c r="O65" t="s">
        <v>84</v>
      </c>
      <c r="P65" t="s">
        <v>32</v>
      </c>
      <c r="Q65" t="s">
        <v>31</v>
      </c>
      <c r="R65" s="1">
        <v>45590</v>
      </c>
      <c r="S65" t="s">
        <v>33</v>
      </c>
      <c r="T65" t="s">
        <v>34</v>
      </c>
      <c r="W65" t="s">
        <v>35</v>
      </c>
    </row>
    <row r="66" spans="1:23" x14ac:dyDescent="0.3">
      <c r="A66" t="s">
        <v>351</v>
      </c>
      <c r="B66" s="1">
        <v>45581</v>
      </c>
      <c r="C66" t="s">
        <v>352</v>
      </c>
      <c r="D66" t="s">
        <v>25</v>
      </c>
      <c r="E66" t="s">
        <v>353</v>
      </c>
      <c r="F66" t="s">
        <v>53</v>
      </c>
      <c r="G66" t="s">
        <v>354</v>
      </c>
      <c r="H66">
        <v>2199</v>
      </c>
      <c r="I66">
        <v>1</v>
      </c>
      <c r="J66">
        <v>2199</v>
      </c>
      <c r="L66">
        <v>0</v>
      </c>
      <c r="M66" t="s">
        <v>55</v>
      </c>
      <c r="N66" t="s">
        <v>44</v>
      </c>
      <c r="O66" t="s">
        <v>96</v>
      </c>
      <c r="P66" t="s">
        <v>97</v>
      </c>
      <c r="Q66" t="s">
        <v>31</v>
      </c>
      <c r="R66" s="1">
        <v>45593</v>
      </c>
      <c r="S66" t="s">
        <v>33</v>
      </c>
      <c r="T66" t="s">
        <v>46</v>
      </c>
      <c r="U66" t="s">
        <v>47</v>
      </c>
      <c r="V66" s="1">
        <v>45621</v>
      </c>
      <c r="W66" t="s">
        <v>48</v>
      </c>
    </row>
    <row r="67" spans="1:23" x14ac:dyDescent="0.3">
      <c r="A67" t="s">
        <v>355</v>
      </c>
      <c r="B67" s="1">
        <v>45581</v>
      </c>
      <c r="C67" t="s">
        <v>356</v>
      </c>
      <c r="D67" t="s">
        <v>38</v>
      </c>
      <c r="E67" t="s">
        <v>357</v>
      </c>
      <c r="F67" t="s">
        <v>40</v>
      </c>
      <c r="G67" t="s">
        <v>358</v>
      </c>
      <c r="H67">
        <v>2499</v>
      </c>
      <c r="I67">
        <v>1</v>
      </c>
      <c r="J67">
        <v>2499</v>
      </c>
      <c r="L67">
        <v>0</v>
      </c>
      <c r="M67" t="s">
        <v>43</v>
      </c>
      <c r="N67" t="s">
        <v>30</v>
      </c>
      <c r="O67" t="s">
        <v>102</v>
      </c>
      <c r="P67" t="s">
        <v>103</v>
      </c>
      <c r="Q67" t="s">
        <v>45</v>
      </c>
      <c r="R67" s="1">
        <v>45591</v>
      </c>
      <c r="S67" t="s">
        <v>33</v>
      </c>
      <c r="T67" t="s">
        <v>34</v>
      </c>
      <c r="W67" t="s">
        <v>35</v>
      </c>
    </row>
    <row r="68" spans="1:23" x14ac:dyDescent="0.3">
      <c r="A68" t="s">
        <v>359</v>
      </c>
      <c r="B68" s="1">
        <v>45581</v>
      </c>
      <c r="C68" t="s">
        <v>360</v>
      </c>
      <c r="D68" t="s">
        <v>25</v>
      </c>
      <c r="E68" t="s">
        <v>361</v>
      </c>
      <c r="F68" t="s">
        <v>27</v>
      </c>
      <c r="G68" t="s">
        <v>362</v>
      </c>
      <c r="H68">
        <v>1899</v>
      </c>
      <c r="I68">
        <v>1</v>
      </c>
      <c r="J68">
        <v>1899</v>
      </c>
      <c r="K68" t="s">
        <v>42</v>
      </c>
      <c r="L68">
        <v>20</v>
      </c>
      <c r="M68" t="s">
        <v>29</v>
      </c>
      <c r="N68" t="s">
        <v>65</v>
      </c>
      <c r="O68" t="s">
        <v>112</v>
      </c>
      <c r="P68" t="s">
        <v>113</v>
      </c>
      <c r="Q68" t="s">
        <v>45</v>
      </c>
      <c r="R68" s="1">
        <v>45592</v>
      </c>
      <c r="S68" t="s">
        <v>33</v>
      </c>
      <c r="T68" t="s">
        <v>46</v>
      </c>
      <c r="U68" t="s">
        <v>79</v>
      </c>
      <c r="V68" s="1">
        <v>45616</v>
      </c>
      <c r="W68" t="s">
        <v>48</v>
      </c>
    </row>
    <row r="69" spans="1:23" x14ac:dyDescent="0.3">
      <c r="A69" t="s">
        <v>363</v>
      </c>
      <c r="B69" s="1">
        <v>45582</v>
      </c>
      <c r="C69" t="s">
        <v>364</v>
      </c>
      <c r="D69" t="s">
        <v>25</v>
      </c>
      <c r="E69" t="s">
        <v>365</v>
      </c>
      <c r="F69" t="s">
        <v>61</v>
      </c>
      <c r="G69" t="s">
        <v>366</v>
      </c>
      <c r="H69">
        <v>1299</v>
      </c>
      <c r="I69">
        <v>1</v>
      </c>
      <c r="J69">
        <v>1299</v>
      </c>
      <c r="L69">
        <v>0</v>
      </c>
      <c r="M69" t="s">
        <v>64</v>
      </c>
      <c r="N69" t="s">
        <v>44</v>
      </c>
      <c r="O69" t="s">
        <v>56</v>
      </c>
      <c r="P69" t="s">
        <v>57</v>
      </c>
      <c r="Q69" t="s">
        <v>56</v>
      </c>
      <c r="R69" s="1">
        <v>45593</v>
      </c>
      <c r="S69" t="s">
        <v>33</v>
      </c>
      <c r="T69" t="s">
        <v>34</v>
      </c>
      <c r="W69" t="s">
        <v>35</v>
      </c>
    </row>
    <row r="70" spans="1:23" x14ac:dyDescent="0.3">
      <c r="A70" t="s">
        <v>367</v>
      </c>
      <c r="B70" s="1">
        <v>45582</v>
      </c>
      <c r="C70" t="s">
        <v>368</v>
      </c>
      <c r="D70" t="s">
        <v>25</v>
      </c>
      <c r="E70" t="s">
        <v>369</v>
      </c>
      <c r="F70" t="s">
        <v>71</v>
      </c>
      <c r="G70" t="s">
        <v>370</v>
      </c>
      <c r="H70">
        <v>1599</v>
      </c>
      <c r="I70">
        <v>1</v>
      </c>
      <c r="J70">
        <v>1599</v>
      </c>
      <c r="L70">
        <v>0</v>
      </c>
      <c r="M70" t="s">
        <v>43</v>
      </c>
      <c r="N70" t="s">
        <v>30</v>
      </c>
      <c r="O70" t="s">
        <v>31</v>
      </c>
      <c r="P70" t="s">
        <v>32</v>
      </c>
      <c r="Q70" t="s">
        <v>31</v>
      </c>
      <c r="R70" s="1">
        <v>45592</v>
      </c>
      <c r="S70" t="s">
        <v>33</v>
      </c>
      <c r="T70" t="s">
        <v>46</v>
      </c>
      <c r="U70" t="s">
        <v>138</v>
      </c>
      <c r="V70" s="1">
        <v>45618</v>
      </c>
      <c r="W70" t="s">
        <v>48</v>
      </c>
    </row>
    <row r="71" spans="1:23" x14ac:dyDescent="0.3">
      <c r="A71" t="s">
        <v>371</v>
      </c>
      <c r="B71" s="1">
        <v>45582</v>
      </c>
      <c r="C71" t="s">
        <v>372</v>
      </c>
      <c r="D71" t="s">
        <v>38</v>
      </c>
      <c r="E71" t="s">
        <v>373</v>
      </c>
      <c r="F71" t="s">
        <v>53</v>
      </c>
      <c r="G71" t="s">
        <v>374</v>
      </c>
      <c r="H71">
        <v>2099</v>
      </c>
      <c r="I71">
        <v>1</v>
      </c>
      <c r="J71">
        <v>2099</v>
      </c>
      <c r="K71" t="s">
        <v>63</v>
      </c>
      <c r="L71">
        <v>15</v>
      </c>
      <c r="M71" t="s">
        <v>29</v>
      </c>
      <c r="N71" t="s">
        <v>65</v>
      </c>
      <c r="O71" t="s">
        <v>45</v>
      </c>
      <c r="P71" t="s">
        <v>45</v>
      </c>
      <c r="Q71" t="s">
        <v>45</v>
      </c>
      <c r="R71" s="1">
        <v>45594</v>
      </c>
      <c r="S71" t="s">
        <v>33</v>
      </c>
      <c r="T71" t="s">
        <v>34</v>
      </c>
      <c r="W71" t="s">
        <v>35</v>
      </c>
    </row>
    <row r="72" spans="1:23" x14ac:dyDescent="0.3">
      <c r="A72" t="s">
        <v>375</v>
      </c>
      <c r="B72" s="1">
        <v>45582</v>
      </c>
      <c r="C72" t="s">
        <v>376</v>
      </c>
      <c r="D72" t="s">
        <v>25</v>
      </c>
      <c r="E72" t="s">
        <v>377</v>
      </c>
      <c r="F72" t="s">
        <v>40</v>
      </c>
      <c r="G72" t="s">
        <v>378</v>
      </c>
      <c r="H72">
        <v>2299</v>
      </c>
      <c r="I72">
        <v>1</v>
      </c>
      <c r="J72">
        <v>2299</v>
      </c>
      <c r="L72">
        <v>0</v>
      </c>
      <c r="M72" t="s">
        <v>55</v>
      </c>
      <c r="N72" t="s">
        <v>44</v>
      </c>
      <c r="O72" t="s">
        <v>118</v>
      </c>
      <c r="P72" t="s">
        <v>119</v>
      </c>
      <c r="Q72" t="s">
        <v>45</v>
      </c>
      <c r="S72" t="s">
        <v>120</v>
      </c>
      <c r="T72" t="s">
        <v>34</v>
      </c>
      <c r="W72" t="s">
        <v>35</v>
      </c>
    </row>
    <row r="73" spans="1:23" x14ac:dyDescent="0.3">
      <c r="A73" t="s">
        <v>379</v>
      </c>
      <c r="B73" s="1">
        <v>45583</v>
      </c>
      <c r="C73" t="s">
        <v>380</v>
      </c>
      <c r="D73" t="s">
        <v>25</v>
      </c>
      <c r="E73" t="s">
        <v>381</v>
      </c>
      <c r="F73" t="s">
        <v>27</v>
      </c>
      <c r="G73" t="s">
        <v>382</v>
      </c>
      <c r="H73">
        <v>1199</v>
      </c>
      <c r="I73">
        <v>2</v>
      </c>
      <c r="J73">
        <v>2398</v>
      </c>
      <c r="L73">
        <v>0</v>
      </c>
      <c r="M73" t="s">
        <v>111</v>
      </c>
      <c r="N73" t="s">
        <v>30</v>
      </c>
      <c r="O73" t="s">
        <v>137</v>
      </c>
      <c r="P73" t="s">
        <v>113</v>
      </c>
      <c r="Q73" t="s">
        <v>45</v>
      </c>
      <c r="R73" s="1">
        <v>45593</v>
      </c>
      <c r="S73" t="s">
        <v>33</v>
      </c>
      <c r="T73" t="s">
        <v>34</v>
      </c>
      <c r="W73" t="s">
        <v>35</v>
      </c>
    </row>
    <row r="74" spans="1:23" x14ac:dyDescent="0.3">
      <c r="A74" t="s">
        <v>383</v>
      </c>
      <c r="B74" s="1">
        <v>45583</v>
      </c>
      <c r="C74" t="s">
        <v>384</v>
      </c>
      <c r="D74" t="s">
        <v>25</v>
      </c>
      <c r="E74" t="s">
        <v>385</v>
      </c>
      <c r="F74" t="s">
        <v>61</v>
      </c>
      <c r="G74" t="s">
        <v>386</v>
      </c>
      <c r="H74">
        <v>2599</v>
      </c>
      <c r="I74">
        <v>1</v>
      </c>
      <c r="J74">
        <v>2599</v>
      </c>
      <c r="K74" t="s">
        <v>42</v>
      </c>
      <c r="L74">
        <v>20</v>
      </c>
      <c r="M74" t="s">
        <v>43</v>
      </c>
      <c r="N74" t="s">
        <v>65</v>
      </c>
      <c r="O74" t="s">
        <v>143</v>
      </c>
      <c r="P74" t="s">
        <v>144</v>
      </c>
      <c r="Q74" t="s">
        <v>45</v>
      </c>
      <c r="R74" s="1">
        <v>45595</v>
      </c>
      <c r="S74" t="s">
        <v>33</v>
      </c>
      <c r="T74" t="s">
        <v>46</v>
      </c>
      <c r="U74" t="s">
        <v>47</v>
      </c>
      <c r="V74" s="1">
        <v>45622</v>
      </c>
      <c r="W74" t="s">
        <v>48</v>
      </c>
    </row>
    <row r="75" spans="1:23" x14ac:dyDescent="0.3">
      <c r="A75" t="s">
        <v>387</v>
      </c>
      <c r="B75" s="1">
        <v>45583</v>
      </c>
      <c r="C75" t="s">
        <v>388</v>
      </c>
      <c r="D75" t="s">
        <v>38</v>
      </c>
      <c r="E75" t="s">
        <v>389</v>
      </c>
      <c r="F75" t="s">
        <v>71</v>
      </c>
      <c r="G75" t="s">
        <v>390</v>
      </c>
      <c r="H75">
        <v>299</v>
      </c>
      <c r="I75">
        <v>5</v>
      </c>
      <c r="J75">
        <v>1495</v>
      </c>
      <c r="L75">
        <v>0</v>
      </c>
      <c r="M75" t="s">
        <v>29</v>
      </c>
      <c r="N75" t="s">
        <v>44</v>
      </c>
      <c r="O75" t="s">
        <v>150</v>
      </c>
      <c r="P75" t="s">
        <v>151</v>
      </c>
      <c r="Q75" t="s">
        <v>31</v>
      </c>
      <c r="R75" s="1">
        <v>45592</v>
      </c>
      <c r="S75" t="s">
        <v>33</v>
      </c>
      <c r="T75" t="s">
        <v>34</v>
      </c>
      <c r="W75" t="s">
        <v>35</v>
      </c>
    </row>
    <row r="76" spans="1:23" x14ac:dyDescent="0.3">
      <c r="A76" t="s">
        <v>391</v>
      </c>
      <c r="B76" s="1">
        <v>45583</v>
      </c>
      <c r="C76" t="s">
        <v>392</v>
      </c>
      <c r="D76" t="s">
        <v>25</v>
      </c>
      <c r="E76" t="s">
        <v>393</v>
      </c>
      <c r="F76" t="s">
        <v>53</v>
      </c>
      <c r="G76" t="s">
        <v>394</v>
      </c>
      <c r="H76">
        <v>1899</v>
      </c>
      <c r="I76">
        <v>1</v>
      </c>
      <c r="J76">
        <v>1899</v>
      </c>
      <c r="L76">
        <v>0</v>
      </c>
      <c r="M76" t="s">
        <v>64</v>
      </c>
      <c r="N76" t="s">
        <v>30</v>
      </c>
      <c r="O76" t="s">
        <v>156</v>
      </c>
      <c r="P76" t="s">
        <v>97</v>
      </c>
      <c r="Q76" t="s">
        <v>31</v>
      </c>
      <c r="R76" s="1">
        <v>45595</v>
      </c>
      <c r="S76" t="s">
        <v>33</v>
      </c>
      <c r="T76" t="s">
        <v>46</v>
      </c>
      <c r="U76" t="s">
        <v>104</v>
      </c>
      <c r="V76" s="1">
        <v>45624</v>
      </c>
      <c r="W76" t="s">
        <v>48</v>
      </c>
    </row>
    <row r="77" spans="1:23" x14ac:dyDescent="0.3">
      <c r="A77" t="s">
        <v>395</v>
      </c>
      <c r="B77" s="1">
        <v>45584</v>
      </c>
      <c r="C77" t="s">
        <v>396</v>
      </c>
      <c r="D77" t="s">
        <v>25</v>
      </c>
      <c r="E77" t="s">
        <v>397</v>
      </c>
      <c r="F77" t="s">
        <v>40</v>
      </c>
      <c r="G77" t="s">
        <v>398</v>
      </c>
      <c r="H77">
        <v>2199</v>
      </c>
      <c r="I77">
        <v>1</v>
      </c>
      <c r="J77">
        <v>2199</v>
      </c>
      <c r="L77">
        <v>0</v>
      </c>
      <c r="M77" t="s">
        <v>43</v>
      </c>
      <c r="N77" t="s">
        <v>65</v>
      </c>
      <c r="O77" t="s">
        <v>161</v>
      </c>
      <c r="P77" t="s">
        <v>162</v>
      </c>
      <c r="Q77" t="s">
        <v>45</v>
      </c>
      <c r="R77" s="1">
        <v>45596</v>
      </c>
      <c r="S77" t="s">
        <v>33</v>
      </c>
      <c r="T77" t="s">
        <v>34</v>
      </c>
      <c r="W77" t="s">
        <v>35</v>
      </c>
    </row>
    <row r="78" spans="1:23" x14ac:dyDescent="0.3">
      <c r="A78" t="s">
        <v>399</v>
      </c>
      <c r="B78" s="1">
        <v>45584</v>
      </c>
      <c r="C78" t="s">
        <v>400</v>
      </c>
      <c r="D78" t="s">
        <v>25</v>
      </c>
      <c r="E78" t="s">
        <v>401</v>
      </c>
      <c r="F78" t="s">
        <v>27</v>
      </c>
      <c r="G78" t="s">
        <v>402</v>
      </c>
      <c r="H78">
        <v>1799</v>
      </c>
      <c r="I78">
        <v>1</v>
      </c>
      <c r="J78">
        <v>1799</v>
      </c>
      <c r="K78" t="s">
        <v>110</v>
      </c>
      <c r="L78">
        <v>10</v>
      </c>
      <c r="M78" t="s">
        <v>55</v>
      </c>
      <c r="N78" t="s">
        <v>44</v>
      </c>
      <c r="O78" t="s">
        <v>167</v>
      </c>
      <c r="P78" t="s">
        <v>151</v>
      </c>
      <c r="Q78" t="s">
        <v>31</v>
      </c>
      <c r="R78" s="1">
        <v>45594</v>
      </c>
      <c r="S78" t="s">
        <v>33</v>
      </c>
      <c r="T78" t="s">
        <v>46</v>
      </c>
      <c r="U78" t="s">
        <v>68</v>
      </c>
      <c r="V78" s="1">
        <v>45621</v>
      </c>
      <c r="W78" t="s">
        <v>48</v>
      </c>
    </row>
    <row r="79" spans="1:23" x14ac:dyDescent="0.3">
      <c r="A79" t="s">
        <v>403</v>
      </c>
      <c r="B79" s="1">
        <v>45584</v>
      </c>
      <c r="C79" t="s">
        <v>404</v>
      </c>
      <c r="D79" t="s">
        <v>38</v>
      </c>
      <c r="E79" t="s">
        <v>405</v>
      </c>
      <c r="F79" t="s">
        <v>61</v>
      </c>
      <c r="G79" t="s">
        <v>406</v>
      </c>
      <c r="H79">
        <v>4999</v>
      </c>
      <c r="I79">
        <v>1</v>
      </c>
      <c r="J79">
        <v>4999</v>
      </c>
      <c r="L79">
        <v>0</v>
      </c>
      <c r="M79" t="s">
        <v>29</v>
      </c>
      <c r="N79" t="s">
        <v>30</v>
      </c>
      <c r="O79" t="s">
        <v>172</v>
      </c>
      <c r="P79" t="s">
        <v>32</v>
      </c>
      <c r="Q79" t="s">
        <v>31</v>
      </c>
      <c r="R79" s="1">
        <v>45597</v>
      </c>
      <c r="S79" t="s">
        <v>33</v>
      </c>
      <c r="T79" t="s">
        <v>34</v>
      </c>
      <c r="W79" t="s">
        <v>35</v>
      </c>
    </row>
    <row r="80" spans="1:23" x14ac:dyDescent="0.3">
      <c r="A80" t="s">
        <v>407</v>
      </c>
      <c r="B80" s="1">
        <v>45584</v>
      </c>
      <c r="C80" t="s">
        <v>408</v>
      </c>
      <c r="D80" t="s">
        <v>25</v>
      </c>
      <c r="E80" t="s">
        <v>409</v>
      </c>
      <c r="F80" t="s">
        <v>71</v>
      </c>
      <c r="G80" t="s">
        <v>410</v>
      </c>
      <c r="H80">
        <v>999</v>
      </c>
      <c r="I80">
        <v>1</v>
      </c>
      <c r="J80">
        <v>999</v>
      </c>
      <c r="L80">
        <v>0</v>
      </c>
      <c r="M80" t="s">
        <v>111</v>
      </c>
      <c r="N80" t="s">
        <v>65</v>
      </c>
      <c r="O80" t="s">
        <v>177</v>
      </c>
      <c r="P80" t="s">
        <v>67</v>
      </c>
      <c r="Q80" t="s">
        <v>56</v>
      </c>
      <c r="R80" s="1">
        <v>45595</v>
      </c>
      <c r="S80" t="s">
        <v>33</v>
      </c>
      <c r="T80" t="s">
        <v>46</v>
      </c>
      <c r="U80" t="s">
        <v>47</v>
      </c>
      <c r="V80" s="1">
        <v>45624</v>
      </c>
      <c r="W80" t="s">
        <v>48</v>
      </c>
    </row>
    <row r="81" spans="1:23" x14ac:dyDescent="0.3">
      <c r="A81" t="s">
        <v>411</v>
      </c>
      <c r="B81" s="1">
        <v>45585</v>
      </c>
      <c r="C81" t="s">
        <v>412</v>
      </c>
      <c r="D81" t="s">
        <v>25</v>
      </c>
      <c r="E81" t="s">
        <v>413</v>
      </c>
      <c r="F81" t="s">
        <v>53</v>
      </c>
      <c r="G81" t="s">
        <v>414</v>
      </c>
      <c r="H81">
        <v>1499</v>
      </c>
      <c r="I81">
        <v>1</v>
      </c>
      <c r="J81">
        <v>1499</v>
      </c>
      <c r="K81" t="s">
        <v>42</v>
      </c>
      <c r="L81">
        <v>20</v>
      </c>
      <c r="M81" t="s">
        <v>43</v>
      </c>
      <c r="N81" t="s">
        <v>44</v>
      </c>
      <c r="O81" t="s">
        <v>182</v>
      </c>
      <c r="P81" t="s">
        <v>183</v>
      </c>
      <c r="Q81" t="s">
        <v>56</v>
      </c>
      <c r="R81" s="1">
        <v>45596</v>
      </c>
      <c r="S81" t="s">
        <v>33</v>
      </c>
      <c r="T81" t="s">
        <v>34</v>
      </c>
      <c r="W81" t="s">
        <v>35</v>
      </c>
    </row>
    <row r="82" spans="1:23" x14ac:dyDescent="0.3">
      <c r="A82" t="s">
        <v>415</v>
      </c>
      <c r="B82" s="1">
        <v>45585</v>
      </c>
      <c r="C82" t="s">
        <v>416</v>
      </c>
      <c r="D82" t="s">
        <v>25</v>
      </c>
      <c r="E82" t="s">
        <v>417</v>
      </c>
      <c r="F82" t="s">
        <v>40</v>
      </c>
      <c r="G82" t="s">
        <v>418</v>
      </c>
      <c r="H82">
        <v>2899</v>
      </c>
      <c r="I82">
        <v>1</v>
      </c>
      <c r="J82">
        <v>2899</v>
      </c>
      <c r="L82">
        <v>0</v>
      </c>
      <c r="M82" t="s">
        <v>64</v>
      </c>
      <c r="N82" t="s">
        <v>30</v>
      </c>
      <c r="O82" t="s">
        <v>188</v>
      </c>
      <c r="P82" t="s">
        <v>189</v>
      </c>
      <c r="Q82" t="s">
        <v>56</v>
      </c>
      <c r="R82" s="1">
        <v>45598</v>
      </c>
      <c r="S82" t="s">
        <v>33</v>
      </c>
      <c r="T82" t="s">
        <v>46</v>
      </c>
      <c r="U82" t="s">
        <v>79</v>
      </c>
      <c r="V82" s="1">
        <v>45626</v>
      </c>
      <c r="W82" t="s">
        <v>48</v>
      </c>
    </row>
    <row r="83" spans="1:23" x14ac:dyDescent="0.3">
      <c r="A83" t="s">
        <v>419</v>
      </c>
      <c r="B83" s="1">
        <v>45585</v>
      </c>
      <c r="C83" t="s">
        <v>420</v>
      </c>
      <c r="D83" t="s">
        <v>38</v>
      </c>
      <c r="E83" t="s">
        <v>421</v>
      </c>
      <c r="F83" t="s">
        <v>27</v>
      </c>
      <c r="G83" t="s">
        <v>422</v>
      </c>
      <c r="H83">
        <v>1099</v>
      </c>
      <c r="I83">
        <v>2</v>
      </c>
      <c r="J83">
        <v>2198</v>
      </c>
      <c r="L83">
        <v>0</v>
      </c>
      <c r="M83" t="s">
        <v>29</v>
      </c>
      <c r="N83" t="s">
        <v>65</v>
      </c>
      <c r="O83" t="s">
        <v>194</v>
      </c>
      <c r="P83" t="s">
        <v>183</v>
      </c>
      <c r="Q83" t="s">
        <v>56</v>
      </c>
      <c r="R83" s="1">
        <v>45595</v>
      </c>
      <c r="S83" t="s">
        <v>33</v>
      </c>
      <c r="T83" t="s">
        <v>34</v>
      </c>
      <c r="W83" t="s">
        <v>35</v>
      </c>
    </row>
    <row r="84" spans="1:23" x14ac:dyDescent="0.3">
      <c r="A84" t="s">
        <v>423</v>
      </c>
      <c r="B84" s="1">
        <v>45585</v>
      </c>
      <c r="C84" t="s">
        <v>424</v>
      </c>
      <c r="D84" t="s">
        <v>25</v>
      </c>
      <c r="E84" t="s">
        <v>425</v>
      </c>
      <c r="F84" t="s">
        <v>61</v>
      </c>
      <c r="G84" t="s">
        <v>198</v>
      </c>
      <c r="H84">
        <v>5499</v>
      </c>
      <c r="I84">
        <v>1</v>
      </c>
      <c r="J84">
        <v>5499</v>
      </c>
      <c r="K84" t="s">
        <v>63</v>
      </c>
      <c r="L84">
        <v>15</v>
      </c>
      <c r="M84" t="s">
        <v>43</v>
      </c>
      <c r="N84" t="s">
        <v>44</v>
      </c>
      <c r="O84" t="s">
        <v>199</v>
      </c>
      <c r="P84" t="s">
        <v>57</v>
      </c>
      <c r="Q84" t="s">
        <v>56</v>
      </c>
      <c r="R84" s="1">
        <v>45599</v>
      </c>
      <c r="S84" t="s">
        <v>33</v>
      </c>
      <c r="T84" t="s">
        <v>46</v>
      </c>
      <c r="U84" t="s">
        <v>47</v>
      </c>
      <c r="V84" s="1">
        <v>45627</v>
      </c>
      <c r="W84" t="s">
        <v>48</v>
      </c>
    </row>
    <row r="85" spans="1:23" x14ac:dyDescent="0.3">
      <c r="A85" t="s">
        <v>426</v>
      </c>
      <c r="B85" s="1">
        <v>45586</v>
      </c>
      <c r="C85" t="s">
        <v>427</v>
      </c>
      <c r="D85" t="s">
        <v>25</v>
      </c>
      <c r="E85" t="s">
        <v>428</v>
      </c>
      <c r="F85" t="s">
        <v>71</v>
      </c>
      <c r="G85" t="s">
        <v>429</v>
      </c>
      <c r="H85">
        <v>799</v>
      </c>
      <c r="I85">
        <v>1</v>
      </c>
      <c r="J85">
        <v>799</v>
      </c>
      <c r="L85">
        <v>0</v>
      </c>
      <c r="M85" t="s">
        <v>55</v>
      </c>
      <c r="N85" t="s">
        <v>30</v>
      </c>
      <c r="O85" t="s">
        <v>204</v>
      </c>
      <c r="P85" t="s">
        <v>97</v>
      </c>
      <c r="Q85" t="s">
        <v>31</v>
      </c>
      <c r="S85" t="s">
        <v>120</v>
      </c>
      <c r="T85" t="s">
        <v>34</v>
      </c>
      <c r="W85" t="s">
        <v>35</v>
      </c>
    </row>
    <row r="86" spans="1:23" x14ac:dyDescent="0.3">
      <c r="A86" t="s">
        <v>430</v>
      </c>
      <c r="B86" s="1">
        <v>45586</v>
      </c>
      <c r="C86" t="s">
        <v>431</v>
      </c>
      <c r="D86" t="s">
        <v>25</v>
      </c>
      <c r="E86" t="s">
        <v>432</v>
      </c>
      <c r="F86" t="s">
        <v>53</v>
      </c>
      <c r="G86" t="s">
        <v>433</v>
      </c>
      <c r="H86">
        <v>1599</v>
      </c>
      <c r="I86">
        <v>1</v>
      </c>
      <c r="J86">
        <v>1599</v>
      </c>
      <c r="L86">
        <v>0</v>
      </c>
      <c r="M86" t="s">
        <v>111</v>
      </c>
      <c r="N86" t="s">
        <v>65</v>
      </c>
      <c r="O86" t="s">
        <v>209</v>
      </c>
      <c r="P86" t="s">
        <v>97</v>
      </c>
      <c r="Q86" t="s">
        <v>31</v>
      </c>
      <c r="R86" s="1">
        <v>45598</v>
      </c>
      <c r="S86" t="s">
        <v>33</v>
      </c>
      <c r="T86" t="s">
        <v>34</v>
      </c>
      <c r="W86" t="s">
        <v>35</v>
      </c>
    </row>
    <row r="87" spans="1:23" x14ac:dyDescent="0.3">
      <c r="A87" t="s">
        <v>434</v>
      </c>
      <c r="B87" s="1">
        <v>45586</v>
      </c>
      <c r="C87" t="s">
        <v>435</v>
      </c>
      <c r="D87" t="s">
        <v>38</v>
      </c>
      <c r="E87" t="s">
        <v>436</v>
      </c>
      <c r="F87" t="s">
        <v>40</v>
      </c>
      <c r="G87" t="s">
        <v>437</v>
      </c>
      <c r="H87">
        <v>2699</v>
      </c>
      <c r="I87">
        <v>1</v>
      </c>
      <c r="J87">
        <v>2699</v>
      </c>
      <c r="K87" t="s">
        <v>42</v>
      </c>
      <c r="L87">
        <v>20</v>
      </c>
      <c r="M87" t="s">
        <v>43</v>
      </c>
      <c r="N87" t="s">
        <v>44</v>
      </c>
      <c r="O87" t="s">
        <v>214</v>
      </c>
      <c r="P87" t="s">
        <v>113</v>
      </c>
      <c r="Q87" t="s">
        <v>45</v>
      </c>
      <c r="R87" s="1">
        <v>45597</v>
      </c>
      <c r="S87" t="s">
        <v>33</v>
      </c>
      <c r="T87" t="s">
        <v>46</v>
      </c>
      <c r="U87" t="s">
        <v>68</v>
      </c>
      <c r="V87" s="1">
        <v>45626</v>
      </c>
      <c r="W87" t="s">
        <v>48</v>
      </c>
    </row>
    <row r="88" spans="1:23" x14ac:dyDescent="0.3">
      <c r="A88" t="s">
        <v>438</v>
      </c>
      <c r="B88" s="1">
        <v>45586</v>
      </c>
      <c r="C88" t="s">
        <v>439</v>
      </c>
      <c r="D88" t="s">
        <v>25</v>
      </c>
      <c r="E88" t="s">
        <v>440</v>
      </c>
      <c r="F88" t="s">
        <v>27</v>
      </c>
      <c r="G88" t="s">
        <v>441</v>
      </c>
      <c r="H88">
        <v>1499</v>
      </c>
      <c r="I88">
        <v>1</v>
      </c>
      <c r="J88">
        <v>1499</v>
      </c>
      <c r="L88">
        <v>0</v>
      </c>
      <c r="M88" t="s">
        <v>29</v>
      </c>
      <c r="N88" t="s">
        <v>30</v>
      </c>
      <c r="O88" t="s">
        <v>31</v>
      </c>
      <c r="P88" t="s">
        <v>32</v>
      </c>
      <c r="Q88" t="s">
        <v>31</v>
      </c>
      <c r="R88" s="1">
        <v>45598</v>
      </c>
      <c r="S88" t="s">
        <v>33</v>
      </c>
      <c r="T88" t="s">
        <v>34</v>
      </c>
      <c r="W88" t="s">
        <v>35</v>
      </c>
    </row>
    <row r="89" spans="1:23" x14ac:dyDescent="0.3">
      <c r="A89" t="s">
        <v>442</v>
      </c>
      <c r="B89" s="1">
        <v>45587</v>
      </c>
      <c r="C89" t="s">
        <v>443</v>
      </c>
      <c r="D89" t="s">
        <v>25</v>
      </c>
      <c r="E89" t="s">
        <v>444</v>
      </c>
      <c r="F89" t="s">
        <v>61</v>
      </c>
      <c r="G89" t="s">
        <v>445</v>
      </c>
      <c r="H89">
        <v>3299</v>
      </c>
      <c r="I89">
        <v>1</v>
      </c>
      <c r="J89">
        <v>3299</v>
      </c>
      <c r="L89">
        <v>0</v>
      </c>
      <c r="M89" t="s">
        <v>64</v>
      </c>
      <c r="N89" t="s">
        <v>65</v>
      </c>
      <c r="O89" t="s">
        <v>45</v>
      </c>
      <c r="P89" t="s">
        <v>45</v>
      </c>
      <c r="Q89" t="s">
        <v>45</v>
      </c>
      <c r="R89" s="1">
        <v>45600</v>
      </c>
      <c r="S89" t="s">
        <v>33</v>
      </c>
      <c r="T89" t="s">
        <v>46</v>
      </c>
      <c r="U89" t="s">
        <v>104</v>
      </c>
      <c r="V89" s="1">
        <v>45629</v>
      </c>
      <c r="W89" t="s">
        <v>48</v>
      </c>
    </row>
    <row r="90" spans="1:23" x14ac:dyDescent="0.3">
      <c r="A90" t="s">
        <v>446</v>
      </c>
      <c r="B90" s="1">
        <v>45587</v>
      </c>
      <c r="C90" t="s">
        <v>447</v>
      </c>
      <c r="D90" t="s">
        <v>25</v>
      </c>
      <c r="E90" t="s">
        <v>448</v>
      </c>
      <c r="F90" t="s">
        <v>71</v>
      </c>
      <c r="G90" t="s">
        <v>449</v>
      </c>
      <c r="H90">
        <v>499</v>
      </c>
      <c r="I90">
        <v>2</v>
      </c>
      <c r="J90">
        <v>998</v>
      </c>
      <c r="K90" t="s">
        <v>110</v>
      </c>
      <c r="L90">
        <v>10</v>
      </c>
      <c r="M90" t="s">
        <v>43</v>
      </c>
      <c r="N90" t="s">
        <v>44</v>
      </c>
      <c r="O90" t="s">
        <v>90</v>
      </c>
      <c r="P90" t="s">
        <v>91</v>
      </c>
      <c r="Q90" t="s">
        <v>45</v>
      </c>
      <c r="R90" s="1">
        <v>45597</v>
      </c>
      <c r="S90" t="s">
        <v>33</v>
      </c>
      <c r="T90" t="s">
        <v>34</v>
      </c>
      <c r="W90" t="s">
        <v>35</v>
      </c>
    </row>
    <row r="91" spans="1:23" x14ac:dyDescent="0.3">
      <c r="A91" t="s">
        <v>450</v>
      </c>
      <c r="B91" s="1">
        <v>45587</v>
      </c>
      <c r="C91" t="s">
        <v>451</v>
      </c>
      <c r="D91" t="s">
        <v>38</v>
      </c>
      <c r="E91" t="s">
        <v>452</v>
      </c>
      <c r="F91" t="s">
        <v>53</v>
      </c>
      <c r="G91" t="s">
        <v>453</v>
      </c>
      <c r="H91">
        <v>2399</v>
      </c>
      <c r="I91">
        <v>1</v>
      </c>
      <c r="J91">
        <v>2399</v>
      </c>
      <c r="L91">
        <v>0</v>
      </c>
      <c r="M91" t="s">
        <v>29</v>
      </c>
      <c r="N91" t="s">
        <v>30</v>
      </c>
      <c r="O91" t="s">
        <v>66</v>
      </c>
      <c r="P91" t="s">
        <v>67</v>
      </c>
      <c r="Q91" t="s">
        <v>56</v>
      </c>
      <c r="R91" s="1">
        <v>45599</v>
      </c>
      <c r="S91" t="s">
        <v>33</v>
      </c>
      <c r="T91" t="s">
        <v>34</v>
      </c>
      <c r="W91" t="s">
        <v>35</v>
      </c>
    </row>
    <row r="92" spans="1:23" x14ac:dyDescent="0.3">
      <c r="A92" t="s">
        <v>454</v>
      </c>
      <c r="B92" s="1">
        <v>45587</v>
      </c>
      <c r="C92" t="s">
        <v>455</v>
      </c>
      <c r="D92" t="s">
        <v>25</v>
      </c>
      <c r="E92" t="s">
        <v>456</v>
      </c>
      <c r="F92" t="s">
        <v>40</v>
      </c>
      <c r="G92" t="s">
        <v>457</v>
      </c>
      <c r="H92">
        <v>2599</v>
      </c>
      <c r="I92">
        <v>1</v>
      </c>
      <c r="J92">
        <v>2599</v>
      </c>
      <c r="L92">
        <v>0</v>
      </c>
      <c r="M92" t="s">
        <v>55</v>
      </c>
      <c r="N92" t="s">
        <v>65</v>
      </c>
      <c r="O92" t="s">
        <v>77</v>
      </c>
      <c r="P92" t="s">
        <v>78</v>
      </c>
      <c r="Q92" t="s">
        <v>56</v>
      </c>
      <c r="S92" t="s">
        <v>120</v>
      </c>
      <c r="T92" t="s">
        <v>34</v>
      </c>
      <c r="W92" t="s">
        <v>35</v>
      </c>
    </row>
    <row r="93" spans="1:23" x14ac:dyDescent="0.3">
      <c r="A93" t="s">
        <v>458</v>
      </c>
      <c r="B93" s="1">
        <v>45588</v>
      </c>
      <c r="C93" t="s">
        <v>459</v>
      </c>
      <c r="D93" t="s">
        <v>25</v>
      </c>
      <c r="E93" t="s">
        <v>460</v>
      </c>
      <c r="F93" t="s">
        <v>27</v>
      </c>
      <c r="G93" t="s">
        <v>461</v>
      </c>
      <c r="H93">
        <v>1399</v>
      </c>
      <c r="I93">
        <v>1</v>
      </c>
      <c r="J93">
        <v>1399</v>
      </c>
      <c r="K93" t="s">
        <v>42</v>
      </c>
      <c r="L93">
        <v>20</v>
      </c>
      <c r="M93" t="s">
        <v>111</v>
      </c>
      <c r="N93" t="s">
        <v>44</v>
      </c>
      <c r="O93" t="s">
        <v>84</v>
      </c>
      <c r="P93" t="s">
        <v>32</v>
      </c>
      <c r="Q93" t="s">
        <v>31</v>
      </c>
      <c r="R93" s="1">
        <v>45599</v>
      </c>
      <c r="S93" t="s">
        <v>33</v>
      </c>
      <c r="T93" t="s">
        <v>46</v>
      </c>
      <c r="U93" t="s">
        <v>47</v>
      </c>
      <c r="V93" s="1">
        <v>45628</v>
      </c>
      <c r="W93" t="s">
        <v>48</v>
      </c>
    </row>
    <row r="94" spans="1:23" x14ac:dyDescent="0.3">
      <c r="A94" t="s">
        <v>462</v>
      </c>
      <c r="B94" s="1">
        <v>45588</v>
      </c>
      <c r="C94" t="s">
        <v>463</v>
      </c>
      <c r="D94" t="s">
        <v>25</v>
      </c>
      <c r="E94" t="s">
        <v>464</v>
      </c>
      <c r="F94" t="s">
        <v>61</v>
      </c>
      <c r="G94" t="s">
        <v>465</v>
      </c>
      <c r="H94">
        <v>4299</v>
      </c>
      <c r="I94">
        <v>1</v>
      </c>
      <c r="J94">
        <v>4299</v>
      </c>
      <c r="L94">
        <v>0</v>
      </c>
      <c r="M94" t="s">
        <v>43</v>
      </c>
      <c r="N94" t="s">
        <v>30</v>
      </c>
      <c r="O94" t="s">
        <v>96</v>
      </c>
      <c r="P94" t="s">
        <v>97</v>
      </c>
      <c r="Q94" t="s">
        <v>31</v>
      </c>
      <c r="R94" s="1">
        <v>45601</v>
      </c>
      <c r="S94" t="s">
        <v>33</v>
      </c>
      <c r="T94" t="s">
        <v>34</v>
      </c>
      <c r="W94" t="s">
        <v>35</v>
      </c>
    </row>
    <row r="95" spans="1:23" x14ac:dyDescent="0.3">
      <c r="A95" t="s">
        <v>466</v>
      </c>
      <c r="B95" s="1">
        <v>45588</v>
      </c>
      <c r="C95" t="s">
        <v>467</v>
      </c>
      <c r="D95" t="s">
        <v>38</v>
      </c>
      <c r="E95" t="s">
        <v>468</v>
      </c>
      <c r="F95" t="s">
        <v>71</v>
      </c>
      <c r="G95" t="s">
        <v>469</v>
      </c>
      <c r="H95">
        <v>399</v>
      </c>
      <c r="I95">
        <v>3</v>
      </c>
      <c r="J95">
        <v>1197</v>
      </c>
      <c r="L95">
        <v>0</v>
      </c>
      <c r="M95" t="s">
        <v>29</v>
      </c>
      <c r="N95" t="s">
        <v>65</v>
      </c>
      <c r="O95" t="s">
        <v>102</v>
      </c>
      <c r="P95" t="s">
        <v>103</v>
      </c>
      <c r="Q95" t="s">
        <v>45</v>
      </c>
      <c r="R95" s="1">
        <v>45598</v>
      </c>
      <c r="S95" t="s">
        <v>33</v>
      </c>
      <c r="T95" t="s">
        <v>34</v>
      </c>
      <c r="W95" t="s">
        <v>35</v>
      </c>
    </row>
    <row r="96" spans="1:23" x14ac:dyDescent="0.3">
      <c r="A96" t="s">
        <v>470</v>
      </c>
      <c r="B96" s="1">
        <v>45588</v>
      </c>
      <c r="C96" t="s">
        <v>471</v>
      </c>
      <c r="D96" t="s">
        <v>25</v>
      </c>
      <c r="E96" t="s">
        <v>472</v>
      </c>
      <c r="F96" t="s">
        <v>53</v>
      </c>
      <c r="G96" t="s">
        <v>473</v>
      </c>
      <c r="H96">
        <v>2199</v>
      </c>
      <c r="I96">
        <v>1</v>
      </c>
      <c r="J96">
        <v>2199</v>
      </c>
      <c r="K96" t="s">
        <v>63</v>
      </c>
      <c r="L96">
        <v>15</v>
      </c>
      <c r="M96" t="s">
        <v>64</v>
      </c>
      <c r="N96" t="s">
        <v>44</v>
      </c>
      <c r="O96" t="s">
        <v>112</v>
      </c>
      <c r="P96" t="s">
        <v>113</v>
      </c>
      <c r="Q96" t="s">
        <v>45</v>
      </c>
      <c r="R96" s="1">
        <v>45601</v>
      </c>
      <c r="S96" t="s">
        <v>33</v>
      </c>
      <c r="T96" t="s">
        <v>46</v>
      </c>
      <c r="U96" t="s">
        <v>138</v>
      </c>
      <c r="V96" s="1">
        <v>45631</v>
      </c>
      <c r="W96" t="s">
        <v>48</v>
      </c>
    </row>
    <row r="97" spans="1:23" x14ac:dyDescent="0.3">
      <c r="A97" t="s">
        <v>474</v>
      </c>
      <c r="B97" s="1">
        <v>45589</v>
      </c>
      <c r="C97" t="s">
        <v>475</v>
      </c>
      <c r="D97" t="s">
        <v>25</v>
      </c>
      <c r="E97" t="s">
        <v>476</v>
      </c>
      <c r="F97" t="s">
        <v>40</v>
      </c>
      <c r="G97" t="s">
        <v>477</v>
      </c>
      <c r="H97">
        <v>2399</v>
      </c>
      <c r="I97">
        <v>1</v>
      </c>
      <c r="J97">
        <v>2399</v>
      </c>
      <c r="L97">
        <v>0</v>
      </c>
      <c r="M97" t="s">
        <v>43</v>
      </c>
      <c r="N97" t="s">
        <v>30</v>
      </c>
      <c r="O97" t="s">
        <v>56</v>
      </c>
      <c r="P97" t="s">
        <v>57</v>
      </c>
      <c r="Q97" t="s">
        <v>56</v>
      </c>
      <c r="R97" s="1">
        <v>45600</v>
      </c>
      <c r="S97" t="s">
        <v>33</v>
      </c>
      <c r="T97" t="s">
        <v>34</v>
      </c>
      <c r="W97" t="s">
        <v>35</v>
      </c>
    </row>
    <row r="98" spans="1:23" x14ac:dyDescent="0.3">
      <c r="A98" t="s">
        <v>478</v>
      </c>
      <c r="B98" s="1">
        <v>45589</v>
      </c>
      <c r="C98" t="s">
        <v>479</v>
      </c>
      <c r="D98" t="s">
        <v>25</v>
      </c>
      <c r="E98" t="s">
        <v>480</v>
      </c>
      <c r="F98" t="s">
        <v>27</v>
      </c>
      <c r="G98" t="s">
        <v>481</v>
      </c>
      <c r="H98">
        <v>1299</v>
      </c>
      <c r="I98">
        <v>1</v>
      </c>
      <c r="J98">
        <v>1299</v>
      </c>
      <c r="L98">
        <v>0</v>
      </c>
      <c r="M98" t="s">
        <v>55</v>
      </c>
      <c r="N98" t="s">
        <v>65</v>
      </c>
      <c r="O98" t="s">
        <v>31</v>
      </c>
      <c r="P98" t="s">
        <v>32</v>
      </c>
      <c r="Q98" t="s">
        <v>31</v>
      </c>
      <c r="R98" s="1">
        <v>45602</v>
      </c>
      <c r="S98" t="s">
        <v>33</v>
      </c>
      <c r="T98" t="s">
        <v>46</v>
      </c>
      <c r="U98" t="s">
        <v>79</v>
      </c>
      <c r="V98" s="1">
        <v>45631</v>
      </c>
      <c r="W98" t="s">
        <v>48</v>
      </c>
    </row>
    <row r="99" spans="1:23" x14ac:dyDescent="0.3">
      <c r="A99" t="s">
        <v>482</v>
      </c>
      <c r="B99" s="1">
        <v>45589</v>
      </c>
      <c r="C99" t="s">
        <v>483</v>
      </c>
      <c r="D99" t="s">
        <v>38</v>
      </c>
      <c r="E99" t="s">
        <v>484</v>
      </c>
      <c r="F99" t="s">
        <v>61</v>
      </c>
      <c r="G99" t="s">
        <v>485</v>
      </c>
      <c r="H99">
        <v>2799</v>
      </c>
      <c r="I99">
        <v>1</v>
      </c>
      <c r="J99">
        <v>2799</v>
      </c>
      <c r="K99" t="s">
        <v>42</v>
      </c>
      <c r="L99">
        <v>20</v>
      </c>
      <c r="M99" t="s">
        <v>29</v>
      </c>
      <c r="N99" t="s">
        <v>44</v>
      </c>
      <c r="O99" t="s">
        <v>45</v>
      </c>
      <c r="P99" t="s">
        <v>45</v>
      </c>
      <c r="Q99" t="s">
        <v>45</v>
      </c>
      <c r="R99" s="1">
        <v>45601</v>
      </c>
      <c r="S99" t="s">
        <v>33</v>
      </c>
      <c r="T99" t="s">
        <v>34</v>
      </c>
      <c r="W99" t="s">
        <v>35</v>
      </c>
    </row>
    <row r="100" spans="1:23" x14ac:dyDescent="0.3">
      <c r="A100" t="s">
        <v>486</v>
      </c>
      <c r="B100" s="1">
        <v>45589</v>
      </c>
      <c r="C100" t="s">
        <v>487</v>
      </c>
      <c r="D100" t="s">
        <v>25</v>
      </c>
      <c r="E100" t="s">
        <v>488</v>
      </c>
      <c r="F100" t="s">
        <v>71</v>
      </c>
      <c r="G100" t="s">
        <v>489</v>
      </c>
      <c r="H100">
        <v>699</v>
      </c>
      <c r="I100">
        <v>1</v>
      </c>
      <c r="J100">
        <v>699</v>
      </c>
      <c r="L100">
        <v>0</v>
      </c>
      <c r="M100" t="s">
        <v>111</v>
      </c>
      <c r="N100" t="s">
        <v>30</v>
      </c>
      <c r="O100" t="s">
        <v>118</v>
      </c>
      <c r="P100" t="s">
        <v>119</v>
      </c>
      <c r="Q100" t="s">
        <v>45</v>
      </c>
      <c r="R100" s="1">
        <v>45600</v>
      </c>
      <c r="S100" t="s">
        <v>33</v>
      </c>
      <c r="T100" t="s">
        <v>34</v>
      </c>
      <c r="W100" t="s">
        <v>35</v>
      </c>
    </row>
    <row r="101" spans="1:23" x14ac:dyDescent="0.3">
      <c r="A101" t="s">
        <v>490</v>
      </c>
      <c r="B101" s="1">
        <v>45590</v>
      </c>
      <c r="C101" t="s">
        <v>491</v>
      </c>
      <c r="D101" t="s">
        <v>25</v>
      </c>
      <c r="E101" t="s">
        <v>492</v>
      </c>
      <c r="F101" t="s">
        <v>53</v>
      </c>
      <c r="G101" t="s">
        <v>493</v>
      </c>
      <c r="H101">
        <v>1699</v>
      </c>
      <c r="I101">
        <v>1</v>
      </c>
      <c r="J101">
        <v>1699</v>
      </c>
      <c r="L101">
        <v>0</v>
      </c>
      <c r="M101" t="s">
        <v>64</v>
      </c>
      <c r="N101" t="s">
        <v>65</v>
      </c>
      <c r="O101" t="s">
        <v>137</v>
      </c>
      <c r="P101" t="s">
        <v>113</v>
      </c>
      <c r="Q101" t="s">
        <v>45</v>
      </c>
      <c r="R101" s="1">
        <v>45603</v>
      </c>
      <c r="S101" t="s">
        <v>33</v>
      </c>
      <c r="T101" t="s">
        <v>46</v>
      </c>
      <c r="U101" t="s">
        <v>47</v>
      </c>
      <c r="V101" s="1">
        <v>45632</v>
      </c>
      <c r="W101" t="s">
        <v>48</v>
      </c>
    </row>
    <row r="102" spans="1:23" x14ac:dyDescent="0.3">
      <c r="A102" t="s">
        <v>494</v>
      </c>
      <c r="B102" s="1">
        <v>45590</v>
      </c>
      <c r="C102" t="s">
        <v>495</v>
      </c>
      <c r="D102" t="s">
        <v>25</v>
      </c>
      <c r="E102" t="s">
        <v>496</v>
      </c>
      <c r="F102" t="s">
        <v>40</v>
      </c>
      <c r="G102" t="s">
        <v>149</v>
      </c>
      <c r="H102">
        <v>2799</v>
      </c>
      <c r="I102">
        <v>1</v>
      </c>
      <c r="J102">
        <v>2799</v>
      </c>
      <c r="K102" t="s">
        <v>110</v>
      </c>
      <c r="L102">
        <v>10</v>
      </c>
      <c r="M102" t="s">
        <v>43</v>
      </c>
      <c r="N102" t="s">
        <v>44</v>
      </c>
      <c r="O102" t="s">
        <v>143</v>
      </c>
      <c r="P102" t="s">
        <v>144</v>
      </c>
      <c r="Q102" t="s">
        <v>45</v>
      </c>
      <c r="R102" s="1">
        <v>45602</v>
      </c>
      <c r="S102" t="s">
        <v>33</v>
      </c>
      <c r="T102" t="s">
        <v>34</v>
      </c>
      <c r="W102" t="s">
        <v>35</v>
      </c>
    </row>
    <row r="103" spans="1:23" x14ac:dyDescent="0.3">
      <c r="A103" t="s">
        <v>497</v>
      </c>
      <c r="B103" s="1">
        <v>45590</v>
      </c>
      <c r="C103" t="s">
        <v>498</v>
      </c>
      <c r="D103" t="s">
        <v>38</v>
      </c>
      <c r="E103" t="s">
        <v>499</v>
      </c>
      <c r="F103" t="s">
        <v>27</v>
      </c>
      <c r="G103" t="s">
        <v>500</v>
      </c>
      <c r="H103">
        <v>1199</v>
      </c>
      <c r="I103">
        <v>2</v>
      </c>
      <c r="J103">
        <v>2398</v>
      </c>
      <c r="L103">
        <v>0</v>
      </c>
      <c r="M103" t="s">
        <v>29</v>
      </c>
      <c r="N103" t="s">
        <v>30</v>
      </c>
      <c r="O103" t="s">
        <v>150</v>
      </c>
      <c r="P103" t="s">
        <v>151</v>
      </c>
      <c r="Q103" t="s">
        <v>31</v>
      </c>
      <c r="R103" s="1">
        <v>45601</v>
      </c>
      <c r="S103" t="s">
        <v>33</v>
      </c>
      <c r="T103" t="s">
        <v>46</v>
      </c>
      <c r="U103" t="s">
        <v>68</v>
      </c>
      <c r="V103" s="1">
        <v>45630</v>
      </c>
      <c r="W103" t="s">
        <v>48</v>
      </c>
    </row>
    <row r="104" spans="1:23" x14ac:dyDescent="0.3">
      <c r="A104" t="s">
        <v>501</v>
      </c>
      <c r="B104" s="1">
        <v>45590</v>
      </c>
      <c r="C104" t="s">
        <v>502</v>
      </c>
      <c r="D104" t="s">
        <v>25</v>
      </c>
      <c r="E104" t="s">
        <v>503</v>
      </c>
      <c r="F104" t="s">
        <v>61</v>
      </c>
      <c r="G104" t="s">
        <v>504</v>
      </c>
      <c r="H104">
        <v>5999</v>
      </c>
      <c r="I104">
        <v>1</v>
      </c>
      <c r="J104">
        <v>5999</v>
      </c>
      <c r="L104">
        <v>0</v>
      </c>
      <c r="M104" t="s">
        <v>43</v>
      </c>
      <c r="N104" t="s">
        <v>65</v>
      </c>
      <c r="O104" t="s">
        <v>156</v>
      </c>
      <c r="P104" t="s">
        <v>97</v>
      </c>
      <c r="Q104" t="s">
        <v>31</v>
      </c>
      <c r="R104" s="1">
        <v>45604</v>
      </c>
      <c r="S104" t="s">
        <v>33</v>
      </c>
      <c r="T104" t="s">
        <v>34</v>
      </c>
      <c r="W104" t="s">
        <v>35</v>
      </c>
    </row>
    <row r="105" spans="1:23" x14ac:dyDescent="0.3">
      <c r="A105" t="s">
        <v>505</v>
      </c>
      <c r="B105" s="1">
        <v>45591</v>
      </c>
      <c r="C105" t="s">
        <v>506</v>
      </c>
      <c r="D105" t="s">
        <v>25</v>
      </c>
      <c r="E105" t="s">
        <v>507</v>
      </c>
      <c r="F105" t="s">
        <v>71</v>
      </c>
      <c r="G105" t="s">
        <v>508</v>
      </c>
      <c r="H105">
        <v>1799</v>
      </c>
      <c r="I105">
        <v>1</v>
      </c>
      <c r="J105">
        <v>1799</v>
      </c>
      <c r="K105" t="s">
        <v>42</v>
      </c>
      <c r="L105">
        <v>20</v>
      </c>
      <c r="M105" t="s">
        <v>55</v>
      </c>
      <c r="N105" t="s">
        <v>44</v>
      </c>
      <c r="O105" t="s">
        <v>161</v>
      </c>
      <c r="P105" t="s">
        <v>162</v>
      </c>
      <c r="Q105" t="s">
        <v>45</v>
      </c>
      <c r="S105" t="s">
        <v>120</v>
      </c>
      <c r="T105" t="s">
        <v>34</v>
      </c>
      <c r="W105" t="s">
        <v>35</v>
      </c>
    </row>
    <row r="106" spans="1:23" x14ac:dyDescent="0.3">
      <c r="A106" t="s">
        <v>509</v>
      </c>
      <c r="B106" s="1">
        <v>45591</v>
      </c>
      <c r="C106" t="s">
        <v>510</v>
      </c>
      <c r="D106" t="s">
        <v>25</v>
      </c>
      <c r="E106" t="s">
        <v>511</v>
      </c>
      <c r="F106" t="s">
        <v>53</v>
      </c>
      <c r="G106" t="s">
        <v>512</v>
      </c>
      <c r="H106">
        <v>1999</v>
      </c>
      <c r="I106">
        <v>1</v>
      </c>
      <c r="J106">
        <v>1999</v>
      </c>
      <c r="L106">
        <v>0</v>
      </c>
      <c r="M106" t="s">
        <v>111</v>
      </c>
      <c r="N106" t="s">
        <v>30</v>
      </c>
      <c r="O106" t="s">
        <v>167</v>
      </c>
      <c r="P106" t="s">
        <v>151</v>
      </c>
      <c r="Q106" t="s">
        <v>31</v>
      </c>
      <c r="R106" s="1">
        <v>45603</v>
      </c>
      <c r="S106" t="s">
        <v>33</v>
      </c>
      <c r="T106" t="s">
        <v>46</v>
      </c>
      <c r="U106" t="s">
        <v>104</v>
      </c>
      <c r="V106" s="1">
        <v>45633</v>
      </c>
      <c r="W106" t="s">
        <v>48</v>
      </c>
    </row>
    <row r="107" spans="1:23" x14ac:dyDescent="0.3">
      <c r="A107" t="s">
        <v>513</v>
      </c>
      <c r="B107" s="1">
        <v>45591</v>
      </c>
      <c r="C107" t="s">
        <v>514</v>
      </c>
      <c r="D107" t="s">
        <v>38</v>
      </c>
      <c r="E107" t="s">
        <v>515</v>
      </c>
      <c r="F107" t="s">
        <v>40</v>
      </c>
      <c r="G107" t="s">
        <v>516</v>
      </c>
      <c r="H107">
        <v>2499</v>
      </c>
      <c r="I107">
        <v>1</v>
      </c>
      <c r="J107">
        <v>2499</v>
      </c>
      <c r="L107">
        <v>0</v>
      </c>
      <c r="M107" t="s">
        <v>64</v>
      </c>
      <c r="N107" t="s">
        <v>65</v>
      </c>
      <c r="O107" t="s">
        <v>172</v>
      </c>
      <c r="P107" t="s">
        <v>32</v>
      </c>
      <c r="Q107" t="s">
        <v>31</v>
      </c>
      <c r="R107" s="1">
        <v>45604</v>
      </c>
      <c r="S107" t="s">
        <v>33</v>
      </c>
      <c r="T107" t="s">
        <v>34</v>
      </c>
      <c r="W107" t="s">
        <v>35</v>
      </c>
    </row>
    <row r="108" spans="1:23" x14ac:dyDescent="0.3">
      <c r="A108" t="s">
        <v>517</v>
      </c>
      <c r="B108" s="1">
        <v>45591</v>
      </c>
      <c r="C108" t="s">
        <v>518</v>
      </c>
      <c r="D108" t="s">
        <v>25</v>
      </c>
      <c r="E108" t="s">
        <v>519</v>
      </c>
      <c r="F108" t="s">
        <v>27</v>
      </c>
      <c r="G108" t="s">
        <v>520</v>
      </c>
      <c r="H108">
        <v>1599</v>
      </c>
      <c r="I108">
        <v>1</v>
      </c>
      <c r="J108">
        <v>1599</v>
      </c>
      <c r="K108" t="s">
        <v>63</v>
      </c>
      <c r="L108">
        <v>15</v>
      </c>
      <c r="M108" t="s">
        <v>29</v>
      </c>
      <c r="N108" t="s">
        <v>44</v>
      </c>
      <c r="O108" t="s">
        <v>177</v>
      </c>
      <c r="P108" t="s">
        <v>67</v>
      </c>
      <c r="Q108" t="s">
        <v>56</v>
      </c>
      <c r="R108" s="1">
        <v>45602</v>
      </c>
      <c r="S108" t="s">
        <v>33</v>
      </c>
      <c r="T108" t="s">
        <v>46</v>
      </c>
      <c r="U108" t="s">
        <v>47</v>
      </c>
      <c r="V108" s="1">
        <v>45631</v>
      </c>
      <c r="W108" t="s">
        <v>48</v>
      </c>
    </row>
    <row r="109" spans="1:23" x14ac:dyDescent="0.3">
      <c r="A109" t="s">
        <v>521</v>
      </c>
      <c r="B109" s="1">
        <v>45592</v>
      </c>
      <c r="C109" t="s">
        <v>522</v>
      </c>
      <c r="D109" t="s">
        <v>25</v>
      </c>
      <c r="E109" t="s">
        <v>523</v>
      </c>
      <c r="F109" t="s">
        <v>61</v>
      </c>
      <c r="G109" t="s">
        <v>524</v>
      </c>
      <c r="H109">
        <v>3999</v>
      </c>
      <c r="I109">
        <v>1</v>
      </c>
      <c r="J109">
        <v>3999</v>
      </c>
      <c r="L109">
        <v>0</v>
      </c>
      <c r="M109" t="s">
        <v>43</v>
      </c>
      <c r="N109" t="s">
        <v>30</v>
      </c>
      <c r="O109" t="s">
        <v>182</v>
      </c>
      <c r="P109" t="s">
        <v>183</v>
      </c>
      <c r="Q109" t="s">
        <v>56</v>
      </c>
      <c r="R109" s="1">
        <v>45605</v>
      </c>
      <c r="S109" t="s">
        <v>33</v>
      </c>
      <c r="T109" t="s">
        <v>34</v>
      </c>
      <c r="W109" t="s">
        <v>35</v>
      </c>
    </row>
    <row r="110" spans="1:23" x14ac:dyDescent="0.3">
      <c r="A110" t="s">
        <v>525</v>
      </c>
      <c r="B110" s="1">
        <v>45592</v>
      </c>
      <c r="C110" t="s">
        <v>526</v>
      </c>
      <c r="D110" t="s">
        <v>25</v>
      </c>
      <c r="E110" t="s">
        <v>527</v>
      </c>
      <c r="F110" t="s">
        <v>71</v>
      </c>
      <c r="G110" t="s">
        <v>528</v>
      </c>
      <c r="H110">
        <v>599</v>
      </c>
      <c r="I110">
        <v>2</v>
      </c>
      <c r="J110">
        <v>1198</v>
      </c>
      <c r="L110">
        <v>0</v>
      </c>
      <c r="M110" t="s">
        <v>55</v>
      </c>
      <c r="N110" t="s">
        <v>65</v>
      </c>
      <c r="O110" t="s">
        <v>188</v>
      </c>
      <c r="P110" t="s">
        <v>189</v>
      </c>
      <c r="Q110" t="s">
        <v>56</v>
      </c>
      <c r="R110" s="1">
        <v>45603</v>
      </c>
      <c r="S110" t="s">
        <v>33</v>
      </c>
      <c r="T110" t="s">
        <v>46</v>
      </c>
      <c r="U110" t="s">
        <v>138</v>
      </c>
      <c r="V110" s="1">
        <v>45632</v>
      </c>
      <c r="W110" t="s">
        <v>48</v>
      </c>
    </row>
    <row r="111" spans="1:23" x14ac:dyDescent="0.3">
      <c r="A111" t="s">
        <v>529</v>
      </c>
      <c r="B111" s="1">
        <v>45592</v>
      </c>
      <c r="C111" t="s">
        <v>530</v>
      </c>
      <c r="D111" t="s">
        <v>38</v>
      </c>
      <c r="E111" t="s">
        <v>531</v>
      </c>
      <c r="F111" t="s">
        <v>53</v>
      </c>
      <c r="G111" t="s">
        <v>532</v>
      </c>
      <c r="H111">
        <v>1799</v>
      </c>
      <c r="I111">
        <v>1</v>
      </c>
      <c r="J111">
        <v>1799</v>
      </c>
      <c r="K111" t="s">
        <v>42</v>
      </c>
      <c r="L111">
        <v>20</v>
      </c>
      <c r="M111" t="s">
        <v>29</v>
      </c>
      <c r="N111" t="s">
        <v>44</v>
      </c>
      <c r="O111" t="s">
        <v>194</v>
      </c>
      <c r="P111" t="s">
        <v>183</v>
      </c>
      <c r="Q111" t="s">
        <v>56</v>
      </c>
      <c r="R111" s="1">
        <v>45604</v>
      </c>
      <c r="S111" t="s">
        <v>33</v>
      </c>
      <c r="T111" t="s">
        <v>34</v>
      </c>
      <c r="W111" t="s">
        <v>35</v>
      </c>
    </row>
    <row r="112" spans="1:23" x14ac:dyDescent="0.3">
      <c r="A112" t="s">
        <v>533</v>
      </c>
      <c r="B112" s="1">
        <v>45593</v>
      </c>
      <c r="C112" t="s">
        <v>534</v>
      </c>
      <c r="D112" t="s">
        <v>25</v>
      </c>
      <c r="E112" t="s">
        <v>535</v>
      </c>
      <c r="F112" t="s">
        <v>40</v>
      </c>
      <c r="G112" t="s">
        <v>536</v>
      </c>
      <c r="H112">
        <v>3499</v>
      </c>
      <c r="I112">
        <v>1</v>
      </c>
      <c r="J112">
        <v>3499</v>
      </c>
      <c r="K112" t="s">
        <v>537</v>
      </c>
      <c r="L112">
        <v>40</v>
      </c>
      <c r="M112" t="s">
        <v>43</v>
      </c>
      <c r="N112" t="s">
        <v>30</v>
      </c>
      <c r="O112" t="s">
        <v>45</v>
      </c>
      <c r="P112" t="s">
        <v>45</v>
      </c>
      <c r="Q112" t="s">
        <v>45</v>
      </c>
      <c r="R112" s="1">
        <v>45598</v>
      </c>
      <c r="S112" t="s">
        <v>33</v>
      </c>
      <c r="T112" t="s">
        <v>46</v>
      </c>
      <c r="U112" t="s">
        <v>47</v>
      </c>
      <c r="V112" s="1">
        <v>45614</v>
      </c>
      <c r="W112" t="s">
        <v>48</v>
      </c>
    </row>
    <row r="113" spans="1:23" x14ac:dyDescent="0.3">
      <c r="A113" t="s">
        <v>538</v>
      </c>
      <c r="B113" s="1">
        <v>45593</v>
      </c>
      <c r="C113" t="s">
        <v>539</v>
      </c>
      <c r="D113" t="s">
        <v>25</v>
      </c>
      <c r="E113" t="s">
        <v>540</v>
      </c>
      <c r="F113" t="s">
        <v>61</v>
      </c>
      <c r="G113" t="s">
        <v>541</v>
      </c>
      <c r="H113">
        <v>5999</v>
      </c>
      <c r="I113">
        <v>1</v>
      </c>
      <c r="J113">
        <v>5999</v>
      </c>
      <c r="K113" t="s">
        <v>537</v>
      </c>
      <c r="L113">
        <v>40</v>
      </c>
      <c r="M113" t="s">
        <v>55</v>
      </c>
      <c r="N113" t="s">
        <v>44</v>
      </c>
      <c r="O113" t="s">
        <v>31</v>
      </c>
      <c r="P113" t="s">
        <v>32</v>
      </c>
      <c r="Q113" t="s">
        <v>31</v>
      </c>
      <c r="R113" s="1">
        <v>45599</v>
      </c>
      <c r="S113" t="s">
        <v>33</v>
      </c>
      <c r="T113" t="s">
        <v>46</v>
      </c>
      <c r="U113" t="s">
        <v>104</v>
      </c>
      <c r="V113" s="1">
        <v>45616</v>
      </c>
      <c r="W113" t="s">
        <v>48</v>
      </c>
    </row>
    <row r="114" spans="1:23" x14ac:dyDescent="0.3">
      <c r="A114" t="s">
        <v>542</v>
      </c>
      <c r="B114" s="1">
        <v>45593</v>
      </c>
      <c r="C114" t="s">
        <v>543</v>
      </c>
      <c r="D114" t="s">
        <v>25</v>
      </c>
      <c r="E114" t="s">
        <v>544</v>
      </c>
      <c r="F114" t="s">
        <v>27</v>
      </c>
      <c r="G114" t="s">
        <v>545</v>
      </c>
      <c r="H114">
        <v>2299</v>
      </c>
      <c r="I114">
        <v>2</v>
      </c>
      <c r="J114">
        <v>4598</v>
      </c>
      <c r="K114" t="s">
        <v>537</v>
      </c>
      <c r="L114">
        <v>40</v>
      </c>
      <c r="M114" t="s">
        <v>29</v>
      </c>
      <c r="N114" t="s">
        <v>65</v>
      </c>
      <c r="O114" t="s">
        <v>102</v>
      </c>
      <c r="P114" t="s">
        <v>103</v>
      </c>
      <c r="Q114" t="s">
        <v>45</v>
      </c>
      <c r="R114" s="1">
        <v>45600</v>
      </c>
      <c r="S114" t="s">
        <v>33</v>
      </c>
      <c r="T114" t="s">
        <v>46</v>
      </c>
      <c r="U114" t="s">
        <v>47</v>
      </c>
      <c r="V114" s="1">
        <v>45618</v>
      </c>
      <c r="W114" t="s">
        <v>48</v>
      </c>
    </row>
    <row r="115" spans="1:23" x14ac:dyDescent="0.3">
      <c r="A115" t="s">
        <v>546</v>
      </c>
      <c r="B115" s="1">
        <v>45593</v>
      </c>
      <c r="C115" t="s">
        <v>547</v>
      </c>
      <c r="D115" t="s">
        <v>38</v>
      </c>
      <c r="E115" t="s">
        <v>369</v>
      </c>
      <c r="F115" t="s">
        <v>71</v>
      </c>
      <c r="G115" t="s">
        <v>548</v>
      </c>
      <c r="H115">
        <v>1599</v>
      </c>
      <c r="I115">
        <v>1</v>
      </c>
      <c r="J115">
        <v>1599</v>
      </c>
      <c r="K115" t="s">
        <v>537</v>
      </c>
      <c r="L115">
        <v>40</v>
      </c>
      <c r="M115" t="s">
        <v>43</v>
      </c>
      <c r="N115" t="s">
        <v>30</v>
      </c>
      <c r="O115" t="s">
        <v>112</v>
      </c>
      <c r="P115" t="s">
        <v>113</v>
      </c>
      <c r="Q115" t="s">
        <v>45</v>
      </c>
      <c r="R115" s="1">
        <v>45599</v>
      </c>
      <c r="S115" t="s">
        <v>33</v>
      </c>
      <c r="T115" t="s">
        <v>34</v>
      </c>
      <c r="W115" t="s">
        <v>35</v>
      </c>
    </row>
    <row r="116" spans="1:23" x14ac:dyDescent="0.3">
      <c r="A116" t="s">
        <v>549</v>
      </c>
      <c r="B116" s="1">
        <v>45593</v>
      </c>
      <c r="C116" t="s">
        <v>550</v>
      </c>
      <c r="D116" t="s">
        <v>25</v>
      </c>
      <c r="E116" t="s">
        <v>551</v>
      </c>
      <c r="F116" t="s">
        <v>53</v>
      </c>
      <c r="G116" t="s">
        <v>254</v>
      </c>
      <c r="H116">
        <v>1899</v>
      </c>
      <c r="I116">
        <v>1</v>
      </c>
      <c r="J116">
        <v>1899</v>
      </c>
      <c r="K116" t="s">
        <v>537</v>
      </c>
      <c r="L116">
        <v>40</v>
      </c>
      <c r="M116" t="s">
        <v>55</v>
      </c>
      <c r="N116" t="s">
        <v>44</v>
      </c>
      <c r="O116" t="s">
        <v>66</v>
      </c>
      <c r="P116" t="s">
        <v>67</v>
      </c>
      <c r="Q116" t="s">
        <v>56</v>
      </c>
      <c r="S116" t="s">
        <v>120</v>
      </c>
      <c r="T116" t="s">
        <v>34</v>
      </c>
      <c r="W116" t="s">
        <v>35</v>
      </c>
    </row>
    <row r="117" spans="1:23" x14ac:dyDescent="0.3">
      <c r="A117" t="s">
        <v>552</v>
      </c>
      <c r="B117" s="1">
        <v>45594</v>
      </c>
      <c r="C117" t="s">
        <v>553</v>
      </c>
      <c r="D117" t="s">
        <v>25</v>
      </c>
      <c r="E117" t="s">
        <v>554</v>
      </c>
      <c r="F117" t="s">
        <v>40</v>
      </c>
      <c r="G117" t="s">
        <v>555</v>
      </c>
      <c r="H117">
        <v>4299</v>
      </c>
      <c r="I117">
        <v>1</v>
      </c>
      <c r="J117">
        <v>4299</v>
      </c>
      <c r="K117" t="s">
        <v>537</v>
      </c>
      <c r="L117">
        <v>40</v>
      </c>
      <c r="M117" t="s">
        <v>64</v>
      </c>
      <c r="N117" t="s">
        <v>30</v>
      </c>
      <c r="O117" t="s">
        <v>77</v>
      </c>
      <c r="P117" t="s">
        <v>78</v>
      </c>
      <c r="Q117" t="s">
        <v>56</v>
      </c>
      <c r="R117" s="1">
        <v>45601</v>
      </c>
      <c r="S117" t="s">
        <v>33</v>
      </c>
      <c r="T117" t="s">
        <v>46</v>
      </c>
      <c r="U117" t="s">
        <v>68</v>
      </c>
      <c r="V117" s="1">
        <v>45621</v>
      </c>
      <c r="W117" t="s">
        <v>48</v>
      </c>
    </row>
    <row r="118" spans="1:23" x14ac:dyDescent="0.3">
      <c r="A118" t="s">
        <v>556</v>
      </c>
      <c r="B118" s="1">
        <v>45594</v>
      </c>
      <c r="C118" t="s">
        <v>557</v>
      </c>
      <c r="D118" t="s">
        <v>25</v>
      </c>
      <c r="E118" t="s">
        <v>558</v>
      </c>
      <c r="F118" t="s">
        <v>27</v>
      </c>
      <c r="G118" t="s">
        <v>559</v>
      </c>
      <c r="H118">
        <v>2599</v>
      </c>
      <c r="I118">
        <v>1</v>
      </c>
      <c r="J118">
        <v>2599</v>
      </c>
      <c r="K118" t="s">
        <v>537</v>
      </c>
      <c r="L118">
        <v>40</v>
      </c>
      <c r="M118" t="s">
        <v>29</v>
      </c>
      <c r="N118" t="s">
        <v>65</v>
      </c>
      <c r="O118" t="s">
        <v>84</v>
      </c>
      <c r="P118" t="s">
        <v>32</v>
      </c>
      <c r="Q118" t="s">
        <v>31</v>
      </c>
      <c r="R118" s="1">
        <v>45602</v>
      </c>
      <c r="S118" t="s">
        <v>33</v>
      </c>
      <c r="T118" t="s">
        <v>46</v>
      </c>
      <c r="U118" t="s">
        <v>79</v>
      </c>
      <c r="V118" s="1">
        <v>45624</v>
      </c>
      <c r="W118" t="s">
        <v>105</v>
      </c>
    </row>
    <row r="119" spans="1:23" x14ac:dyDescent="0.3">
      <c r="A119" t="s">
        <v>560</v>
      </c>
      <c r="B119" s="1">
        <v>45594</v>
      </c>
      <c r="C119" t="s">
        <v>561</v>
      </c>
      <c r="D119" t="s">
        <v>25</v>
      </c>
      <c r="E119" t="s">
        <v>484</v>
      </c>
      <c r="F119" t="s">
        <v>61</v>
      </c>
      <c r="G119" t="s">
        <v>562</v>
      </c>
      <c r="H119">
        <v>3999</v>
      </c>
      <c r="I119">
        <v>1</v>
      </c>
      <c r="J119">
        <v>3999</v>
      </c>
      <c r="K119" t="s">
        <v>537</v>
      </c>
      <c r="L119">
        <v>40</v>
      </c>
      <c r="M119" t="s">
        <v>43</v>
      </c>
      <c r="N119" t="s">
        <v>44</v>
      </c>
      <c r="O119" t="s">
        <v>563</v>
      </c>
      <c r="P119" t="s">
        <v>119</v>
      </c>
      <c r="Q119" t="s">
        <v>45</v>
      </c>
      <c r="R119" s="1">
        <v>45603</v>
      </c>
      <c r="S119" t="s">
        <v>33</v>
      </c>
      <c r="T119" t="s">
        <v>46</v>
      </c>
      <c r="U119" t="s">
        <v>47</v>
      </c>
      <c r="V119" s="1">
        <v>45627</v>
      </c>
      <c r="W119" t="s">
        <v>48</v>
      </c>
    </row>
    <row r="120" spans="1:23" x14ac:dyDescent="0.3">
      <c r="A120" t="s">
        <v>564</v>
      </c>
      <c r="B120" s="1">
        <v>45594</v>
      </c>
      <c r="C120" t="s">
        <v>565</v>
      </c>
      <c r="D120" t="s">
        <v>38</v>
      </c>
      <c r="E120" t="s">
        <v>566</v>
      </c>
      <c r="F120" t="s">
        <v>40</v>
      </c>
      <c r="G120" t="s">
        <v>567</v>
      </c>
      <c r="H120">
        <v>8999</v>
      </c>
      <c r="I120">
        <v>1</v>
      </c>
      <c r="J120">
        <v>8999</v>
      </c>
      <c r="K120" t="s">
        <v>537</v>
      </c>
      <c r="L120">
        <v>40</v>
      </c>
      <c r="M120" t="s">
        <v>43</v>
      </c>
      <c r="N120" t="s">
        <v>30</v>
      </c>
      <c r="O120" t="s">
        <v>96</v>
      </c>
      <c r="P120" t="s">
        <v>97</v>
      </c>
      <c r="Q120" t="s">
        <v>31</v>
      </c>
      <c r="R120" s="1">
        <v>45602</v>
      </c>
      <c r="S120" t="s">
        <v>33</v>
      </c>
      <c r="T120" t="s">
        <v>46</v>
      </c>
      <c r="U120" t="s">
        <v>47</v>
      </c>
      <c r="V120" s="1">
        <v>45628</v>
      </c>
      <c r="W120" t="s">
        <v>48</v>
      </c>
    </row>
    <row r="121" spans="1:23" x14ac:dyDescent="0.3">
      <c r="A121" t="s">
        <v>568</v>
      </c>
      <c r="B121" s="1">
        <v>45594</v>
      </c>
      <c r="C121" t="s">
        <v>569</v>
      </c>
      <c r="D121" t="s">
        <v>25</v>
      </c>
      <c r="E121" t="s">
        <v>570</v>
      </c>
      <c r="F121" t="s">
        <v>71</v>
      </c>
      <c r="G121" t="s">
        <v>571</v>
      </c>
      <c r="H121">
        <v>1299</v>
      </c>
      <c r="I121">
        <v>2</v>
      </c>
      <c r="J121">
        <v>2598</v>
      </c>
      <c r="K121" t="s">
        <v>537</v>
      </c>
      <c r="L121">
        <v>40</v>
      </c>
      <c r="M121" t="s">
        <v>55</v>
      </c>
      <c r="N121" t="s">
        <v>65</v>
      </c>
      <c r="O121" t="s">
        <v>90</v>
      </c>
      <c r="P121" t="s">
        <v>91</v>
      </c>
      <c r="Q121" t="s">
        <v>45</v>
      </c>
      <c r="R121" s="1">
        <v>45604</v>
      </c>
      <c r="S121" t="s">
        <v>33</v>
      </c>
      <c r="T121" t="s">
        <v>46</v>
      </c>
      <c r="U121" t="s">
        <v>138</v>
      </c>
      <c r="V121" s="1">
        <v>45626</v>
      </c>
      <c r="W121" t="s">
        <v>48</v>
      </c>
    </row>
    <row r="122" spans="1:23" x14ac:dyDescent="0.3">
      <c r="A122" t="s">
        <v>572</v>
      </c>
      <c r="B122" s="1">
        <v>45594</v>
      </c>
      <c r="C122" t="s">
        <v>573</v>
      </c>
      <c r="D122" t="s">
        <v>25</v>
      </c>
      <c r="E122" t="s">
        <v>574</v>
      </c>
      <c r="F122" t="s">
        <v>27</v>
      </c>
      <c r="G122" t="s">
        <v>575</v>
      </c>
      <c r="H122">
        <v>1999</v>
      </c>
      <c r="I122">
        <v>1</v>
      </c>
      <c r="J122">
        <v>1999</v>
      </c>
      <c r="K122" t="s">
        <v>537</v>
      </c>
      <c r="L122">
        <v>40</v>
      </c>
      <c r="M122" t="s">
        <v>29</v>
      </c>
      <c r="N122" t="s">
        <v>44</v>
      </c>
      <c r="O122" t="s">
        <v>56</v>
      </c>
      <c r="P122" t="s">
        <v>57</v>
      </c>
      <c r="Q122" t="s">
        <v>56</v>
      </c>
      <c r="R122" s="1">
        <v>45603</v>
      </c>
      <c r="S122" t="s">
        <v>33</v>
      </c>
      <c r="T122" t="s">
        <v>46</v>
      </c>
      <c r="U122" t="s">
        <v>68</v>
      </c>
      <c r="V122" s="1">
        <v>45629</v>
      </c>
      <c r="W122" t="s">
        <v>48</v>
      </c>
    </row>
    <row r="123" spans="1:23" x14ac:dyDescent="0.3">
      <c r="A123" t="s">
        <v>576</v>
      </c>
      <c r="B123" s="1">
        <v>45595</v>
      </c>
      <c r="C123" t="s">
        <v>577</v>
      </c>
      <c r="D123" t="s">
        <v>25</v>
      </c>
      <c r="E123" t="s">
        <v>578</v>
      </c>
      <c r="F123" t="s">
        <v>53</v>
      </c>
      <c r="G123" t="s">
        <v>579</v>
      </c>
      <c r="H123">
        <v>5499</v>
      </c>
      <c r="I123">
        <v>1</v>
      </c>
      <c r="J123">
        <v>5499</v>
      </c>
      <c r="K123" t="s">
        <v>537</v>
      </c>
      <c r="L123">
        <v>40</v>
      </c>
      <c r="M123" t="s">
        <v>111</v>
      </c>
      <c r="N123" t="s">
        <v>30</v>
      </c>
      <c r="O123" t="s">
        <v>156</v>
      </c>
      <c r="P123" t="s">
        <v>97</v>
      </c>
      <c r="Q123" t="s">
        <v>31</v>
      </c>
      <c r="R123" s="1">
        <v>45604</v>
      </c>
      <c r="S123" t="s">
        <v>33</v>
      </c>
      <c r="T123" t="s">
        <v>46</v>
      </c>
      <c r="U123" t="s">
        <v>47</v>
      </c>
      <c r="V123" s="1">
        <v>45627</v>
      </c>
      <c r="W123" t="s">
        <v>48</v>
      </c>
    </row>
    <row r="124" spans="1:23" x14ac:dyDescent="0.3">
      <c r="A124" t="s">
        <v>580</v>
      </c>
      <c r="B124" s="1">
        <v>45595</v>
      </c>
      <c r="C124" t="s">
        <v>581</v>
      </c>
      <c r="D124" t="s">
        <v>25</v>
      </c>
      <c r="E124" t="s">
        <v>582</v>
      </c>
      <c r="F124" t="s">
        <v>40</v>
      </c>
      <c r="G124" t="s">
        <v>583</v>
      </c>
      <c r="H124">
        <v>6999</v>
      </c>
      <c r="I124">
        <v>1</v>
      </c>
      <c r="J124">
        <v>6999</v>
      </c>
      <c r="K124" t="s">
        <v>537</v>
      </c>
      <c r="L124">
        <v>40</v>
      </c>
      <c r="M124" t="s">
        <v>43</v>
      </c>
      <c r="N124" t="s">
        <v>65</v>
      </c>
      <c r="O124" t="s">
        <v>31</v>
      </c>
      <c r="P124" t="s">
        <v>32</v>
      </c>
      <c r="Q124" t="s">
        <v>31</v>
      </c>
      <c r="R124" s="1">
        <v>45605</v>
      </c>
      <c r="S124" t="s">
        <v>33</v>
      </c>
      <c r="T124" t="s">
        <v>46</v>
      </c>
      <c r="U124" t="s">
        <v>47</v>
      </c>
      <c r="V124" s="1">
        <v>45629</v>
      </c>
      <c r="W124" t="s">
        <v>48</v>
      </c>
    </row>
    <row r="125" spans="1:23" x14ac:dyDescent="0.3">
      <c r="A125" t="s">
        <v>584</v>
      </c>
      <c r="B125" s="1">
        <v>45595</v>
      </c>
      <c r="C125" t="s">
        <v>585</v>
      </c>
      <c r="D125" t="s">
        <v>38</v>
      </c>
      <c r="E125" t="s">
        <v>586</v>
      </c>
      <c r="F125" t="s">
        <v>61</v>
      </c>
      <c r="G125" t="s">
        <v>587</v>
      </c>
      <c r="H125">
        <v>4999</v>
      </c>
      <c r="I125">
        <v>1</v>
      </c>
      <c r="J125">
        <v>4999</v>
      </c>
      <c r="K125" t="s">
        <v>537</v>
      </c>
      <c r="L125">
        <v>40</v>
      </c>
      <c r="M125" t="s">
        <v>64</v>
      </c>
      <c r="N125" t="s">
        <v>44</v>
      </c>
      <c r="O125" t="s">
        <v>45</v>
      </c>
      <c r="P125" t="s">
        <v>45</v>
      </c>
      <c r="Q125" t="s">
        <v>45</v>
      </c>
      <c r="R125" s="1">
        <v>45606</v>
      </c>
      <c r="S125" t="s">
        <v>33</v>
      </c>
      <c r="T125" t="s">
        <v>34</v>
      </c>
      <c r="W125" t="s">
        <v>35</v>
      </c>
    </row>
    <row r="126" spans="1:23" x14ac:dyDescent="0.3">
      <c r="A126" t="s">
        <v>588</v>
      </c>
      <c r="B126" s="1">
        <v>45595</v>
      </c>
      <c r="C126" t="s">
        <v>589</v>
      </c>
      <c r="D126" t="s">
        <v>25</v>
      </c>
      <c r="E126" t="s">
        <v>590</v>
      </c>
      <c r="F126" t="s">
        <v>71</v>
      </c>
      <c r="G126" t="s">
        <v>591</v>
      </c>
      <c r="H126">
        <v>899</v>
      </c>
      <c r="I126">
        <v>1</v>
      </c>
      <c r="J126">
        <v>899</v>
      </c>
      <c r="K126" t="s">
        <v>537</v>
      </c>
      <c r="L126">
        <v>40</v>
      </c>
      <c r="M126" t="s">
        <v>29</v>
      </c>
      <c r="N126" t="s">
        <v>30</v>
      </c>
      <c r="O126" t="s">
        <v>592</v>
      </c>
      <c r="P126" t="s">
        <v>113</v>
      </c>
      <c r="Q126" t="s">
        <v>45</v>
      </c>
      <c r="R126" s="1">
        <v>45606</v>
      </c>
      <c r="S126" t="s">
        <v>33</v>
      </c>
      <c r="T126" t="s">
        <v>34</v>
      </c>
      <c r="W126" t="s">
        <v>35</v>
      </c>
    </row>
    <row r="127" spans="1:23" x14ac:dyDescent="0.3">
      <c r="A127" t="s">
        <v>593</v>
      </c>
      <c r="B127" s="1">
        <v>45595</v>
      </c>
      <c r="C127" t="s">
        <v>594</v>
      </c>
      <c r="D127" t="s">
        <v>25</v>
      </c>
      <c r="E127" t="s">
        <v>595</v>
      </c>
      <c r="F127" t="s">
        <v>27</v>
      </c>
      <c r="G127" t="s">
        <v>596</v>
      </c>
      <c r="H127">
        <v>3299</v>
      </c>
      <c r="I127">
        <v>1</v>
      </c>
      <c r="J127">
        <v>3299</v>
      </c>
      <c r="K127" t="s">
        <v>537</v>
      </c>
      <c r="L127">
        <v>40</v>
      </c>
      <c r="M127" t="s">
        <v>55</v>
      </c>
      <c r="N127" t="s">
        <v>65</v>
      </c>
      <c r="O127" t="s">
        <v>102</v>
      </c>
      <c r="P127" t="s">
        <v>103</v>
      </c>
      <c r="Q127" t="s">
        <v>45</v>
      </c>
      <c r="R127" s="1">
        <v>45608</v>
      </c>
      <c r="S127" t="s">
        <v>33</v>
      </c>
      <c r="T127" t="s">
        <v>46</v>
      </c>
      <c r="U127" t="s">
        <v>104</v>
      </c>
      <c r="V127" s="1">
        <v>45631</v>
      </c>
      <c r="W127" t="s">
        <v>105</v>
      </c>
    </row>
    <row r="128" spans="1:23" x14ac:dyDescent="0.3">
      <c r="A128" t="s">
        <v>597</v>
      </c>
      <c r="B128" s="1">
        <v>45596</v>
      </c>
      <c r="C128" t="s">
        <v>598</v>
      </c>
      <c r="D128" t="s">
        <v>25</v>
      </c>
      <c r="E128" t="s">
        <v>599</v>
      </c>
      <c r="F128" t="s">
        <v>40</v>
      </c>
      <c r="G128" t="s">
        <v>600</v>
      </c>
      <c r="H128">
        <v>7499</v>
      </c>
      <c r="I128">
        <v>1</v>
      </c>
      <c r="J128">
        <v>7499</v>
      </c>
      <c r="K128" t="s">
        <v>537</v>
      </c>
      <c r="L128">
        <v>40</v>
      </c>
      <c r="M128" t="s">
        <v>43</v>
      </c>
      <c r="N128" t="s">
        <v>30</v>
      </c>
      <c r="O128" t="s">
        <v>112</v>
      </c>
      <c r="P128" t="s">
        <v>113</v>
      </c>
      <c r="Q128" t="s">
        <v>45</v>
      </c>
      <c r="R128" s="1">
        <v>45607</v>
      </c>
      <c r="S128" t="s">
        <v>33</v>
      </c>
      <c r="T128" t="s">
        <v>46</v>
      </c>
      <c r="U128" t="s">
        <v>47</v>
      </c>
      <c r="V128" s="1">
        <v>45630</v>
      </c>
      <c r="W128" t="s">
        <v>48</v>
      </c>
    </row>
    <row r="129" spans="1:23" x14ac:dyDescent="0.3">
      <c r="A129" t="s">
        <v>601</v>
      </c>
      <c r="B129" s="1">
        <v>45596</v>
      </c>
      <c r="C129" t="s">
        <v>602</v>
      </c>
      <c r="D129" t="s">
        <v>25</v>
      </c>
      <c r="E129" t="s">
        <v>603</v>
      </c>
      <c r="F129" t="s">
        <v>53</v>
      </c>
      <c r="G129" t="s">
        <v>604</v>
      </c>
      <c r="H129">
        <v>3299</v>
      </c>
      <c r="I129">
        <v>1</v>
      </c>
      <c r="J129">
        <v>3299</v>
      </c>
      <c r="K129" t="s">
        <v>537</v>
      </c>
      <c r="L129">
        <v>40</v>
      </c>
      <c r="M129" t="s">
        <v>29</v>
      </c>
      <c r="N129" t="s">
        <v>44</v>
      </c>
      <c r="O129" t="s">
        <v>118</v>
      </c>
      <c r="P129" t="s">
        <v>119</v>
      </c>
      <c r="Q129" t="s">
        <v>45</v>
      </c>
      <c r="R129" s="1">
        <v>45608</v>
      </c>
      <c r="S129" t="s">
        <v>33</v>
      </c>
      <c r="T129" t="s">
        <v>46</v>
      </c>
      <c r="U129" t="s">
        <v>79</v>
      </c>
      <c r="V129" s="1">
        <v>45632</v>
      </c>
      <c r="W129" t="s">
        <v>48</v>
      </c>
    </row>
    <row r="130" spans="1:23" x14ac:dyDescent="0.3">
      <c r="A130" t="s">
        <v>605</v>
      </c>
      <c r="B130" s="1">
        <v>45596</v>
      </c>
      <c r="C130" t="s">
        <v>606</v>
      </c>
      <c r="D130" t="s">
        <v>38</v>
      </c>
      <c r="E130" t="s">
        <v>405</v>
      </c>
      <c r="F130" t="s">
        <v>61</v>
      </c>
      <c r="G130" t="s">
        <v>607</v>
      </c>
      <c r="H130">
        <v>5499</v>
      </c>
      <c r="I130">
        <v>1</v>
      </c>
      <c r="J130">
        <v>5499</v>
      </c>
      <c r="K130" t="s">
        <v>537</v>
      </c>
      <c r="L130">
        <v>40</v>
      </c>
      <c r="M130" t="s">
        <v>64</v>
      </c>
      <c r="N130" t="s">
        <v>65</v>
      </c>
      <c r="O130" t="s">
        <v>137</v>
      </c>
      <c r="P130" t="s">
        <v>113</v>
      </c>
      <c r="Q130" t="s">
        <v>45</v>
      </c>
      <c r="R130" s="1">
        <v>45609</v>
      </c>
      <c r="S130" t="s">
        <v>33</v>
      </c>
      <c r="T130" t="s">
        <v>46</v>
      </c>
      <c r="U130" t="s">
        <v>68</v>
      </c>
      <c r="V130" s="1">
        <v>45634</v>
      </c>
      <c r="W130" t="s">
        <v>48</v>
      </c>
    </row>
    <row r="131" spans="1:23" x14ac:dyDescent="0.3">
      <c r="A131" t="s">
        <v>608</v>
      </c>
      <c r="B131" s="1">
        <v>45596</v>
      </c>
      <c r="C131" t="s">
        <v>609</v>
      </c>
      <c r="D131" t="s">
        <v>25</v>
      </c>
      <c r="E131" t="s">
        <v>610</v>
      </c>
      <c r="F131" t="s">
        <v>71</v>
      </c>
      <c r="G131" t="s">
        <v>611</v>
      </c>
      <c r="H131">
        <v>1199</v>
      </c>
      <c r="I131">
        <v>1</v>
      </c>
      <c r="J131">
        <v>1199</v>
      </c>
      <c r="K131" t="s">
        <v>537</v>
      </c>
      <c r="L131">
        <v>40</v>
      </c>
      <c r="M131" t="s">
        <v>55</v>
      </c>
      <c r="N131" t="s">
        <v>30</v>
      </c>
      <c r="O131" t="s">
        <v>143</v>
      </c>
      <c r="P131" t="s">
        <v>144</v>
      </c>
      <c r="Q131" t="s">
        <v>45</v>
      </c>
      <c r="S131" t="s">
        <v>120</v>
      </c>
      <c r="T131" t="s">
        <v>34</v>
      </c>
      <c r="W131" t="s">
        <v>35</v>
      </c>
    </row>
    <row r="132" spans="1:23" x14ac:dyDescent="0.3">
      <c r="A132" t="s">
        <v>612</v>
      </c>
      <c r="B132" s="1">
        <v>45596</v>
      </c>
      <c r="C132" t="s">
        <v>613</v>
      </c>
      <c r="D132" t="s">
        <v>25</v>
      </c>
      <c r="E132" t="s">
        <v>614</v>
      </c>
      <c r="F132" t="s">
        <v>27</v>
      </c>
      <c r="G132" t="s">
        <v>615</v>
      </c>
      <c r="H132">
        <v>2799</v>
      </c>
      <c r="I132">
        <v>1</v>
      </c>
      <c r="J132">
        <v>2799</v>
      </c>
      <c r="K132" t="s">
        <v>537</v>
      </c>
      <c r="L132">
        <v>40</v>
      </c>
      <c r="M132" t="s">
        <v>111</v>
      </c>
      <c r="N132" t="s">
        <v>44</v>
      </c>
      <c r="O132" t="s">
        <v>150</v>
      </c>
      <c r="P132" t="s">
        <v>151</v>
      </c>
      <c r="Q132" t="s">
        <v>31</v>
      </c>
      <c r="R132" s="1">
        <v>45608</v>
      </c>
      <c r="S132" t="s">
        <v>33</v>
      </c>
      <c r="T132" t="s">
        <v>46</v>
      </c>
      <c r="U132" t="s">
        <v>47</v>
      </c>
      <c r="V132" s="1">
        <v>45633</v>
      </c>
      <c r="W132" t="s">
        <v>48</v>
      </c>
    </row>
    <row r="133" spans="1:23" x14ac:dyDescent="0.3">
      <c r="A133" t="s">
        <v>616</v>
      </c>
      <c r="B133" s="1">
        <v>45597</v>
      </c>
      <c r="C133" t="s">
        <v>617</v>
      </c>
      <c r="D133" t="s">
        <v>25</v>
      </c>
      <c r="E133" t="s">
        <v>618</v>
      </c>
      <c r="F133" t="s">
        <v>40</v>
      </c>
      <c r="G133" t="s">
        <v>619</v>
      </c>
      <c r="H133">
        <v>3899</v>
      </c>
      <c r="I133">
        <v>1</v>
      </c>
      <c r="J133">
        <v>3899</v>
      </c>
      <c r="K133" t="s">
        <v>537</v>
      </c>
      <c r="L133">
        <v>40</v>
      </c>
      <c r="M133" t="s">
        <v>43</v>
      </c>
      <c r="N133" t="s">
        <v>65</v>
      </c>
      <c r="O133" t="s">
        <v>156</v>
      </c>
      <c r="P133" t="s">
        <v>97</v>
      </c>
      <c r="Q133" t="s">
        <v>31</v>
      </c>
      <c r="R133" s="1">
        <v>45606</v>
      </c>
      <c r="S133" t="s">
        <v>33</v>
      </c>
      <c r="T133" t="s">
        <v>46</v>
      </c>
      <c r="U133" t="s">
        <v>104</v>
      </c>
      <c r="V133" s="1">
        <v>45631</v>
      </c>
      <c r="W133" t="s">
        <v>48</v>
      </c>
    </row>
    <row r="134" spans="1:23" x14ac:dyDescent="0.3">
      <c r="A134" t="s">
        <v>620</v>
      </c>
      <c r="B134" s="1">
        <v>45597</v>
      </c>
      <c r="C134" t="s">
        <v>621</v>
      </c>
      <c r="D134" t="s">
        <v>25</v>
      </c>
      <c r="E134" t="s">
        <v>622</v>
      </c>
      <c r="F134" t="s">
        <v>53</v>
      </c>
      <c r="G134" t="s">
        <v>623</v>
      </c>
      <c r="H134">
        <v>2999</v>
      </c>
      <c r="I134">
        <v>1</v>
      </c>
      <c r="J134">
        <v>2999</v>
      </c>
      <c r="K134" t="s">
        <v>537</v>
      </c>
      <c r="L134">
        <v>40</v>
      </c>
      <c r="M134" t="s">
        <v>29</v>
      </c>
      <c r="N134" t="s">
        <v>30</v>
      </c>
      <c r="O134" t="s">
        <v>161</v>
      </c>
      <c r="P134" t="s">
        <v>162</v>
      </c>
      <c r="Q134" t="s">
        <v>45</v>
      </c>
      <c r="R134" s="1">
        <v>45607</v>
      </c>
      <c r="S134" t="s">
        <v>33</v>
      </c>
      <c r="T134" t="s">
        <v>34</v>
      </c>
      <c r="W134" t="s">
        <v>35</v>
      </c>
    </row>
    <row r="135" spans="1:23" x14ac:dyDescent="0.3">
      <c r="A135" t="s">
        <v>624</v>
      </c>
      <c r="B135" s="1">
        <v>45597</v>
      </c>
      <c r="C135" t="s">
        <v>625</v>
      </c>
      <c r="D135" t="s">
        <v>38</v>
      </c>
      <c r="E135" t="s">
        <v>626</v>
      </c>
      <c r="F135" t="s">
        <v>61</v>
      </c>
      <c r="G135" t="s">
        <v>627</v>
      </c>
      <c r="H135">
        <v>6499</v>
      </c>
      <c r="I135">
        <v>1</v>
      </c>
      <c r="J135">
        <v>6499</v>
      </c>
      <c r="K135" t="s">
        <v>537</v>
      </c>
      <c r="L135">
        <v>40</v>
      </c>
      <c r="M135" t="s">
        <v>43</v>
      </c>
      <c r="N135" t="s">
        <v>44</v>
      </c>
      <c r="O135" t="s">
        <v>167</v>
      </c>
      <c r="P135" t="s">
        <v>151</v>
      </c>
      <c r="Q135" t="s">
        <v>31</v>
      </c>
      <c r="R135" s="1">
        <v>45609</v>
      </c>
      <c r="S135" t="s">
        <v>33</v>
      </c>
      <c r="T135" t="s">
        <v>46</v>
      </c>
      <c r="U135" t="s">
        <v>47</v>
      </c>
      <c r="V135" s="1">
        <v>45636</v>
      </c>
      <c r="W135" t="s">
        <v>48</v>
      </c>
    </row>
    <row r="136" spans="1:23" x14ac:dyDescent="0.3">
      <c r="A136" t="s">
        <v>628</v>
      </c>
      <c r="B136" s="1">
        <v>45597</v>
      </c>
      <c r="C136" t="s">
        <v>629</v>
      </c>
      <c r="D136" t="s">
        <v>25</v>
      </c>
      <c r="E136" t="s">
        <v>630</v>
      </c>
      <c r="F136" t="s">
        <v>71</v>
      </c>
      <c r="G136" t="s">
        <v>631</v>
      </c>
      <c r="H136">
        <v>999</v>
      </c>
      <c r="I136">
        <v>2</v>
      </c>
      <c r="J136">
        <v>1998</v>
      </c>
      <c r="K136" t="s">
        <v>537</v>
      </c>
      <c r="L136">
        <v>40</v>
      </c>
      <c r="M136" t="s">
        <v>64</v>
      </c>
      <c r="N136" t="s">
        <v>65</v>
      </c>
      <c r="O136" t="s">
        <v>172</v>
      </c>
      <c r="P136" t="s">
        <v>32</v>
      </c>
      <c r="Q136" t="s">
        <v>31</v>
      </c>
      <c r="R136" s="1">
        <v>45607</v>
      </c>
      <c r="S136" t="s">
        <v>33</v>
      </c>
      <c r="T136" t="s">
        <v>34</v>
      </c>
      <c r="W136" t="s">
        <v>35</v>
      </c>
    </row>
    <row r="137" spans="1:23" x14ac:dyDescent="0.3">
      <c r="A137" t="s">
        <v>632</v>
      </c>
      <c r="B137" s="1">
        <v>45598</v>
      </c>
      <c r="C137" t="s">
        <v>633</v>
      </c>
      <c r="D137" t="s">
        <v>25</v>
      </c>
      <c r="E137" t="s">
        <v>634</v>
      </c>
      <c r="F137" t="s">
        <v>27</v>
      </c>
      <c r="G137" t="s">
        <v>635</v>
      </c>
      <c r="H137">
        <v>2499</v>
      </c>
      <c r="I137">
        <v>1</v>
      </c>
      <c r="J137">
        <v>2499</v>
      </c>
      <c r="K137" t="s">
        <v>537</v>
      </c>
      <c r="L137">
        <v>40</v>
      </c>
      <c r="M137" t="s">
        <v>55</v>
      </c>
      <c r="N137" t="s">
        <v>30</v>
      </c>
      <c r="O137" t="s">
        <v>177</v>
      </c>
      <c r="P137" t="s">
        <v>67</v>
      </c>
      <c r="Q137" t="s">
        <v>56</v>
      </c>
      <c r="R137" s="1">
        <v>45608</v>
      </c>
      <c r="S137" t="s">
        <v>33</v>
      </c>
      <c r="T137" t="s">
        <v>46</v>
      </c>
      <c r="U137" t="s">
        <v>68</v>
      </c>
      <c r="V137" s="1">
        <v>45634</v>
      </c>
      <c r="W137" t="s">
        <v>48</v>
      </c>
    </row>
    <row r="138" spans="1:23" x14ac:dyDescent="0.3">
      <c r="A138" t="s">
        <v>636</v>
      </c>
      <c r="B138" s="1">
        <v>45598</v>
      </c>
      <c r="C138" t="s">
        <v>637</v>
      </c>
      <c r="D138" t="s">
        <v>25</v>
      </c>
      <c r="E138" t="s">
        <v>638</v>
      </c>
      <c r="F138" t="s">
        <v>40</v>
      </c>
      <c r="G138" t="s">
        <v>639</v>
      </c>
      <c r="H138">
        <v>4599</v>
      </c>
      <c r="I138">
        <v>1</v>
      </c>
      <c r="J138">
        <v>4599</v>
      </c>
      <c r="K138" t="s">
        <v>537</v>
      </c>
      <c r="L138">
        <v>40</v>
      </c>
      <c r="M138" t="s">
        <v>29</v>
      </c>
      <c r="N138" t="s">
        <v>44</v>
      </c>
      <c r="O138" t="s">
        <v>182</v>
      </c>
      <c r="P138" t="s">
        <v>183</v>
      </c>
      <c r="Q138" t="s">
        <v>56</v>
      </c>
      <c r="R138" s="1">
        <v>45610</v>
      </c>
      <c r="S138" t="s">
        <v>33</v>
      </c>
      <c r="T138" t="s">
        <v>46</v>
      </c>
      <c r="U138" t="s">
        <v>47</v>
      </c>
      <c r="V138" s="1">
        <v>45638</v>
      </c>
      <c r="W138" t="s">
        <v>48</v>
      </c>
    </row>
    <row r="139" spans="1:23" x14ac:dyDescent="0.3">
      <c r="A139" t="s">
        <v>640</v>
      </c>
      <c r="B139" s="1">
        <v>45598</v>
      </c>
      <c r="C139" t="s">
        <v>641</v>
      </c>
      <c r="D139" t="s">
        <v>25</v>
      </c>
      <c r="E139" t="s">
        <v>642</v>
      </c>
      <c r="F139" t="s">
        <v>53</v>
      </c>
      <c r="G139" t="s">
        <v>643</v>
      </c>
      <c r="H139">
        <v>1799</v>
      </c>
      <c r="I139">
        <v>1</v>
      </c>
      <c r="J139">
        <v>1799</v>
      </c>
      <c r="K139" t="s">
        <v>537</v>
      </c>
      <c r="L139">
        <v>40</v>
      </c>
      <c r="M139" t="s">
        <v>43</v>
      </c>
      <c r="N139" t="s">
        <v>65</v>
      </c>
      <c r="O139" t="s">
        <v>188</v>
      </c>
      <c r="P139" t="s">
        <v>189</v>
      </c>
      <c r="Q139" t="s">
        <v>56</v>
      </c>
      <c r="R139" s="1">
        <v>45609</v>
      </c>
      <c r="S139" t="s">
        <v>33</v>
      </c>
      <c r="T139" t="s">
        <v>34</v>
      </c>
      <c r="W139" t="s">
        <v>35</v>
      </c>
    </row>
    <row r="140" spans="1:23" x14ac:dyDescent="0.3">
      <c r="A140" t="s">
        <v>644</v>
      </c>
      <c r="B140" s="1">
        <v>45598</v>
      </c>
      <c r="C140" t="s">
        <v>645</v>
      </c>
      <c r="D140" t="s">
        <v>38</v>
      </c>
      <c r="E140" t="s">
        <v>646</v>
      </c>
      <c r="F140" t="s">
        <v>61</v>
      </c>
      <c r="G140" t="s">
        <v>647</v>
      </c>
      <c r="H140">
        <v>7999</v>
      </c>
      <c r="I140">
        <v>1</v>
      </c>
      <c r="J140">
        <v>7999</v>
      </c>
      <c r="K140" t="s">
        <v>537</v>
      </c>
      <c r="L140">
        <v>40</v>
      </c>
      <c r="M140" t="s">
        <v>111</v>
      </c>
      <c r="N140" t="s">
        <v>30</v>
      </c>
      <c r="O140" t="s">
        <v>194</v>
      </c>
      <c r="P140" t="s">
        <v>183</v>
      </c>
      <c r="Q140" t="s">
        <v>56</v>
      </c>
      <c r="R140" s="1">
        <v>45611</v>
      </c>
      <c r="S140" t="s">
        <v>33</v>
      </c>
      <c r="T140" t="s">
        <v>46</v>
      </c>
      <c r="U140" t="s">
        <v>79</v>
      </c>
      <c r="V140" s="1">
        <v>45640</v>
      </c>
      <c r="W140" t="s">
        <v>48</v>
      </c>
    </row>
    <row r="141" spans="1:23" x14ac:dyDescent="0.3">
      <c r="A141" t="s">
        <v>648</v>
      </c>
      <c r="B141" s="1">
        <v>45599</v>
      </c>
      <c r="C141" t="s">
        <v>649</v>
      </c>
      <c r="D141" t="s">
        <v>25</v>
      </c>
      <c r="E141" t="s">
        <v>650</v>
      </c>
      <c r="F141" t="s">
        <v>71</v>
      </c>
      <c r="G141" t="s">
        <v>651</v>
      </c>
      <c r="H141">
        <v>2499</v>
      </c>
      <c r="I141">
        <v>1</v>
      </c>
      <c r="J141">
        <v>2499</v>
      </c>
      <c r="K141" t="s">
        <v>537</v>
      </c>
      <c r="L141">
        <v>40</v>
      </c>
      <c r="M141" t="s">
        <v>64</v>
      </c>
      <c r="N141" t="s">
        <v>44</v>
      </c>
      <c r="O141" t="s">
        <v>199</v>
      </c>
      <c r="P141" t="s">
        <v>57</v>
      </c>
      <c r="Q141" t="s">
        <v>56</v>
      </c>
      <c r="R141" s="1">
        <v>45610</v>
      </c>
      <c r="S141" t="s">
        <v>33</v>
      </c>
      <c r="T141" t="s">
        <v>46</v>
      </c>
      <c r="U141" t="s">
        <v>138</v>
      </c>
      <c r="V141" s="1">
        <v>45638</v>
      </c>
      <c r="W141" t="s">
        <v>48</v>
      </c>
    </row>
    <row r="142" spans="1:23" x14ac:dyDescent="0.3">
      <c r="A142" t="s">
        <v>652</v>
      </c>
      <c r="B142" s="1">
        <v>45599</v>
      </c>
      <c r="C142" t="s">
        <v>653</v>
      </c>
      <c r="D142" t="s">
        <v>25</v>
      </c>
      <c r="E142" t="s">
        <v>654</v>
      </c>
      <c r="F142" t="s">
        <v>27</v>
      </c>
      <c r="G142" t="s">
        <v>655</v>
      </c>
      <c r="H142">
        <v>2299</v>
      </c>
      <c r="I142">
        <v>1</v>
      </c>
      <c r="J142">
        <v>2299</v>
      </c>
      <c r="K142" t="s">
        <v>537</v>
      </c>
      <c r="L142">
        <v>40</v>
      </c>
      <c r="M142" t="s">
        <v>29</v>
      </c>
      <c r="N142" t="s">
        <v>65</v>
      </c>
      <c r="O142" t="s">
        <v>204</v>
      </c>
      <c r="P142" t="s">
        <v>97</v>
      </c>
      <c r="Q142" t="s">
        <v>31</v>
      </c>
      <c r="R142" s="1">
        <v>45611</v>
      </c>
      <c r="S142" t="s">
        <v>33</v>
      </c>
      <c r="T142" t="s">
        <v>46</v>
      </c>
      <c r="U142" t="s">
        <v>47</v>
      </c>
      <c r="V142" s="1">
        <v>45639</v>
      </c>
      <c r="W142" t="s">
        <v>48</v>
      </c>
    </row>
    <row r="143" spans="1:23" x14ac:dyDescent="0.3">
      <c r="A143" t="s">
        <v>656</v>
      </c>
      <c r="B143" s="1">
        <v>45599</v>
      </c>
      <c r="C143" t="s">
        <v>657</v>
      </c>
      <c r="D143" t="s">
        <v>25</v>
      </c>
      <c r="E143" t="s">
        <v>476</v>
      </c>
      <c r="F143" t="s">
        <v>40</v>
      </c>
      <c r="G143" t="s">
        <v>658</v>
      </c>
      <c r="H143">
        <v>5999</v>
      </c>
      <c r="I143">
        <v>1</v>
      </c>
      <c r="J143">
        <v>5999</v>
      </c>
      <c r="K143" t="s">
        <v>537</v>
      </c>
      <c r="L143">
        <v>40</v>
      </c>
      <c r="M143" t="s">
        <v>43</v>
      </c>
      <c r="N143" t="s">
        <v>30</v>
      </c>
      <c r="O143" t="s">
        <v>209</v>
      </c>
      <c r="P143" t="s">
        <v>97</v>
      </c>
      <c r="Q143" t="s">
        <v>31</v>
      </c>
      <c r="R143" s="1">
        <v>45612</v>
      </c>
      <c r="S143" t="s">
        <v>33</v>
      </c>
      <c r="T143" t="s">
        <v>46</v>
      </c>
      <c r="U143" t="s">
        <v>104</v>
      </c>
      <c r="V143" s="1">
        <v>45641</v>
      </c>
      <c r="W143" t="s">
        <v>48</v>
      </c>
    </row>
    <row r="144" spans="1:23" x14ac:dyDescent="0.3">
      <c r="A144" t="s">
        <v>659</v>
      </c>
      <c r="B144" s="1">
        <v>45599</v>
      </c>
      <c r="C144" t="s">
        <v>660</v>
      </c>
      <c r="D144" t="s">
        <v>38</v>
      </c>
      <c r="E144" t="s">
        <v>661</v>
      </c>
      <c r="F144" t="s">
        <v>53</v>
      </c>
      <c r="G144" t="s">
        <v>662</v>
      </c>
      <c r="H144">
        <v>2599</v>
      </c>
      <c r="I144">
        <v>1</v>
      </c>
      <c r="J144">
        <v>2599</v>
      </c>
      <c r="K144" t="s">
        <v>537</v>
      </c>
      <c r="L144">
        <v>40</v>
      </c>
      <c r="M144" t="s">
        <v>55</v>
      </c>
      <c r="N144" t="s">
        <v>44</v>
      </c>
      <c r="O144" t="s">
        <v>214</v>
      </c>
      <c r="P144" t="s">
        <v>113</v>
      </c>
      <c r="Q144" t="s">
        <v>45</v>
      </c>
      <c r="R144" s="1">
        <v>45611</v>
      </c>
      <c r="S144" t="s">
        <v>33</v>
      </c>
      <c r="T144" t="s">
        <v>34</v>
      </c>
      <c r="W144" t="s">
        <v>35</v>
      </c>
    </row>
    <row r="145" spans="1:23" x14ac:dyDescent="0.3">
      <c r="A145" t="s">
        <v>663</v>
      </c>
      <c r="B145" s="1">
        <v>45600</v>
      </c>
      <c r="C145" t="s">
        <v>664</v>
      </c>
      <c r="D145" t="s">
        <v>25</v>
      </c>
      <c r="E145" t="s">
        <v>665</v>
      </c>
      <c r="F145" t="s">
        <v>61</v>
      </c>
      <c r="G145" t="s">
        <v>666</v>
      </c>
      <c r="H145">
        <v>4299</v>
      </c>
      <c r="I145">
        <v>1</v>
      </c>
      <c r="J145">
        <v>4299</v>
      </c>
      <c r="K145" t="s">
        <v>537</v>
      </c>
      <c r="L145">
        <v>40</v>
      </c>
      <c r="M145" t="s">
        <v>43</v>
      </c>
      <c r="N145" t="s">
        <v>65</v>
      </c>
      <c r="O145" t="s">
        <v>31</v>
      </c>
      <c r="P145" t="s">
        <v>32</v>
      </c>
      <c r="Q145" t="s">
        <v>31</v>
      </c>
      <c r="R145" s="1">
        <v>45613</v>
      </c>
      <c r="S145" t="s">
        <v>33</v>
      </c>
      <c r="T145" t="s">
        <v>46</v>
      </c>
      <c r="U145" t="s">
        <v>68</v>
      </c>
      <c r="V145" s="1">
        <v>45642</v>
      </c>
      <c r="W145" t="s">
        <v>48</v>
      </c>
    </row>
    <row r="146" spans="1:23" x14ac:dyDescent="0.3">
      <c r="A146" t="s">
        <v>667</v>
      </c>
      <c r="B146" s="1">
        <v>45600</v>
      </c>
      <c r="C146" t="s">
        <v>668</v>
      </c>
      <c r="D146" t="s">
        <v>25</v>
      </c>
      <c r="E146" t="s">
        <v>669</v>
      </c>
      <c r="F146" t="s">
        <v>71</v>
      </c>
      <c r="G146" t="s">
        <v>670</v>
      </c>
      <c r="H146">
        <v>799</v>
      </c>
      <c r="I146">
        <v>1</v>
      </c>
      <c r="J146">
        <v>799</v>
      </c>
      <c r="K146" t="s">
        <v>537</v>
      </c>
      <c r="L146">
        <v>40</v>
      </c>
      <c r="M146" t="s">
        <v>29</v>
      </c>
      <c r="N146" t="s">
        <v>30</v>
      </c>
      <c r="O146" t="s">
        <v>45</v>
      </c>
      <c r="P146" t="s">
        <v>45</v>
      </c>
      <c r="Q146" t="s">
        <v>45</v>
      </c>
      <c r="R146" s="1">
        <v>45612</v>
      </c>
      <c r="S146" t="s">
        <v>33</v>
      </c>
      <c r="T146" t="s">
        <v>34</v>
      </c>
      <c r="W146" t="s">
        <v>35</v>
      </c>
    </row>
    <row r="147" spans="1:23" x14ac:dyDescent="0.3">
      <c r="A147" t="s">
        <v>671</v>
      </c>
      <c r="B147" s="1">
        <v>45600</v>
      </c>
      <c r="C147" t="s">
        <v>672</v>
      </c>
      <c r="D147" t="s">
        <v>25</v>
      </c>
      <c r="E147" t="s">
        <v>673</v>
      </c>
      <c r="F147" t="s">
        <v>27</v>
      </c>
      <c r="G147" t="s">
        <v>674</v>
      </c>
      <c r="H147">
        <v>1899</v>
      </c>
      <c r="I147">
        <v>1</v>
      </c>
      <c r="J147">
        <v>1899</v>
      </c>
      <c r="K147" t="s">
        <v>537</v>
      </c>
      <c r="L147">
        <v>40</v>
      </c>
      <c r="M147" t="s">
        <v>111</v>
      </c>
      <c r="N147" t="s">
        <v>44</v>
      </c>
      <c r="O147" t="s">
        <v>90</v>
      </c>
      <c r="P147" t="s">
        <v>91</v>
      </c>
      <c r="Q147" t="s">
        <v>45</v>
      </c>
      <c r="R147" s="1">
        <v>45613</v>
      </c>
      <c r="S147" t="s">
        <v>33</v>
      </c>
      <c r="T147" t="s">
        <v>46</v>
      </c>
      <c r="U147" t="s">
        <v>47</v>
      </c>
      <c r="V147" s="1">
        <v>45641</v>
      </c>
      <c r="W147" t="s">
        <v>48</v>
      </c>
    </row>
    <row r="148" spans="1:23" x14ac:dyDescent="0.3">
      <c r="A148" t="s">
        <v>675</v>
      </c>
      <c r="B148" s="1">
        <v>45601</v>
      </c>
      <c r="C148" t="s">
        <v>676</v>
      </c>
      <c r="D148" t="s">
        <v>25</v>
      </c>
      <c r="E148" t="s">
        <v>677</v>
      </c>
      <c r="F148" t="s">
        <v>40</v>
      </c>
      <c r="G148" t="s">
        <v>678</v>
      </c>
      <c r="H148">
        <v>4899</v>
      </c>
      <c r="I148">
        <v>1</v>
      </c>
      <c r="J148">
        <v>4899</v>
      </c>
      <c r="K148" t="s">
        <v>537</v>
      </c>
      <c r="L148">
        <v>40</v>
      </c>
      <c r="M148" t="s">
        <v>64</v>
      </c>
      <c r="N148" t="s">
        <v>65</v>
      </c>
      <c r="O148" t="s">
        <v>66</v>
      </c>
      <c r="P148" t="s">
        <v>67</v>
      </c>
      <c r="Q148" t="s">
        <v>56</v>
      </c>
      <c r="R148" s="1">
        <v>45614</v>
      </c>
      <c r="S148" t="s">
        <v>33</v>
      </c>
      <c r="T148" t="s">
        <v>46</v>
      </c>
      <c r="U148" t="s">
        <v>79</v>
      </c>
      <c r="V148" s="1">
        <v>45643</v>
      </c>
      <c r="W148" t="s">
        <v>48</v>
      </c>
    </row>
    <row r="149" spans="1:23" x14ac:dyDescent="0.3">
      <c r="A149" t="s">
        <v>679</v>
      </c>
      <c r="B149" s="1">
        <v>45601</v>
      </c>
      <c r="C149" t="s">
        <v>680</v>
      </c>
      <c r="D149" t="s">
        <v>38</v>
      </c>
      <c r="E149" t="s">
        <v>681</v>
      </c>
      <c r="F149" t="s">
        <v>53</v>
      </c>
      <c r="G149" t="s">
        <v>682</v>
      </c>
      <c r="H149">
        <v>1499</v>
      </c>
      <c r="I149">
        <v>1</v>
      </c>
      <c r="J149">
        <v>1499</v>
      </c>
      <c r="K149" t="s">
        <v>537</v>
      </c>
      <c r="L149">
        <v>40</v>
      </c>
      <c r="M149" t="s">
        <v>43</v>
      </c>
      <c r="N149" t="s">
        <v>30</v>
      </c>
      <c r="O149" t="s">
        <v>77</v>
      </c>
      <c r="P149" t="s">
        <v>78</v>
      </c>
      <c r="Q149" t="s">
        <v>56</v>
      </c>
      <c r="R149" s="1">
        <v>45613</v>
      </c>
      <c r="S149" t="s">
        <v>33</v>
      </c>
      <c r="T149" t="s">
        <v>34</v>
      </c>
      <c r="W149" t="s">
        <v>35</v>
      </c>
    </row>
    <row r="150" spans="1:23" x14ac:dyDescent="0.3">
      <c r="A150" t="s">
        <v>683</v>
      </c>
      <c r="B150" s="1">
        <v>45601</v>
      </c>
      <c r="C150" t="s">
        <v>684</v>
      </c>
      <c r="D150" t="s">
        <v>25</v>
      </c>
      <c r="E150" t="s">
        <v>685</v>
      </c>
      <c r="F150" t="s">
        <v>61</v>
      </c>
      <c r="G150" t="s">
        <v>686</v>
      </c>
      <c r="H150">
        <v>5699</v>
      </c>
      <c r="I150">
        <v>1</v>
      </c>
      <c r="J150">
        <v>5699</v>
      </c>
      <c r="K150" t="s">
        <v>537</v>
      </c>
      <c r="L150">
        <v>40</v>
      </c>
      <c r="M150" t="s">
        <v>29</v>
      </c>
      <c r="N150" t="s">
        <v>44</v>
      </c>
      <c r="O150" t="s">
        <v>84</v>
      </c>
      <c r="P150" t="s">
        <v>32</v>
      </c>
      <c r="Q150" t="s">
        <v>31</v>
      </c>
      <c r="R150" s="1">
        <v>45615</v>
      </c>
      <c r="S150" t="s">
        <v>33</v>
      </c>
      <c r="T150" t="s">
        <v>46</v>
      </c>
      <c r="U150" t="s">
        <v>47</v>
      </c>
      <c r="V150" s="1">
        <v>45644</v>
      </c>
      <c r="W150" t="s">
        <v>48</v>
      </c>
    </row>
    <row r="151" spans="1:23" x14ac:dyDescent="0.3">
      <c r="A151" t="s">
        <v>687</v>
      </c>
      <c r="B151" s="1">
        <v>45601</v>
      </c>
      <c r="C151" t="s">
        <v>688</v>
      </c>
      <c r="D151" t="s">
        <v>25</v>
      </c>
      <c r="E151" t="s">
        <v>689</v>
      </c>
      <c r="F151" t="s">
        <v>71</v>
      </c>
      <c r="G151" t="s">
        <v>690</v>
      </c>
      <c r="H151">
        <v>599</v>
      </c>
      <c r="I151">
        <v>4</v>
      </c>
      <c r="J151">
        <v>2396</v>
      </c>
      <c r="K151" t="s">
        <v>537</v>
      </c>
      <c r="L151">
        <v>40</v>
      </c>
      <c r="M151" t="s">
        <v>55</v>
      </c>
      <c r="N151" t="s">
        <v>65</v>
      </c>
      <c r="O151" t="s">
        <v>96</v>
      </c>
      <c r="P151" t="s">
        <v>97</v>
      </c>
      <c r="Q151" t="s">
        <v>31</v>
      </c>
      <c r="R151" s="1">
        <v>45614</v>
      </c>
      <c r="S151" t="s">
        <v>33</v>
      </c>
      <c r="T151" t="s">
        <v>46</v>
      </c>
      <c r="U151" t="s">
        <v>138</v>
      </c>
      <c r="V151" s="1">
        <v>45642</v>
      </c>
      <c r="W151" t="s">
        <v>48</v>
      </c>
    </row>
    <row r="152" spans="1:23" x14ac:dyDescent="0.3">
      <c r="A152" t="s">
        <v>691</v>
      </c>
      <c r="B152" s="1">
        <v>45602</v>
      </c>
      <c r="C152" t="s">
        <v>692</v>
      </c>
      <c r="D152" t="s">
        <v>25</v>
      </c>
      <c r="E152" t="s">
        <v>693</v>
      </c>
      <c r="F152" t="s">
        <v>27</v>
      </c>
      <c r="G152" t="s">
        <v>694</v>
      </c>
      <c r="H152">
        <v>2999</v>
      </c>
      <c r="I152">
        <v>1</v>
      </c>
      <c r="J152">
        <v>2999</v>
      </c>
      <c r="L152">
        <v>0</v>
      </c>
      <c r="M152" t="s">
        <v>43</v>
      </c>
      <c r="N152" t="s">
        <v>30</v>
      </c>
      <c r="O152" t="s">
        <v>102</v>
      </c>
      <c r="P152" t="s">
        <v>103</v>
      </c>
      <c r="Q152" t="s">
        <v>45</v>
      </c>
      <c r="R152" s="1">
        <v>45615</v>
      </c>
      <c r="S152" t="s">
        <v>33</v>
      </c>
      <c r="T152" t="s">
        <v>34</v>
      </c>
      <c r="W152" t="s">
        <v>35</v>
      </c>
    </row>
    <row r="153" spans="1:23" x14ac:dyDescent="0.3">
      <c r="A153" t="s">
        <v>695</v>
      </c>
      <c r="B153" s="1">
        <v>45602</v>
      </c>
      <c r="C153" t="s">
        <v>696</v>
      </c>
      <c r="D153" t="s">
        <v>25</v>
      </c>
      <c r="E153" t="s">
        <v>697</v>
      </c>
      <c r="F153" t="s">
        <v>40</v>
      </c>
      <c r="G153" t="s">
        <v>698</v>
      </c>
      <c r="H153">
        <v>2799</v>
      </c>
      <c r="I153">
        <v>1</v>
      </c>
      <c r="J153">
        <v>2799</v>
      </c>
      <c r="L153">
        <v>0</v>
      </c>
      <c r="M153" t="s">
        <v>29</v>
      </c>
      <c r="N153" t="s">
        <v>44</v>
      </c>
      <c r="O153" t="s">
        <v>112</v>
      </c>
      <c r="P153" t="s">
        <v>113</v>
      </c>
      <c r="Q153" t="s">
        <v>45</v>
      </c>
      <c r="R153" s="1">
        <v>45616</v>
      </c>
      <c r="S153" t="s">
        <v>33</v>
      </c>
      <c r="T153" t="s">
        <v>46</v>
      </c>
      <c r="U153" t="s">
        <v>68</v>
      </c>
      <c r="V153" s="1">
        <v>45644</v>
      </c>
      <c r="W153" t="s">
        <v>48</v>
      </c>
    </row>
    <row r="154" spans="1:23" x14ac:dyDescent="0.3">
      <c r="A154" t="s">
        <v>699</v>
      </c>
      <c r="B154" s="1">
        <v>45602</v>
      </c>
      <c r="C154" t="s">
        <v>700</v>
      </c>
      <c r="D154" t="s">
        <v>38</v>
      </c>
      <c r="E154" t="s">
        <v>701</v>
      </c>
      <c r="F154" t="s">
        <v>53</v>
      </c>
      <c r="G154" t="s">
        <v>702</v>
      </c>
      <c r="H154">
        <v>1699</v>
      </c>
      <c r="I154">
        <v>1</v>
      </c>
      <c r="J154">
        <v>1699</v>
      </c>
      <c r="K154" s="2">
        <v>46341</v>
      </c>
      <c r="L154">
        <v>15</v>
      </c>
      <c r="M154" t="s">
        <v>64</v>
      </c>
      <c r="N154" t="s">
        <v>65</v>
      </c>
      <c r="O154" t="s">
        <v>56</v>
      </c>
      <c r="P154" t="s">
        <v>57</v>
      </c>
      <c r="Q154" t="s">
        <v>56</v>
      </c>
      <c r="R154" s="1">
        <v>45614</v>
      </c>
      <c r="S154" t="s">
        <v>33</v>
      </c>
      <c r="T154" t="s">
        <v>34</v>
      </c>
      <c r="W154" t="s">
        <v>35</v>
      </c>
    </row>
    <row r="155" spans="1:23" x14ac:dyDescent="0.3">
      <c r="A155" t="s">
        <v>703</v>
      </c>
      <c r="B155" s="1">
        <v>45603</v>
      </c>
      <c r="C155" t="s">
        <v>704</v>
      </c>
      <c r="D155" t="s">
        <v>25</v>
      </c>
      <c r="E155" t="s">
        <v>705</v>
      </c>
      <c r="F155" t="s">
        <v>61</v>
      </c>
      <c r="G155" t="s">
        <v>706</v>
      </c>
      <c r="H155">
        <v>4599</v>
      </c>
      <c r="I155">
        <v>1</v>
      </c>
      <c r="J155">
        <v>4599</v>
      </c>
      <c r="L155">
        <v>0</v>
      </c>
      <c r="M155" t="s">
        <v>43</v>
      </c>
      <c r="N155" t="s">
        <v>30</v>
      </c>
      <c r="O155" t="s">
        <v>31</v>
      </c>
      <c r="P155" t="s">
        <v>32</v>
      </c>
      <c r="Q155" t="s">
        <v>31</v>
      </c>
      <c r="R155" s="1">
        <v>45617</v>
      </c>
      <c r="S155" t="s">
        <v>33</v>
      </c>
      <c r="T155" t="s">
        <v>46</v>
      </c>
      <c r="U155" t="s">
        <v>47</v>
      </c>
      <c r="V155" s="1">
        <v>45646</v>
      </c>
      <c r="W155" t="s">
        <v>48</v>
      </c>
    </row>
    <row r="156" spans="1:23" x14ac:dyDescent="0.3">
      <c r="A156" t="s">
        <v>707</v>
      </c>
      <c r="B156" s="1">
        <v>45603</v>
      </c>
      <c r="C156" t="s">
        <v>708</v>
      </c>
      <c r="D156" t="s">
        <v>25</v>
      </c>
      <c r="E156" t="s">
        <v>709</v>
      </c>
      <c r="F156" t="s">
        <v>71</v>
      </c>
      <c r="G156" t="s">
        <v>710</v>
      </c>
      <c r="H156">
        <v>899</v>
      </c>
      <c r="I156">
        <v>1</v>
      </c>
      <c r="J156">
        <v>899</v>
      </c>
      <c r="L156">
        <v>0</v>
      </c>
      <c r="M156" t="s">
        <v>55</v>
      </c>
      <c r="N156" t="s">
        <v>44</v>
      </c>
      <c r="O156" t="s">
        <v>45</v>
      </c>
      <c r="P156" t="s">
        <v>45</v>
      </c>
      <c r="Q156" t="s">
        <v>45</v>
      </c>
      <c r="R156" s="1">
        <v>45615</v>
      </c>
      <c r="S156" t="s">
        <v>33</v>
      </c>
      <c r="T156" t="s">
        <v>34</v>
      </c>
      <c r="W156" t="s">
        <v>35</v>
      </c>
    </row>
    <row r="157" spans="1:23" x14ac:dyDescent="0.3">
      <c r="A157" t="s">
        <v>711</v>
      </c>
      <c r="B157" s="1">
        <v>45603</v>
      </c>
      <c r="C157" t="s">
        <v>712</v>
      </c>
      <c r="D157" t="s">
        <v>25</v>
      </c>
      <c r="E157" t="s">
        <v>713</v>
      </c>
      <c r="F157" t="s">
        <v>27</v>
      </c>
      <c r="G157" t="s">
        <v>714</v>
      </c>
      <c r="H157">
        <v>1799</v>
      </c>
      <c r="I157">
        <v>1</v>
      </c>
      <c r="J157">
        <v>1799</v>
      </c>
      <c r="K157" s="2">
        <v>46341</v>
      </c>
      <c r="L157">
        <v>15</v>
      </c>
      <c r="M157" t="s">
        <v>29</v>
      </c>
      <c r="N157" t="s">
        <v>65</v>
      </c>
      <c r="O157" t="s">
        <v>118</v>
      </c>
      <c r="P157" t="s">
        <v>119</v>
      </c>
      <c r="Q157" t="s">
        <v>45</v>
      </c>
      <c r="R157" s="1">
        <v>45616</v>
      </c>
      <c r="S157" t="s">
        <v>33</v>
      </c>
      <c r="T157" t="s">
        <v>46</v>
      </c>
      <c r="U157" t="s">
        <v>104</v>
      </c>
      <c r="V157" s="1">
        <v>45645</v>
      </c>
      <c r="W157" t="s">
        <v>48</v>
      </c>
    </row>
    <row r="158" spans="1:23" x14ac:dyDescent="0.3">
      <c r="A158" t="s">
        <v>715</v>
      </c>
      <c r="B158" s="1">
        <v>45604</v>
      </c>
      <c r="C158" t="s">
        <v>716</v>
      </c>
      <c r="D158" t="s">
        <v>25</v>
      </c>
      <c r="E158" t="s">
        <v>717</v>
      </c>
      <c r="F158" t="s">
        <v>40</v>
      </c>
      <c r="G158" t="s">
        <v>718</v>
      </c>
      <c r="H158">
        <v>2599</v>
      </c>
      <c r="I158">
        <v>1</v>
      </c>
      <c r="J158">
        <v>2599</v>
      </c>
      <c r="L158">
        <v>0</v>
      </c>
      <c r="M158" t="s">
        <v>111</v>
      </c>
      <c r="N158" t="s">
        <v>30</v>
      </c>
      <c r="O158" t="s">
        <v>137</v>
      </c>
      <c r="P158" t="s">
        <v>113</v>
      </c>
      <c r="Q158" t="s">
        <v>45</v>
      </c>
      <c r="R158" s="1">
        <v>45618</v>
      </c>
      <c r="S158" t="s">
        <v>33</v>
      </c>
      <c r="T158" t="s">
        <v>34</v>
      </c>
      <c r="W158" t="s">
        <v>35</v>
      </c>
    </row>
    <row r="159" spans="1:23" x14ac:dyDescent="0.3">
      <c r="A159" t="s">
        <v>719</v>
      </c>
      <c r="B159" s="1">
        <v>45604</v>
      </c>
      <c r="C159" t="s">
        <v>720</v>
      </c>
      <c r="D159" t="s">
        <v>38</v>
      </c>
      <c r="E159" t="s">
        <v>721</v>
      </c>
      <c r="F159" t="s">
        <v>53</v>
      </c>
      <c r="G159" t="s">
        <v>722</v>
      </c>
      <c r="H159">
        <v>1599</v>
      </c>
      <c r="I159">
        <v>1</v>
      </c>
      <c r="J159">
        <v>1599</v>
      </c>
      <c r="L159">
        <v>0</v>
      </c>
      <c r="M159" t="s">
        <v>43</v>
      </c>
      <c r="N159" t="s">
        <v>44</v>
      </c>
      <c r="O159" t="s">
        <v>143</v>
      </c>
      <c r="P159" t="s">
        <v>144</v>
      </c>
      <c r="Q159" t="s">
        <v>45</v>
      </c>
      <c r="R159" s="1">
        <v>45616</v>
      </c>
      <c r="S159" t="s">
        <v>33</v>
      </c>
      <c r="T159" t="s">
        <v>46</v>
      </c>
      <c r="U159" t="s">
        <v>79</v>
      </c>
      <c r="V159" s="1">
        <v>45644</v>
      </c>
      <c r="W159" t="s">
        <v>48</v>
      </c>
    </row>
    <row r="160" spans="1:23" x14ac:dyDescent="0.3">
      <c r="A160" t="s">
        <v>723</v>
      </c>
      <c r="B160" s="1">
        <v>45604</v>
      </c>
      <c r="C160" t="s">
        <v>724</v>
      </c>
      <c r="D160" t="s">
        <v>25</v>
      </c>
      <c r="E160" t="s">
        <v>725</v>
      </c>
      <c r="F160" t="s">
        <v>61</v>
      </c>
      <c r="G160" t="s">
        <v>726</v>
      </c>
      <c r="H160">
        <v>5299</v>
      </c>
      <c r="I160">
        <v>1</v>
      </c>
      <c r="J160">
        <v>5299</v>
      </c>
      <c r="K160" s="2">
        <v>46341</v>
      </c>
      <c r="L160">
        <v>15</v>
      </c>
      <c r="M160" t="s">
        <v>64</v>
      </c>
      <c r="N160" t="s">
        <v>65</v>
      </c>
      <c r="O160" t="s">
        <v>150</v>
      </c>
      <c r="P160" t="s">
        <v>151</v>
      </c>
      <c r="Q160" t="s">
        <v>31</v>
      </c>
      <c r="R160" s="1">
        <v>45619</v>
      </c>
      <c r="S160" t="s">
        <v>33</v>
      </c>
      <c r="T160" t="s">
        <v>34</v>
      </c>
      <c r="W160" t="s">
        <v>35</v>
      </c>
    </row>
    <row r="161" spans="1:23" x14ac:dyDescent="0.3">
      <c r="A161" t="s">
        <v>727</v>
      </c>
      <c r="B161" s="1">
        <v>45605</v>
      </c>
      <c r="C161" t="s">
        <v>728</v>
      </c>
      <c r="D161" t="s">
        <v>25</v>
      </c>
      <c r="E161" t="s">
        <v>729</v>
      </c>
      <c r="F161" t="s">
        <v>71</v>
      </c>
      <c r="G161" t="s">
        <v>730</v>
      </c>
      <c r="H161">
        <v>499</v>
      </c>
      <c r="I161">
        <v>3</v>
      </c>
      <c r="J161">
        <v>1497</v>
      </c>
      <c r="L161">
        <v>0</v>
      </c>
      <c r="M161" t="s">
        <v>29</v>
      </c>
      <c r="N161" t="s">
        <v>30</v>
      </c>
      <c r="O161" t="s">
        <v>156</v>
      </c>
      <c r="P161" t="s">
        <v>97</v>
      </c>
      <c r="Q161" t="s">
        <v>31</v>
      </c>
      <c r="R161" s="1">
        <v>45617</v>
      </c>
      <c r="S161" t="s">
        <v>33</v>
      </c>
      <c r="T161" t="s">
        <v>46</v>
      </c>
      <c r="U161" t="s">
        <v>138</v>
      </c>
      <c r="V161" s="1">
        <v>45645</v>
      </c>
      <c r="W161" t="s">
        <v>48</v>
      </c>
    </row>
    <row r="162" spans="1:23" x14ac:dyDescent="0.3">
      <c r="A162" t="s">
        <v>731</v>
      </c>
      <c r="B162" s="1">
        <v>45605</v>
      </c>
      <c r="C162" t="s">
        <v>732</v>
      </c>
      <c r="D162" t="s">
        <v>25</v>
      </c>
      <c r="E162" t="s">
        <v>733</v>
      </c>
      <c r="F162" t="s">
        <v>27</v>
      </c>
      <c r="G162" t="s">
        <v>734</v>
      </c>
      <c r="H162">
        <v>2099</v>
      </c>
      <c r="I162">
        <v>1</v>
      </c>
      <c r="J162">
        <v>2099</v>
      </c>
      <c r="L162">
        <v>0</v>
      </c>
      <c r="M162" t="s">
        <v>55</v>
      </c>
      <c r="N162" t="s">
        <v>44</v>
      </c>
      <c r="O162" t="s">
        <v>161</v>
      </c>
      <c r="P162" t="s">
        <v>162</v>
      </c>
      <c r="Q162" t="s">
        <v>45</v>
      </c>
      <c r="S162" t="s">
        <v>120</v>
      </c>
      <c r="T162" t="s">
        <v>34</v>
      </c>
      <c r="W162" t="s">
        <v>35</v>
      </c>
    </row>
    <row r="163" spans="1:23" x14ac:dyDescent="0.3">
      <c r="A163" t="s">
        <v>735</v>
      </c>
      <c r="B163" s="1">
        <v>45605</v>
      </c>
      <c r="C163" t="s">
        <v>736</v>
      </c>
      <c r="D163" t="s">
        <v>25</v>
      </c>
      <c r="E163" t="s">
        <v>737</v>
      </c>
      <c r="F163" t="s">
        <v>40</v>
      </c>
      <c r="G163" t="s">
        <v>738</v>
      </c>
      <c r="H163">
        <v>2399</v>
      </c>
      <c r="I163">
        <v>1</v>
      </c>
      <c r="J163">
        <v>2399</v>
      </c>
      <c r="K163" s="2">
        <v>46341</v>
      </c>
      <c r="L163">
        <v>15</v>
      </c>
      <c r="M163" t="s">
        <v>43</v>
      </c>
      <c r="N163" t="s">
        <v>65</v>
      </c>
      <c r="O163" t="s">
        <v>167</v>
      </c>
      <c r="P163" t="s">
        <v>151</v>
      </c>
      <c r="Q163" t="s">
        <v>31</v>
      </c>
      <c r="R163" s="1">
        <v>45620</v>
      </c>
      <c r="S163" t="s">
        <v>33</v>
      </c>
      <c r="T163" t="s">
        <v>46</v>
      </c>
      <c r="U163" t="s">
        <v>47</v>
      </c>
      <c r="V163" s="1">
        <v>45648</v>
      </c>
      <c r="W163" t="s">
        <v>48</v>
      </c>
    </row>
    <row r="164" spans="1:23" x14ac:dyDescent="0.3">
      <c r="A164" t="s">
        <v>739</v>
      </c>
      <c r="B164" s="1">
        <v>45606</v>
      </c>
      <c r="C164" t="s">
        <v>740</v>
      </c>
      <c r="D164" t="s">
        <v>38</v>
      </c>
      <c r="E164" t="s">
        <v>741</v>
      </c>
      <c r="F164" t="s">
        <v>53</v>
      </c>
      <c r="G164" t="s">
        <v>742</v>
      </c>
      <c r="H164">
        <v>1799</v>
      </c>
      <c r="I164">
        <v>1</v>
      </c>
      <c r="J164">
        <v>1799</v>
      </c>
      <c r="L164">
        <v>0</v>
      </c>
      <c r="M164" t="s">
        <v>111</v>
      </c>
      <c r="N164" t="s">
        <v>30</v>
      </c>
      <c r="O164" t="s">
        <v>172</v>
      </c>
      <c r="P164" t="s">
        <v>32</v>
      </c>
      <c r="Q164" t="s">
        <v>31</v>
      </c>
      <c r="R164" s="1">
        <v>45618</v>
      </c>
      <c r="S164" t="s">
        <v>33</v>
      </c>
      <c r="T164" t="s">
        <v>34</v>
      </c>
      <c r="W164" t="s">
        <v>35</v>
      </c>
    </row>
    <row r="165" spans="1:23" x14ac:dyDescent="0.3">
      <c r="A165" t="s">
        <v>743</v>
      </c>
      <c r="B165" s="1">
        <v>45575</v>
      </c>
      <c r="C165" t="s">
        <v>744</v>
      </c>
      <c r="D165" t="s">
        <v>25</v>
      </c>
      <c r="E165" t="s">
        <v>745</v>
      </c>
      <c r="F165" t="s">
        <v>61</v>
      </c>
      <c r="G165" t="s">
        <v>746</v>
      </c>
      <c r="H165">
        <v>4199</v>
      </c>
      <c r="I165">
        <v>1</v>
      </c>
      <c r="J165">
        <v>4199</v>
      </c>
      <c r="L165">
        <v>0</v>
      </c>
      <c r="M165" t="s">
        <v>29</v>
      </c>
      <c r="N165" t="s">
        <v>44</v>
      </c>
      <c r="O165" t="s">
        <v>177</v>
      </c>
      <c r="P165" t="s">
        <v>67</v>
      </c>
      <c r="Q165" t="s">
        <v>56</v>
      </c>
      <c r="R165" s="1">
        <v>45621</v>
      </c>
      <c r="S165" t="s">
        <v>33</v>
      </c>
      <c r="T165" t="s">
        <v>46</v>
      </c>
      <c r="U165" t="s">
        <v>68</v>
      </c>
      <c r="V165" s="1">
        <v>45650</v>
      </c>
      <c r="W165" t="s">
        <v>48</v>
      </c>
    </row>
    <row r="166" spans="1:23" x14ac:dyDescent="0.3">
      <c r="A166" t="s">
        <v>747</v>
      </c>
      <c r="B166" s="1">
        <v>45606</v>
      </c>
      <c r="C166" t="s">
        <v>748</v>
      </c>
      <c r="D166" t="s">
        <v>25</v>
      </c>
      <c r="E166" t="s">
        <v>749</v>
      </c>
      <c r="F166" t="s">
        <v>71</v>
      </c>
      <c r="G166" t="s">
        <v>750</v>
      </c>
      <c r="H166">
        <v>699</v>
      </c>
      <c r="I166">
        <v>2</v>
      </c>
      <c r="J166">
        <v>1398</v>
      </c>
      <c r="L166">
        <v>0</v>
      </c>
      <c r="M166" t="s">
        <v>64</v>
      </c>
      <c r="N166" t="s">
        <v>65</v>
      </c>
      <c r="O166" t="s">
        <v>182</v>
      </c>
      <c r="P166" t="s">
        <v>183</v>
      </c>
      <c r="Q166" t="s">
        <v>56</v>
      </c>
      <c r="R166" s="1">
        <v>45619</v>
      </c>
      <c r="S166" t="s">
        <v>33</v>
      </c>
      <c r="T166" t="s">
        <v>34</v>
      </c>
      <c r="W166" t="s">
        <v>35</v>
      </c>
    </row>
    <row r="167" spans="1:23" x14ac:dyDescent="0.3">
      <c r="A167" t="s">
        <v>751</v>
      </c>
      <c r="B167" s="1">
        <v>45607</v>
      </c>
      <c r="C167" t="s">
        <v>752</v>
      </c>
      <c r="D167" t="s">
        <v>25</v>
      </c>
      <c r="E167" t="s">
        <v>499</v>
      </c>
      <c r="F167" t="s">
        <v>27</v>
      </c>
      <c r="G167" t="s">
        <v>753</v>
      </c>
      <c r="H167">
        <v>1599</v>
      </c>
      <c r="I167">
        <v>1</v>
      </c>
      <c r="J167">
        <v>1599</v>
      </c>
      <c r="K167" s="2">
        <v>46341</v>
      </c>
      <c r="L167">
        <v>15</v>
      </c>
      <c r="M167" t="s">
        <v>43</v>
      </c>
      <c r="N167" t="s">
        <v>30</v>
      </c>
      <c r="O167" t="s">
        <v>188</v>
      </c>
      <c r="P167" t="s">
        <v>189</v>
      </c>
      <c r="Q167" t="s">
        <v>56</v>
      </c>
      <c r="R167" s="1">
        <v>45620</v>
      </c>
      <c r="S167" t="s">
        <v>33</v>
      </c>
      <c r="T167" t="s">
        <v>46</v>
      </c>
      <c r="U167" t="s">
        <v>47</v>
      </c>
      <c r="V167" s="1">
        <v>45649</v>
      </c>
      <c r="W167" t="s">
        <v>48</v>
      </c>
    </row>
    <row r="168" spans="1:23" x14ac:dyDescent="0.3">
      <c r="A168" t="s">
        <v>754</v>
      </c>
      <c r="B168" s="1">
        <v>45607</v>
      </c>
      <c r="C168" t="s">
        <v>755</v>
      </c>
      <c r="D168" t="s">
        <v>25</v>
      </c>
      <c r="E168" t="s">
        <v>756</v>
      </c>
      <c r="F168" t="s">
        <v>40</v>
      </c>
      <c r="G168" t="s">
        <v>757</v>
      </c>
      <c r="H168">
        <v>2899</v>
      </c>
      <c r="I168">
        <v>1</v>
      </c>
      <c r="J168">
        <v>2899</v>
      </c>
      <c r="L168">
        <v>0</v>
      </c>
      <c r="M168" t="s">
        <v>55</v>
      </c>
      <c r="N168" t="s">
        <v>44</v>
      </c>
      <c r="O168" t="s">
        <v>194</v>
      </c>
      <c r="P168" t="s">
        <v>183</v>
      </c>
      <c r="Q168" t="s">
        <v>56</v>
      </c>
      <c r="R168" s="1">
        <v>45622</v>
      </c>
      <c r="S168" t="s">
        <v>33</v>
      </c>
      <c r="T168" t="s">
        <v>46</v>
      </c>
      <c r="U168" t="s">
        <v>104</v>
      </c>
      <c r="V168" s="1">
        <v>45651</v>
      </c>
      <c r="W168" t="s">
        <v>48</v>
      </c>
    </row>
    <row r="169" spans="1:23" x14ac:dyDescent="0.3">
      <c r="A169" t="s">
        <v>758</v>
      </c>
      <c r="B169" s="1">
        <v>45607</v>
      </c>
      <c r="C169" t="s">
        <v>759</v>
      </c>
      <c r="D169" t="s">
        <v>38</v>
      </c>
      <c r="E169" t="s">
        <v>760</v>
      </c>
      <c r="F169" t="s">
        <v>53</v>
      </c>
      <c r="G169" t="s">
        <v>761</v>
      </c>
      <c r="H169">
        <v>2199</v>
      </c>
      <c r="I169">
        <v>1</v>
      </c>
      <c r="J169">
        <v>2199</v>
      </c>
      <c r="L169">
        <v>0</v>
      </c>
      <c r="M169" t="s">
        <v>29</v>
      </c>
      <c r="N169" t="s">
        <v>65</v>
      </c>
      <c r="O169" t="s">
        <v>199</v>
      </c>
      <c r="P169" t="s">
        <v>57</v>
      </c>
      <c r="Q169" t="s">
        <v>56</v>
      </c>
      <c r="R169" s="1">
        <v>45620</v>
      </c>
      <c r="S169" t="s">
        <v>33</v>
      </c>
      <c r="T169" t="s">
        <v>34</v>
      </c>
      <c r="W169" t="s">
        <v>35</v>
      </c>
    </row>
    <row r="170" spans="1:23" x14ac:dyDescent="0.3">
      <c r="A170" t="s">
        <v>762</v>
      </c>
      <c r="B170" s="1">
        <v>45608</v>
      </c>
      <c r="C170" t="s">
        <v>763</v>
      </c>
      <c r="D170" t="s">
        <v>25</v>
      </c>
      <c r="E170" t="s">
        <v>764</v>
      </c>
      <c r="F170" t="s">
        <v>61</v>
      </c>
      <c r="G170" t="s">
        <v>765</v>
      </c>
      <c r="H170">
        <v>5599</v>
      </c>
      <c r="I170">
        <v>1</v>
      </c>
      <c r="J170">
        <v>5599</v>
      </c>
      <c r="L170">
        <v>0</v>
      </c>
      <c r="M170" t="s">
        <v>43</v>
      </c>
      <c r="N170" t="s">
        <v>30</v>
      </c>
      <c r="O170" t="s">
        <v>204</v>
      </c>
      <c r="P170" t="s">
        <v>97</v>
      </c>
      <c r="Q170" t="s">
        <v>31</v>
      </c>
      <c r="R170" s="1">
        <v>45623</v>
      </c>
      <c r="S170" t="s">
        <v>33</v>
      </c>
      <c r="T170" t="s">
        <v>46</v>
      </c>
      <c r="U170" t="s">
        <v>79</v>
      </c>
      <c r="V170" s="1">
        <v>45652</v>
      </c>
      <c r="W170" t="s">
        <v>48</v>
      </c>
    </row>
    <row r="171" spans="1:23" x14ac:dyDescent="0.3">
      <c r="A171" t="s">
        <v>766</v>
      </c>
      <c r="B171" s="1">
        <v>45608</v>
      </c>
      <c r="C171" t="s">
        <v>767</v>
      </c>
      <c r="D171" t="s">
        <v>25</v>
      </c>
      <c r="E171" t="s">
        <v>768</v>
      </c>
      <c r="F171" t="s">
        <v>71</v>
      </c>
      <c r="G171" t="s">
        <v>769</v>
      </c>
      <c r="H171">
        <v>399</v>
      </c>
      <c r="I171">
        <v>2</v>
      </c>
      <c r="J171">
        <v>798</v>
      </c>
      <c r="K171" s="2">
        <v>46341</v>
      </c>
      <c r="L171">
        <v>15</v>
      </c>
      <c r="M171" t="s">
        <v>111</v>
      </c>
      <c r="N171" t="s">
        <v>44</v>
      </c>
      <c r="O171" t="s">
        <v>209</v>
      </c>
      <c r="P171" t="s">
        <v>97</v>
      </c>
      <c r="Q171" t="s">
        <v>31</v>
      </c>
      <c r="R171" s="1">
        <v>45621</v>
      </c>
      <c r="S171" t="s">
        <v>33</v>
      </c>
      <c r="T171" t="s">
        <v>34</v>
      </c>
      <c r="W171" t="s">
        <v>35</v>
      </c>
    </row>
    <row r="172" spans="1:23" x14ac:dyDescent="0.3">
      <c r="A172" t="s">
        <v>770</v>
      </c>
      <c r="B172" s="1">
        <v>45608</v>
      </c>
      <c r="C172" t="s">
        <v>771</v>
      </c>
      <c r="D172" t="s">
        <v>25</v>
      </c>
      <c r="E172" t="s">
        <v>772</v>
      </c>
      <c r="F172" t="s">
        <v>27</v>
      </c>
      <c r="G172" t="s">
        <v>773</v>
      </c>
      <c r="H172">
        <v>1899</v>
      </c>
      <c r="I172">
        <v>1</v>
      </c>
      <c r="J172">
        <v>1899</v>
      </c>
      <c r="L172">
        <v>0</v>
      </c>
      <c r="M172" t="s">
        <v>64</v>
      </c>
      <c r="N172" t="s">
        <v>65</v>
      </c>
      <c r="O172" t="s">
        <v>214</v>
      </c>
      <c r="P172" t="s">
        <v>113</v>
      </c>
      <c r="Q172" t="s">
        <v>45</v>
      </c>
      <c r="R172" s="1">
        <v>45622</v>
      </c>
      <c r="S172" t="s">
        <v>33</v>
      </c>
      <c r="T172" t="s">
        <v>46</v>
      </c>
      <c r="U172" t="s">
        <v>68</v>
      </c>
      <c r="V172" s="1">
        <v>45650</v>
      </c>
      <c r="W172" t="s">
        <v>48</v>
      </c>
    </row>
    <row r="173" spans="1:23" x14ac:dyDescent="0.3">
      <c r="A173" t="s">
        <v>774</v>
      </c>
      <c r="B173" s="1">
        <v>45609</v>
      </c>
      <c r="C173" t="s">
        <v>775</v>
      </c>
      <c r="D173" t="s">
        <v>25</v>
      </c>
      <c r="E173" t="s">
        <v>776</v>
      </c>
      <c r="F173" t="s">
        <v>40</v>
      </c>
      <c r="G173" t="s">
        <v>777</v>
      </c>
      <c r="H173">
        <v>2699</v>
      </c>
      <c r="I173">
        <v>1</v>
      </c>
      <c r="J173">
        <v>2699</v>
      </c>
      <c r="L173">
        <v>0</v>
      </c>
      <c r="M173" t="s">
        <v>29</v>
      </c>
      <c r="N173" t="s">
        <v>30</v>
      </c>
      <c r="O173" t="s">
        <v>31</v>
      </c>
      <c r="P173" t="s">
        <v>32</v>
      </c>
      <c r="Q173" t="s">
        <v>31</v>
      </c>
      <c r="R173" s="1">
        <v>45624</v>
      </c>
      <c r="S173" t="s">
        <v>33</v>
      </c>
      <c r="T173" t="s">
        <v>34</v>
      </c>
      <c r="W173" t="s">
        <v>35</v>
      </c>
    </row>
    <row r="174" spans="1:23" x14ac:dyDescent="0.3">
      <c r="A174" t="s">
        <v>778</v>
      </c>
      <c r="B174" s="1">
        <v>45609</v>
      </c>
      <c r="C174" t="s">
        <v>779</v>
      </c>
      <c r="D174" t="s">
        <v>38</v>
      </c>
      <c r="E174" t="s">
        <v>780</v>
      </c>
      <c r="F174" t="s">
        <v>53</v>
      </c>
      <c r="G174" t="s">
        <v>781</v>
      </c>
      <c r="H174">
        <v>2499</v>
      </c>
      <c r="I174">
        <v>1</v>
      </c>
      <c r="J174">
        <v>2499</v>
      </c>
      <c r="K174" s="2">
        <v>46341</v>
      </c>
      <c r="L174">
        <v>15</v>
      </c>
      <c r="M174" t="s">
        <v>43</v>
      </c>
      <c r="N174" t="s">
        <v>44</v>
      </c>
      <c r="O174" t="s">
        <v>45</v>
      </c>
      <c r="P174" t="s">
        <v>45</v>
      </c>
      <c r="Q174" t="s">
        <v>45</v>
      </c>
      <c r="R174" s="1">
        <v>45622</v>
      </c>
      <c r="S174" t="s">
        <v>33</v>
      </c>
      <c r="T174" t="s">
        <v>46</v>
      </c>
      <c r="U174" t="s">
        <v>47</v>
      </c>
      <c r="V174" s="1">
        <v>45651</v>
      </c>
      <c r="W174" t="s">
        <v>48</v>
      </c>
    </row>
    <row r="175" spans="1:23" x14ac:dyDescent="0.3">
      <c r="A175" t="s">
        <v>782</v>
      </c>
      <c r="B175" s="1">
        <v>45609</v>
      </c>
      <c r="C175" t="s">
        <v>783</v>
      </c>
      <c r="D175" t="s">
        <v>25</v>
      </c>
      <c r="E175" t="s">
        <v>784</v>
      </c>
      <c r="F175" t="s">
        <v>61</v>
      </c>
      <c r="G175" t="s">
        <v>785</v>
      </c>
      <c r="H175">
        <v>6299</v>
      </c>
      <c r="I175">
        <v>1</v>
      </c>
      <c r="J175">
        <v>6299</v>
      </c>
      <c r="L175">
        <v>0</v>
      </c>
      <c r="M175" t="s">
        <v>55</v>
      </c>
      <c r="N175" t="s">
        <v>65</v>
      </c>
      <c r="O175" t="s">
        <v>90</v>
      </c>
      <c r="P175" t="s">
        <v>91</v>
      </c>
      <c r="Q175" t="s">
        <v>45</v>
      </c>
      <c r="S175" t="s">
        <v>120</v>
      </c>
      <c r="T175" t="s">
        <v>34</v>
      </c>
      <c r="W175" t="s">
        <v>35</v>
      </c>
    </row>
    <row r="176" spans="1:23" x14ac:dyDescent="0.3">
      <c r="A176" t="s">
        <v>786</v>
      </c>
      <c r="B176" s="1">
        <v>45610</v>
      </c>
      <c r="C176" t="s">
        <v>787</v>
      </c>
      <c r="D176" t="s">
        <v>25</v>
      </c>
      <c r="E176" t="s">
        <v>788</v>
      </c>
      <c r="F176" t="s">
        <v>71</v>
      </c>
      <c r="G176" t="s">
        <v>789</v>
      </c>
      <c r="H176">
        <v>1599</v>
      </c>
      <c r="I176">
        <v>1</v>
      </c>
      <c r="J176">
        <v>1599</v>
      </c>
      <c r="L176">
        <v>0</v>
      </c>
      <c r="M176" t="s">
        <v>111</v>
      </c>
      <c r="N176" t="s">
        <v>30</v>
      </c>
      <c r="O176" t="s">
        <v>66</v>
      </c>
      <c r="P176" t="s">
        <v>67</v>
      </c>
      <c r="Q176" t="s">
        <v>56</v>
      </c>
      <c r="R176" s="1">
        <v>45623</v>
      </c>
      <c r="S176" t="s">
        <v>33</v>
      </c>
      <c r="T176" t="s">
        <v>46</v>
      </c>
      <c r="U176" t="s">
        <v>138</v>
      </c>
      <c r="V176" s="1">
        <v>45652</v>
      </c>
      <c r="W176" t="s">
        <v>48</v>
      </c>
    </row>
    <row r="177" spans="1:23" x14ac:dyDescent="0.3">
      <c r="A177" t="s">
        <v>790</v>
      </c>
      <c r="B177" s="1">
        <v>45610</v>
      </c>
      <c r="C177" t="s">
        <v>791</v>
      </c>
      <c r="D177" t="s">
        <v>25</v>
      </c>
      <c r="E177" t="s">
        <v>792</v>
      </c>
      <c r="F177" t="s">
        <v>27</v>
      </c>
      <c r="G177" t="s">
        <v>793</v>
      </c>
      <c r="H177">
        <v>1699</v>
      </c>
      <c r="I177">
        <v>1</v>
      </c>
      <c r="J177">
        <v>1699</v>
      </c>
      <c r="L177">
        <v>0</v>
      </c>
      <c r="M177" t="s">
        <v>29</v>
      </c>
      <c r="N177" t="s">
        <v>44</v>
      </c>
      <c r="O177" t="s">
        <v>77</v>
      </c>
      <c r="P177" t="s">
        <v>78</v>
      </c>
      <c r="Q177" t="s">
        <v>56</v>
      </c>
      <c r="R177" s="1">
        <v>45624</v>
      </c>
      <c r="S177" t="s">
        <v>33</v>
      </c>
      <c r="T177" t="s">
        <v>34</v>
      </c>
      <c r="W177" t="s">
        <v>35</v>
      </c>
    </row>
    <row r="178" spans="1:23" x14ac:dyDescent="0.3">
      <c r="A178" t="s">
        <v>794</v>
      </c>
      <c r="B178" s="1">
        <v>45610</v>
      </c>
      <c r="C178" t="s">
        <v>795</v>
      </c>
      <c r="D178" t="s">
        <v>25</v>
      </c>
      <c r="E178" t="s">
        <v>796</v>
      </c>
      <c r="F178" t="s">
        <v>40</v>
      </c>
      <c r="G178" t="s">
        <v>797</v>
      </c>
      <c r="H178">
        <v>3199</v>
      </c>
      <c r="I178">
        <v>1</v>
      </c>
      <c r="J178">
        <v>3199</v>
      </c>
      <c r="K178" s="2">
        <v>46341</v>
      </c>
      <c r="L178">
        <v>15</v>
      </c>
      <c r="M178" t="s">
        <v>64</v>
      </c>
      <c r="N178" t="s">
        <v>65</v>
      </c>
      <c r="O178" t="s">
        <v>84</v>
      </c>
      <c r="P178" t="s">
        <v>32</v>
      </c>
      <c r="Q178" t="s">
        <v>31</v>
      </c>
      <c r="R178" s="1">
        <v>45625</v>
      </c>
      <c r="S178" t="s">
        <v>33</v>
      </c>
      <c r="T178" t="s">
        <v>46</v>
      </c>
      <c r="U178" t="s">
        <v>47</v>
      </c>
      <c r="V178" s="1">
        <v>45654</v>
      </c>
      <c r="W178" t="s">
        <v>48</v>
      </c>
    </row>
    <row r="179" spans="1:23" x14ac:dyDescent="0.3">
      <c r="A179" t="s">
        <v>798</v>
      </c>
      <c r="B179" s="1">
        <v>45611</v>
      </c>
      <c r="C179" t="s">
        <v>799</v>
      </c>
      <c r="D179" t="s">
        <v>38</v>
      </c>
      <c r="E179" t="s">
        <v>800</v>
      </c>
      <c r="F179" t="s">
        <v>53</v>
      </c>
      <c r="G179" t="s">
        <v>801</v>
      </c>
      <c r="H179">
        <v>2099</v>
      </c>
      <c r="I179">
        <v>1</v>
      </c>
      <c r="J179">
        <v>2099</v>
      </c>
      <c r="L179">
        <v>0</v>
      </c>
      <c r="M179" t="s">
        <v>43</v>
      </c>
      <c r="N179" t="s">
        <v>30</v>
      </c>
      <c r="O179" t="s">
        <v>96</v>
      </c>
      <c r="P179" t="s">
        <v>97</v>
      </c>
      <c r="Q179" t="s">
        <v>31</v>
      </c>
      <c r="R179" s="1">
        <v>45624</v>
      </c>
      <c r="S179" t="s">
        <v>33</v>
      </c>
      <c r="T179" t="s">
        <v>34</v>
      </c>
      <c r="W179" t="s">
        <v>35</v>
      </c>
    </row>
    <row r="180" spans="1:23" x14ac:dyDescent="0.3">
      <c r="A180" t="s">
        <v>802</v>
      </c>
      <c r="B180" s="1">
        <v>45611</v>
      </c>
      <c r="C180" t="s">
        <v>803</v>
      </c>
      <c r="D180" t="s">
        <v>25</v>
      </c>
      <c r="E180" t="s">
        <v>804</v>
      </c>
      <c r="F180" t="s">
        <v>61</v>
      </c>
      <c r="G180" t="s">
        <v>805</v>
      </c>
      <c r="H180">
        <v>6999</v>
      </c>
      <c r="I180">
        <v>1</v>
      </c>
      <c r="J180">
        <v>6999</v>
      </c>
      <c r="L180">
        <v>0</v>
      </c>
      <c r="M180" t="s">
        <v>29</v>
      </c>
      <c r="N180" t="s">
        <v>44</v>
      </c>
      <c r="O180" t="s">
        <v>102</v>
      </c>
      <c r="P180" t="s">
        <v>103</v>
      </c>
      <c r="Q180" t="s">
        <v>45</v>
      </c>
      <c r="R180" s="1">
        <v>45626</v>
      </c>
      <c r="S180" t="s">
        <v>33</v>
      </c>
      <c r="T180" t="s">
        <v>46</v>
      </c>
      <c r="U180" t="s">
        <v>104</v>
      </c>
      <c r="V180" s="1">
        <v>45655</v>
      </c>
      <c r="W180" t="s">
        <v>48</v>
      </c>
    </row>
    <row r="181" spans="1:23" x14ac:dyDescent="0.3">
      <c r="A181" t="s">
        <v>806</v>
      </c>
      <c r="B181" s="1">
        <v>45611</v>
      </c>
      <c r="C181" t="s">
        <v>807</v>
      </c>
      <c r="D181" t="s">
        <v>25</v>
      </c>
      <c r="E181" t="s">
        <v>808</v>
      </c>
      <c r="F181" t="s">
        <v>71</v>
      </c>
      <c r="G181" t="s">
        <v>809</v>
      </c>
      <c r="H181">
        <v>899</v>
      </c>
      <c r="I181">
        <v>1</v>
      </c>
      <c r="J181">
        <v>899</v>
      </c>
      <c r="L181">
        <v>0</v>
      </c>
      <c r="M181" t="s">
        <v>55</v>
      </c>
      <c r="N181" t="s">
        <v>65</v>
      </c>
      <c r="O181" t="s">
        <v>112</v>
      </c>
      <c r="P181" t="s">
        <v>113</v>
      </c>
      <c r="Q181" t="s">
        <v>45</v>
      </c>
      <c r="R181" s="1">
        <v>45624</v>
      </c>
      <c r="S181" t="s">
        <v>33</v>
      </c>
      <c r="T181" t="s">
        <v>46</v>
      </c>
      <c r="U181" t="s">
        <v>79</v>
      </c>
      <c r="V181" s="1">
        <v>45653</v>
      </c>
      <c r="W181" t="s">
        <v>48</v>
      </c>
    </row>
    <row r="182" spans="1:23" x14ac:dyDescent="0.3">
      <c r="A182" t="s">
        <v>810</v>
      </c>
      <c r="B182" s="1">
        <v>45612</v>
      </c>
      <c r="C182" t="s">
        <v>811</v>
      </c>
      <c r="D182" t="s">
        <v>25</v>
      </c>
      <c r="E182" t="s">
        <v>812</v>
      </c>
      <c r="F182" t="s">
        <v>27</v>
      </c>
      <c r="G182" t="s">
        <v>813</v>
      </c>
      <c r="H182">
        <v>1499</v>
      </c>
      <c r="I182">
        <v>1</v>
      </c>
      <c r="J182">
        <v>1499</v>
      </c>
      <c r="K182" s="2">
        <v>46341</v>
      </c>
      <c r="L182">
        <v>15</v>
      </c>
      <c r="M182" t="s">
        <v>111</v>
      </c>
      <c r="N182" t="s">
        <v>30</v>
      </c>
      <c r="O182" t="s">
        <v>56</v>
      </c>
      <c r="P182" t="s">
        <v>57</v>
      </c>
      <c r="Q182" t="s">
        <v>56</v>
      </c>
      <c r="R182" s="1">
        <v>45625</v>
      </c>
      <c r="S182" t="s">
        <v>33</v>
      </c>
      <c r="T182" t="s">
        <v>34</v>
      </c>
      <c r="W182" t="s">
        <v>35</v>
      </c>
    </row>
    <row r="183" spans="1:23" x14ac:dyDescent="0.3">
      <c r="A183" t="s">
        <v>814</v>
      </c>
      <c r="B183" s="1">
        <v>45612</v>
      </c>
      <c r="C183" t="s">
        <v>815</v>
      </c>
      <c r="D183" t="s">
        <v>25</v>
      </c>
      <c r="E183" t="s">
        <v>816</v>
      </c>
      <c r="F183" t="s">
        <v>40</v>
      </c>
      <c r="G183" t="s">
        <v>817</v>
      </c>
      <c r="H183">
        <v>2999</v>
      </c>
      <c r="I183">
        <v>1</v>
      </c>
      <c r="J183">
        <v>2999</v>
      </c>
      <c r="L183">
        <v>0</v>
      </c>
      <c r="M183" t="s">
        <v>64</v>
      </c>
      <c r="N183" t="s">
        <v>44</v>
      </c>
      <c r="O183" t="s">
        <v>31</v>
      </c>
      <c r="P183" t="s">
        <v>32</v>
      </c>
      <c r="Q183" t="s">
        <v>31</v>
      </c>
      <c r="R183" s="1">
        <v>45627</v>
      </c>
      <c r="S183" t="s">
        <v>33</v>
      </c>
      <c r="T183" t="s">
        <v>46</v>
      </c>
      <c r="U183" t="s">
        <v>68</v>
      </c>
      <c r="V183" s="1">
        <v>45656</v>
      </c>
      <c r="W183" t="s">
        <v>48</v>
      </c>
    </row>
    <row r="184" spans="1:23" x14ac:dyDescent="0.3">
      <c r="A184" t="s">
        <v>818</v>
      </c>
      <c r="B184" s="1">
        <v>45612</v>
      </c>
      <c r="C184" t="s">
        <v>819</v>
      </c>
      <c r="D184" t="s">
        <v>38</v>
      </c>
      <c r="E184" t="s">
        <v>820</v>
      </c>
      <c r="F184" t="s">
        <v>53</v>
      </c>
      <c r="G184" t="s">
        <v>821</v>
      </c>
      <c r="H184">
        <v>1899</v>
      </c>
      <c r="I184">
        <v>1</v>
      </c>
      <c r="J184">
        <v>1899</v>
      </c>
      <c r="L184">
        <v>0</v>
      </c>
      <c r="M184" t="s">
        <v>43</v>
      </c>
      <c r="N184" t="s">
        <v>65</v>
      </c>
      <c r="O184" t="s">
        <v>45</v>
      </c>
      <c r="P184" t="s">
        <v>45</v>
      </c>
      <c r="Q184" t="s">
        <v>45</v>
      </c>
      <c r="R184" s="1">
        <v>45625</v>
      </c>
      <c r="S184" t="s">
        <v>33</v>
      </c>
      <c r="T184" t="s">
        <v>34</v>
      </c>
      <c r="W184" t="s">
        <v>35</v>
      </c>
    </row>
    <row r="185" spans="1:23" x14ac:dyDescent="0.3">
      <c r="A185" t="s">
        <v>822</v>
      </c>
      <c r="B185" s="1">
        <v>45613</v>
      </c>
      <c r="C185" t="s">
        <v>823</v>
      </c>
      <c r="D185" t="s">
        <v>25</v>
      </c>
      <c r="E185" t="s">
        <v>824</v>
      </c>
      <c r="F185" t="s">
        <v>61</v>
      </c>
      <c r="G185" t="s">
        <v>825</v>
      </c>
      <c r="H185">
        <v>7499</v>
      </c>
      <c r="I185">
        <v>1</v>
      </c>
      <c r="J185">
        <v>7499</v>
      </c>
      <c r="L185">
        <v>0</v>
      </c>
      <c r="M185" t="s">
        <v>29</v>
      </c>
      <c r="N185" t="s">
        <v>30</v>
      </c>
      <c r="O185" t="s">
        <v>118</v>
      </c>
      <c r="P185" t="s">
        <v>119</v>
      </c>
      <c r="Q185" t="s">
        <v>45</v>
      </c>
      <c r="R185" s="1">
        <v>45628</v>
      </c>
      <c r="S185" t="s">
        <v>33</v>
      </c>
      <c r="T185" t="s">
        <v>46</v>
      </c>
      <c r="U185" t="s">
        <v>47</v>
      </c>
      <c r="V185" s="1">
        <v>45657</v>
      </c>
      <c r="W185" t="s">
        <v>48</v>
      </c>
    </row>
    <row r="186" spans="1:23" x14ac:dyDescent="0.3">
      <c r="A186" t="s">
        <v>826</v>
      </c>
      <c r="B186" s="1">
        <v>45613</v>
      </c>
      <c r="C186" t="s">
        <v>827</v>
      </c>
      <c r="D186" t="s">
        <v>25</v>
      </c>
      <c r="E186" t="s">
        <v>828</v>
      </c>
      <c r="F186" t="s">
        <v>71</v>
      </c>
      <c r="G186" t="s">
        <v>829</v>
      </c>
      <c r="H186">
        <v>1299</v>
      </c>
      <c r="I186">
        <v>1</v>
      </c>
      <c r="J186">
        <v>1299</v>
      </c>
      <c r="K186" s="2">
        <v>46341</v>
      </c>
      <c r="L186">
        <v>15</v>
      </c>
      <c r="M186" t="s">
        <v>55</v>
      </c>
      <c r="N186" t="s">
        <v>44</v>
      </c>
      <c r="O186" t="s">
        <v>137</v>
      </c>
      <c r="P186" t="s">
        <v>113</v>
      </c>
      <c r="Q186" t="s">
        <v>45</v>
      </c>
      <c r="R186" s="1">
        <v>45626</v>
      </c>
      <c r="S186" t="s">
        <v>33</v>
      </c>
      <c r="T186" t="s">
        <v>34</v>
      </c>
      <c r="W186" t="s">
        <v>35</v>
      </c>
    </row>
    <row r="187" spans="1:23" x14ac:dyDescent="0.3">
      <c r="A187" t="s">
        <v>830</v>
      </c>
      <c r="B187" s="1">
        <v>45613</v>
      </c>
      <c r="C187" t="s">
        <v>831</v>
      </c>
      <c r="D187" t="s">
        <v>25</v>
      </c>
      <c r="E187" t="s">
        <v>832</v>
      </c>
      <c r="F187" t="s">
        <v>27</v>
      </c>
      <c r="G187" t="s">
        <v>833</v>
      </c>
      <c r="H187">
        <v>1599</v>
      </c>
      <c r="I187">
        <v>1</v>
      </c>
      <c r="J187">
        <v>1599</v>
      </c>
      <c r="L187">
        <v>0</v>
      </c>
      <c r="M187" t="s">
        <v>43</v>
      </c>
      <c r="N187" t="s">
        <v>65</v>
      </c>
      <c r="O187" t="s">
        <v>143</v>
      </c>
      <c r="P187" t="s">
        <v>144</v>
      </c>
      <c r="Q187" t="s">
        <v>45</v>
      </c>
      <c r="R187" s="1">
        <v>45627</v>
      </c>
      <c r="S187" t="s">
        <v>33</v>
      </c>
      <c r="T187" t="s">
        <v>46</v>
      </c>
      <c r="U187" t="s">
        <v>138</v>
      </c>
      <c r="V187" s="1">
        <v>45655</v>
      </c>
      <c r="W187" t="s">
        <v>48</v>
      </c>
    </row>
    <row r="188" spans="1:23" x14ac:dyDescent="0.3">
      <c r="A188" t="s">
        <v>834</v>
      </c>
      <c r="B188" s="1">
        <v>45614</v>
      </c>
      <c r="C188" t="s">
        <v>835</v>
      </c>
      <c r="D188" t="s">
        <v>25</v>
      </c>
      <c r="E188" t="s">
        <v>836</v>
      </c>
      <c r="F188" t="s">
        <v>40</v>
      </c>
      <c r="G188" t="s">
        <v>837</v>
      </c>
      <c r="H188">
        <v>3799</v>
      </c>
      <c r="I188">
        <v>1</v>
      </c>
      <c r="J188">
        <v>3799</v>
      </c>
      <c r="L188">
        <v>0</v>
      </c>
      <c r="M188" t="s">
        <v>111</v>
      </c>
      <c r="N188" t="s">
        <v>30</v>
      </c>
      <c r="O188" t="s">
        <v>150</v>
      </c>
      <c r="P188" t="s">
        <v>151</v>
      </c>
      <c r="Q188" t="s">
        <v>31</v>
      </c>
      <c r="R188" s="1">
        <v>45629</v>
      </c>
      <c r="S188" t="s">
        <v>33</v>
      </c>
      <c r="T188" t="s">
        <v>34</v>
      </c>
      <c r="W188" t="s">
        <v>35</v>
      </c>
    </row>
    <row r="189" spans="1:23" x14ac:dyDescent="0.3">
      <c r="A189" t="s">
        <v>838</v>
      </c>
      <c r="B189" s="1">
        <v>45614</v>
      </c>
      <c r="C189" t="s">
        <v>839</v>
      </c>
      <c r="D189" t="s">
        <v>38</v>
      </c>
      <c r="E189" t="s">
        <v>840</v>
      </c>
      <c r="F189" t="s">
        <v>53</v>
      </c>
      <c r="G189" t="s">
        <v>841</v>
      </c>
      <c r="H189">
        <v>2299</v>
      </c>
      <c r="I189">
        <v>1</v>
      </c>
      <c r="J189">
        <v>2299</v>
      </c>
      <c r="L189">
        <v>0</v>
      </c>
      <c r="M189" t="s">
        <v>29</v>
      </c>
      <c r="N189" t="s">
        <v>44</v>
      </c>
      <c r="O189" t="s">
        <v>156</v>
      </c>
      <c r="P189" t="s">
        <v>97</v>
      </c>
      <c r="Q189" t="s">
        <v>31</v>
      </c>
      <c r="R189" s="1">
        <v>45627</v>
      </c>
      <c r="S189" t="s">
        <v>33</v>
      </c>
      <c r="T189" t="s">
        <v>46</v>
      </c>
      <c r="U189" t="s">
        <v>47</v>
      </c>
      <c r="V189" s="1">
        <v>45656</v>
      </c>
      <c r="W189" t="s">
        <v>48</v>
      </c>
    </row>
    <row r="190" spans="1:23" x14ac:dyDescent="0.3">
      <c r="A190" t="s">
        <v>842</v>
      </c>
      <c r="B190" s="1">
        <v>45614</v>
      </c>
      <c r="C190" t="s">
        <v>843</v>
      </c>
      <c r="D190" t="s">
        <v>25</v>
      </c>
      <c r="E190" t="s">
        <v>844</v>
      </c>
      <c r="F190" t="s">
        <v>61</v>
      </c>
      <c r="G190" t="s">
        <v>845</v>
      </c>
      <c r="H190">
        <v>5999</v>
      </c>
      <c r="I190">
        <v>1</v>
      </c>
      <c r="J190">
        <v>5999</v>
      </c>
      <c r="K190" s="2">
        <v>46341</v>
      </c>
      <c r="L190">
        <v>15</v>
      </c>
      <c r="M190" t="s">
        <v>64</v>
      </c>
      <c r="N190" t="s">
        <v>65</v>
      </c>
      <c r="O190" t="s">
        <v>161</v>
      </c>
      <c r="P190" t="s">
        <v>162</v>
      </c>
      <c r="Q190" t="s">
        <v>45</v>
      </c>
      <c r="R190" s="1">
        <v>45630</v>
      </c>
      <c r="S190" t="s">
        <v>33</v>
      </c>
      <c r="T190" t="s">
        <v>46</v>
      </c>
      <c r="U190" t="s">
        <v>104</v>
      </c>
      <c r="V190" s="1">
        <v>45659</v>
      </c>
      <c r="W190" t="s">
        <v>48</v>
      </c>
    </row>
    <row r="191" spans="1:23" x14ac:dyDescent="0.3">
      <c r="A191" t="s">
        <v>846</v>
      </c>
      <c r="B191" s="1">
        <v>45615</v>
      </c>
      <c r="C191" t="s">
        <v>847</v>
      </c>
      <c r="D191" t="s">
        <v>25</v>
      </c>
      <c r="E191" t="s">
        <v>848</v>
      </c>
      <c r="F191" t="s">
        <v>71</v>
      </c>
      <c r="G191" t="s">
        <v>849</v>
      </c>
      <c r="H191">
        <v>499</v>
      </c>
      <c r="I191">
        <v>2</v>
      </c>
      <c r="J191">
        <v>998</v>
      </c>
      <c r="L191">
        <v>0</v>
      </c>
      <c r="M191" t="s">
        <v>43</v>
      </c>
      <c r="N191" t="s">
        <v>30</v>
      </c>
      <c r="O191" t="s">
        <v>167</v>
      </c>
      <c r="P191" t="s">
        <v>151</v>
      </c>
      <c r="Q191" t="s">
        <v>31</v>
      </c>
      <c r="R191" s="1">
        <v>45628</v>
      </c>
      <c r="S191" t="s">
        <v>33</v>
      </c>
      <c r="T191" t="s">
        <v>34</v>
      </c>
      <c r="W191" t="s">
        <v>35</v>
      </c>
    </row>
    <row r="192" spans="1:23" x14ac:dyDescent="0.3">
      <c r="A192" t="s">
        <v>850</v>
      </c>
      <c r="B192" s="1">
        <v>45615</v>
      </c>
      <c r="C192" t="s">
        <v>851</v>
      </c>
      <c r="D192" t="s">
        <v>25</v>
      </c>
      <c r="E192" t="s">
        <v>852</v>
      </c>
      <c r="F192" t="s">
        <v>27</v>
      </c>
      <c r="G192" t="s">
        <v>853</v>
      </c>
      <c r="H192">
        <v>1799</v>
      </c>
      <c r="I192">
        <v>1</v>
      </c>
      <c r="J192">
        <v>1799</v>
      </c>
      <c r="L192">
        <v>0</v>
      </c>
      <c r="M192" t="s">
        <v>55</v>
      </c>
      <c r="N192" t="s">
        <v>44</v>
      </c>
      <c r="O192" t="s">
        <v>172</v>
      </c>
      <c r="P192" t="s">
        <v>32</v>
      </c>
      <c r="Q192" t="s">
        <v>31</v>
      </c>
      <c r="S192" t="s">
        <v>120</v>
      </c>
      <c r="T192" t="s">
        <v>34</v>
      </c>
      <c r="W192" t="s">
        <v>35</v>
      </c>
    </row>
    <row r="193" spans="1:23" x14ac:dyDescent="0.3">
      <c r="A193" t="s">
        <v>854</v>
      </c>
      <c r="B193" s="1">
        <v>45615</v>
      </c>
      <c r="C193" t="s">
        <v>855</v>
      </c>
      <c r="D193" t="s">
        <v>25</v>
      </c>
      <c r="E193" t="s">
        <v>856</v>
      </c>
      <c r="F193" t="s">
        <v>40</v>
      </c>
      <c r="G193" t="s">
        <v>857</v>
      </c>
      <c r="H193">
        <v>2999</v>
      </c>
      <c r="I193">
        <v>1</v>
      </c>
      <c r="J193">
        <v>2999</v>
      </c>
      <c r="L193">
        <v>0</v>
      </c>
      <c r="M193" t="s">
        <v>29</v>
      </c>
      <c r="N193" t="s">
        <v>65</v>
      </c>
      <c r="O193" t="s">
        <v>177</v>
      </c>
      <c r="P193" t="s">
        <v>67</v>
      </c>
      <c r="Q193" t="s">
        <v>56</v>
      </c>
      <c r="R193" s="1">
        <v>45631</v>
      </c>
      <c r="S193" t="s">
        <v>33</v>
      </c>
      <c r="T193" t="s">
        <v>46</v>
      </c>
      <c r="U193" t="s">
        <v>79</v>
      </c>
      <c r="V193" s="1">
        <v>45660</v>
      </c>
      <c r="W193" t="s">
        <v>48</v>
      </c>
    </row>
    <row r="194" spans="1:23" x14ac:dyDescent="0.3">
      <c r="A194" t="s">
        <v>858</v>
      </c>
      <c r="B194" s="1">
        <v>45616</v>
      </c>
      <c r="C194" t="s">
        <v>859</v>
      </c>
      <c r="D194" t="s">
        <v>38</v>
      </c>
      <c r="E194" t="s">
        <v>860</v>
      </c>
      <c r="F194" t="s">
        <v>53</v>
      </c>
      <c r="G194" t="s">
        <v>861</v>
      </c>
      <c r="H194">
        <v>2199</v>
      </c>
      <c r="I194">
        <v>1</v>
      </c>
      <c r="J194">
        <v>2199</v>
      </c>
      <c r="K194" s="2">
        <v>46341</v>
      </c>
      <c r="L194">
        <v>15</v>
      </c>
      <c r="M194" t="s">
        <v>111</v>
      </c>
      <c r="N194" t="s">
        <v>30</v>
      </c>
      <c r="O194" t="s">
        <v>182</v>
      </c>
      <c r="P194" t="s">
        <v>183</v>
      </c>
      <c r="Q194" t="s">
        <v>56</v>
      </c>
      <c r="R194" s="1">
        <v>45629</v>
      </c>
      <c r="S194" t="s">
        <v>33</v>
      </c>
      <c r="T194" t="s">
        <v>34</v>
      </c>
      <c r="W194" t="s">
        <v>35</v>
      </c>
    </row>
    <row r="195" spans="1:23" x14ac:dyDescent="0.3">
      <c r="A195" t="s">
        <v>862</v>
      </c>
      <c r="B195" s="1">
        <v>45616</v>
      </c>
      <c r="C195" t="s">
        <v>863</v>
      </c>
      <c r="D195" t="s">
        <v>25</v>
      </c>
      <c r="E195" t="s">
        <v>864</v>
      </c>
      <c r="F195" t="s">
        <v>61</v>
      </c>
      <c r="G195" t="s">
        <v>865</v>
      </c>
      <c r="H195">
        <v>4899</v>
      </c>
      <c r="I195">
        <v>1</v>
      </c>
      <c r="J195">
        <v>4899</v>
      </c>
      <c r="L195">
        <v>0</v>
      </c>
      <c r="M195" t="s">
        <v>64</v>
      </c>
      <c r="N195" t="s">
        <v>44</v>
      </c>
      <c r="O195" t="s">
        <v>188</v>
      </c>
      <c r="P195" t="s">
        <v>189</v>
      </c>
      <c r="Q195" t="s">
        <v>56</v>
      </c>
      <c r="R195" s="1">
        <v>45632</v>
      </c>
      <c r="S195" t="s">
        <v>33</v>
      </c>
      <c r="T195" t="s">
        <v>46</v>
      </c>
      <c r="U195" t="s">
        <v>68</v>
      </c>
      <c r="V195" s="1">
        <v>45661</v>
      </c>
      <c r="W195" t="s">
        <v>48</v>
      </c>
    </row>
    <row r="196" spans="1:23" x14ac:dyDescent="0.3">
      <c r="A196" t="s">
        <v>866</v>
      </c>
      <c r="B196" s="1">
        <v>45616</v>
      </c>
      <c r="C196" t="s">
        <v>867</v>
      </c>
      <c r="D196" t="s">
        <v>25</v>
      </c>
      <c r="E196" t="s">
        <v>868</v>
      </c>
      <c r="F196" t="s">
        <v>71</v>
      </c>
      <c r="G196" t="s">
        <v>869</v>
      </c>
      <c r="H196">
        <v>799</v>
      </c>
      <c r="I196">
        <v>1</v>
      </c>
      <c r="J196">
        <v>799</v>
      </c>
      <c r="L196">
        <v>0</v>
      </c>
      <c r="M196" t="s">
        <v>43</v>
      </c>
      <c r="N196" t="s">
        <v>65</v>
      </c>
      <c r="O196" t="s">
        <v>194</v>
      </c>
      <c r="P196" t="s">
        <v>183</v>
      </c>
      <c r="Q196" t="s">
        <v>56</v>
      </c>
      <c r="R196" s="1">
        <v>45630</v>
      </c>
      <c r="S196" t="s">
        <v>33</v>
      </c>
      <c r="T196" t="s">
        <v>34</v>
      </c>
      <c r="W196" t="s">
        <v>35</v>
      </c>
    </row>
    <row r="197" spans="1:23" x14ac:dyDescent="0.3">
      <c r="A197" t="s">
        <v>870</v>
      </c>
      <c r="B197" s="1">
        <v>45617</v>
      </c>
      <c r="C197" t="s">
        <v>871</v>
      </c>
      <c r="D197" t="s">
        <v>25</v>
      </c>
      <c r="E197" t="s">
        <v>872</v>
      </c>
      <c r="F197" t="s">
        <v>27</v>
      </c>
      <c r="G197" t="s">
        <v>873</v>
      </c>
      <c r="H197">
        <v>1999</v>
      </c>
      <c r="I197">
        <v>1</v>
      </c>
      <c r="J197">
        <v>1999</v>
      </c>
      <c r="L197">
        <v>0</v>
      </c>
      <c r="M197" t="s">
        <v>29</v>
      </c>
      <c r="N197" t="s">
        <v>30</v>
      </c>
      <c r="O197" t="s">
        <v>199</v>
      </c>
      <c r="P197" t="s">
        <v>57</v>
      </c>
      <c r="Q197" t="s">
        <v>56</v>
      </c>
      <c r="R197" s="1">
        <v>45631</v>
      </c>
      <c r="S197" t="s">
        <v>33</v>
      </c>
      <c r="T197" t="s">
        <v>46</v>
      </c>
      <c r="U197" t="s">
        <v>47</v>
      </c>
      <c r="V197" s="1">
        <v>45660</v>
      </c>
      <c r="W197" t="s">
        <v>48</v>
      </c>
    </row>
    <row r="198" spans="1:23" x14ac:dyDescent="0.3">
      <c r="A198" t="s">
        <v>874</v>
      </c>
      <c r="B198" s="1">
        <v>45617</v>
      </c>
      <c r="C198" t="s">
        <v>875</v>
      </c>
      <c r="D198" t="s">
        <v>25</v>
      </c>
      <c r="E198" t="s">
        <v>876</v>
      </c>
      <c r="F198" t="s">
        <v>40</v>
      </c>
      <c r="G198" t="s">
        <v>877</v>
      </c>
      <c r="H198">
        <v>3499</v>
      </c>
      <c r="I198">
        <v>1</v>
      </c>
      <c r="J198">
        <v>3499</v>
      </c>
      <c r="K198" s="2">
        <v>46341</v>
      </c>
      <c r="L198">
        <v>15</v>
      </c>
      <c r="M198" t="s">
        <v>55</v>
      </c>
      <c r="N198" t="s">
        <v>44</v>
      </c>
      <c r="O198" t="s">
        <v>204</v>
      </c>
      <c r="P198" t="s">
        <v>97</v>
      </c>
      <c r="Q198" t="s">
        <v>31</v>
      </c>
      <c r="R198" s="1">
        <v>45633</v>
      </c>
      <c r="S198" t="s">
        <v>33</v>
      </c>
      <c r="T198" t="s">
        <v>46</v>
      </c>
      <c r="U198" t="s">
        <v>104</v>
      </c>
      <c r="V198" s="1">
        <v>45662</v>
      </c>
      <c r="W198" t="s">
        <v>48</v>
      </c>
    </row>
    <row r="199" spans="1:23" x14ac:dyDescent="0.3">
      <c r="A199" t="s">
        <v>878</v>
      </c>
      <c r="B199" s="1">
        <v>45617</v>
      </c>
      <c r="C199" t="s">
        <v>879</v>
      </c>
      <c r="D199" t="s">
        <v>38</v>
      </c>
      <c r="E199" t="s">
        <v>880</v>
      </c>
      <c r="F199" t="s">
        <v>53</v>
      </c>
      <c r="G199" t="s">
        <v>881</v>
      </c>
      <c r="H199">
        <v>2599</v>
      </c>
      <c r="I199">
        <v>1</v>
      </c>
      <c r="J199">
        <v>2599</v>
      </c>
      <c r="L199">
        <v>0</v>
      </c>
      <c r="M199" t="s">
        <v>43</v>
      </c>
      <c r="N199" t="s">
        <v>65</v>
      </c>
      <c r="O199" t="s">
        <v>209</v>
      </c>
      <c r="P199" t="s">
        <v>97</v>
      </c>
      <c r="Q199" t="s">
        <v>31</v>
      </c>
      <c r="R199" s="1">
        <v>45631</v>
      </c>
      <c r="S199" t="s">
        <v>33</v>
      </c>
      <c r="T199" t="s">
        <v>34</v>
      </c>
      <c r="W199" t="s">
        <v>35</v>
      </c>
    </row>
    <row r="200" spans="1:23" x14ac:dyDescent="0.3">
      <c r="A200" t="s">
        <v>882</v>
      </c>
      <c r="B200" s="1">
        <v>45618</v>
      </c>
      <c r="C200" t="s">
        <v>883</v>
      </c>
      <c r="D200" t="s">
        <v>25</v>
      </c>
      <c r="E200" t="s">
        <v>884</v>
      </c>
      <c r="F200" t="s">
        <v>61</v>
      </c>
      <c r="G200" t="s">
        <v>885</v>
      </c>
      <c r="H200">
        <v>5499</v>
      </c>
      <c r="I200">
        <v>1</v>
      </c>
      <c r="J200">
        <v>5499</v>
      </c>
      <c r="L200">
        <v>0</v>
      </c>
      <c r="M200" t="s">
        <v>111</v>
      </c>
      <c r="N200" t="s">
        <v>30</v>
      </c>
      <c r="O200" t="s">
        <v>214</v>
      </c>
      <c r="P200" t="s">
        <v>113</v>
      </c>
      <c r="Q200" t="s">
        <v>45</v>
      </c>
      <c r="R200" s="1">
        <v>45634</v>
      </c>
      <c r="S200" t="s">
        <v>33</v>
      </c>
      <c r="T200" t="s">
        <v>46</v>
      </c>
      <c r="U200" t="s">
        <v>79</v>
      </c>
      <c r="V200" s="1">
        <v>45663</v>
      </c>
      <c r="W200" t="s">
        <v>48</v>
      </c>
    </row>
    <row r="201" spans="1:23" x14ac:dyDescent="0.3">
      <c r="A201" t="s">
        <v>886</v>
      </c>
      <c r="B201" s="1">
        <v>45618</v>
      </c>
      <c r="C201" t="s">
        <v>887</v>
      </c>
      <c r="D201" t="s">
        <v>25</v>
      </c>
      <c r="E201" t="s">
        <v>888</v>
      </c>
      <c r="F201" t="s">
        <v>71</v>
      </c>
      <c r="G201" t="s">
        <v>889</v>
      </c>
      <c r="H201">
        <v>999</v>
      </c>
      <c r="I201">
        <v>1</v>
      </c>
      <c r="J201">
        <v>999</v>
      </c>
      <c r="L201">
        <v>0</v>
      </c>
      <c r="M201" t="s">
        <v>64</v>
      </c>
      <c r="N201" t="s">
        <v>44</v>
      </c>
      <c r="O201" t="s">
        <v>31</v>
      </c>
      <c r="P201" t="s">
        <v>32</v>
      </c>
      <c r="Q201" t="s">
        <v>31</v>
      </c>
      <c r="R201" s="1">
        <v>45632</v>
      </c>
      <c r="S201" t="s">
        <v>33</v>
      </c>
      <c r="T201" t="s">
        <v>34</v>
      </c>
      <c r="W201" t="s">
        <v>35</v>
      </c>
    </row>
    <row r="202" spans="1:23" x14ac:dyDescent="0.3">
      <c r="A202" t="s">
        <v>890</v>
      </c>
      <c r="B202" s="1">
        <v>45618</v>
      </c>
      <c r="C202" t="s">
        <v>891</v>
      </c>
      <c r="D202" t="s">
        <v>25</v>
      </c>
      <c r="E202" t="s">
        <v>892</v>
      </c>
      <c r="F202" t="s">
        <v>27</v>
      </c>
      <c r="G202" t="s">
        <v>893</v>
      </c>
      <c r="H202">
        <v>1699</v>
      </c>
      <c r="I202">
        <v>1</v>
      </c>
      <c r="J202">
        <v>1699</v>
      </c>
      <c r="K202" s="2">
        <v>46341</v>
      </c>
      <c r="L202">
        <v>15</v>
      </c>
      <c r="M202" t="s">
        <v>29</v>
      </c>
      <c r="N202" t="s">
        <v>65</v>
      </c>
      <c r="O202" t="s">
        <v>45</v>
      </c>
      <c r="P202" t="s">
        <v>45</v>
      </c>
      <c r="Q202" t="s">
        <v>45</v>
      </c>
      <c r="R202" s="1">
        <v>45633</v>
      </c>
      <c r="S202" t="s">
        <v>33</v>
      </c>
      <c r="T202" t="s">
        <v>46</v>
      </c>
      <c r="U202" t="s">
        <v>138</v>
      </c>
      <c r="V202" s="1">
        <v>45662</v>
      </c>
      <c r="W202" t="s">
        <v>48</v>
      </c>
    </row>
    <row r="203" spans="1:23" x14ac:dyDescent="0.3">
      <c r="A203" t="s">
        <v>894</v>
      </c>
      <c r="B203" s="1">
        <v>45619</v>
      </c>
      <c r="C203" t="s">
        <v>895</v>
      </c>
      <c r="D203" t="s">
        <v>25</v>
      </c>
      <c r="E203" t="s">
        <v>896</v>
      </c>
      <c r="F203" t="s">
        <v>40</v>
      </c>
      <c r="G203" t="s">
        <v>897</v>
      </c>
      <c r="H203">
        <v>2799</v>
      </c>
      <c r="I203">
        <v>1</v>
      </c>
      <c r="J203">
        <v>2799</v>
      </c>
      <c r="L203">
        <v>0</v>
      </c>
      <c r="M203" t="s">
        <v>43</v>
      </c>
      <c r="N203" t="s">
        <v>30</v>
      </c>
      <c r="O203" t="s">
        <v>90</v>
      </c>
      <c r="P203" t="s">
        <v>91</v>
      </c>
      <c r="Q203" t="s">
        <v>45</v>
      </c>
      <c r="R203" s="1">
        <v>45635</v>
      </c>
      <c r="S203" t="s">
        <v>33</v>
      </c>
      <c r="T203" t="s">
        <v>34</v>
      </c>
      <c r="W203" t="s">
        <v>35</v>
      </c>
    </row>
    <row r="204" spans="1:23" x14ac:dyDescent="0.3">
      <c r="A204" t="s">
        <v>898</v>
      </c>
      <c r="B204" s="1">
        <v>45619</v>
      </c>
      <c r="C204" t="s">
        <v>899</v>
      </c>
      <c r="D204" t="s">
        <v>38</v>
      </c>
      <c r="E204" t="s">
        <v>900</v>
      </c>
      <c r="F204" t="s">
        <v>53</v>
      </c>
      <c r="G204" t="s">
        <v>901</v>
      </c>
      <c r="H204">
        <v>2399</v>
      </c>
      <c r="I204">
        <v>1</v>
      </c>
      <c r="J204">
        <v>2399</v>
      </c>
      <c r="L204">
        <v>0</v>
      </c>
      <c r="M204" t="s">
        <v>55</v>
      </c>
      <c r="N204" t="s">
        <v>44</v>
      </c>
      <c r="O204" t="s">
        <v>66</v>
      </c>
      <c r="P204" t="s">
        <v>67</v>
      </c>
      <c r="Q204" t="s">
        <v>56</v>
      </c>
      <c r="R204" s="1">
        <v>45633</v>
      </c>
      <c r="S204" t="s">
        <v>33</v>
      </c>
      <c r="T204" t="s">
        <v>46</v>
      </c>
      <c r="U204" t="s">
        <v>68</v>
      </c>
      <c r="V204" s="1">
        <v>45661</v>
      </c>
      <c r="W204" t="s">
        <v>48</v>
      </c>
    </row>
    <row r="205" spans="1:23" x14ac:dyDescent="0.3">
      <c r="A205" t="s">
        <v>902</v>
      </c>
      <c r="B205" s="1">
        <v>45619</v>
      </c>
      <c r="C205" t="s">
        <v>903</v>
      </c>
      <c r="D205" t="s">
        <v>25</v>
      </c>
      <c r="E205" t="s">
        <v>904</v>
      </c>
      <c r="F205" t="s">
        <v>61</v>
      </c>
      <c r="G205" t="s">
        <v>905</v>
      </c>
      <c r="H205">
        <v>6799</v>
      </c>
      <c r="I205">
        <v>1</v>
      </c>
      <c r="J205">
        <v>6799</v>
      </c>
      <c r="L205">
        <v>0</v>
      </c>
      <c r="M205" t="s">
        <v>29</v>
      </c>
      <c r="N205" t="s">
        <v>65</v>
      </c>
      <c r="O205" t="s">
        <v>77</v>
      </c>
      <c r="P205" t="s">
        <v>78</v>
      </c>
      <c r="Q205" t="s">
        <v>56</v>
      </c>
      <c r="R205" s="1">
        <v>45636</v>
      </c>
      <c r="S205" t="s">
        <v>33</v>
      </c>
      <c r="T205" t="s">
        <v>46</v>
      </c>
      <c r="U205" t="s">
        <v>47</v>
      </c>
      <c r="V205" s="1">
        <v>45665</v>
      </c>
      <c r="W205" t="s">
        <v>48</v>
      </c>
    </row>
    <row r="206" spans="1:23" x14ac:dyDescent="0.3">
      <c r="A206" t="s">
        <v>906</v>
      </c>
      <c r="B206" s="1">
        <v>45620</v>
      </c>
      <c r="C206" t="s">
        <v>907</v>
      </c>
      <c r="D206" t="s">
        <v>25</v>
      </c>
      <c r="E206" t="s">
        <v>908</v>
      </c>
      <c r="F206" t="s">
        <v>71</v>
      </c>
      <c r="G206" t="s">
        <v>909</v>
      </c>
      <c r="H206">
        <v>1499</v>
      </c>
      <c r="I206">
        <v>1</v>
      </c>
      <c r="J206">
        <v>1499</v>
      </c>
      <c r="K206" s="2">
        <v>46341</v>
      </c>
      <c r="L206">
        <v>15</v>
      </c>
      <c r="M206" t="s">
        <v>111</v>
      </c>
      <c r="N206" t="s">
        <v>30</v>
      </c>
      <c r="O206" t="s">
        <v>84</v>
      </c>
      <c r="P206" t="s">
        <v>32</v>
      </c>
      <c r="Q206" t="s">
        <v>31</v>
      </c>
      <c r="R206" s="1">
        <v>45634</v>
      </c>
      <c r="S206" t="s">
        <v>33</v>
      </c>
      <c r="T206" t="s">
        <v>34</v>
      </c>
      <c r="W206" t="s">
        <v>35</v>
      </c>
    </row>
    <row r="207" spans="1:23" x14ac:dyDescent="0.3">
      <c r="A207" t="s">
        <v>910</v>
      </c>
      <c r="B207" s="1">
        <v>45620</v>
      </c>
      <c r="C207" t="s">
        <v>911</v>
      </c>
      <c r="D207" t="s">
        <v>25</v>
      </c>
      <c r="E207" t="s">
        <v>912</v>
      </c>
      <c r="F207" t="s">
        <v>27</v>
      </c>
      <c r="G207" t="s">
        <v>913</v>
      </c>
      <c r="H207">
        <v>2299</v>
      </c>
      <c r="I207">
        <v>1</v>
      </c>
      <c r="J207">
        <v>2299</v>
      </c>
      <c r="L207">
        <v>0</v>
      </c>
      <c r="M207" t="s">
        <v>64</v>
      </c>
      <c r="N207" t="s">
        <v>44</v>
      </c>
      <c r="O207" t="s">
        <v>96</v>
      </c>
      <c r="P207" t="s">
        <v>97</v>
      </c>
      <c r="Q207" t="s">
        <v>31</v>
      </c>
      <c r="R207" s="1">
        <v>45635</v>
      </c>
      <c r="S207" t="s">
        <v>33</v>
      </c>
      <c r="T207" t="s">
        <v>46</v>
      </c>
      <c r="U207" t="s">
        <v>104</v>
      </c>
      <c r="V207" s="1">
        <v>45664</v>
      </c>
      <c r="W207" t="s">
        <v>48</v>
      </c>
    </row>
    <row r="208" spans="1:23" x14ac:dyDescent="0.3">
      <c r="A208" t="s">
        <v>914</v>
      </c>
      <c r="B208" s="1">
        <v>45620</v>
      </c>
      <c r="C208" t="s">
        <v>915</v>
      </c>
      <c r="D208" t="s">
        <v>25</v>
      </c>
      <c r="E208" t="s">
        <v>916</v>
      </c>
      <c r="F208" t="s">
        <v>40</v>
      </c>
      <c r="G208" t="s">
        <v>917</v>
      </c>
      <c r="H208">
        <v>4999</v>
      </c>
      <c r="I208">
        <v>1</v>
      </c>
      <c r="J208">
        <v>4999</v>
      </c>
      <c r="L208">
        <v>0</v>
      </c>
      <c r="M208" t="s">
        <v>43</v>
      </c>
      <c r="N208" t="s">
        <v>65</v>
      </c>
      <c r="O208" t="s">
        <v>102</v>
      </c>
      <c r="P208" t="s">
        <v>103</v>
      </c>
      <c r="Q208" t="s">
        <v>45</v>
      </c>
      <c r="R208" s="1">
        <v>45637</v>
      </c>
      <c r="S208" t="s">
        <v>33</v>
      </c>
      <c r="T208" t="s">
        <v>34</v>
      </c>
      <c r="W208" t="s">
        <v>35</v>
      </c>
    </row>
    <row r="209" spans="1:23" x14ac:dyDescent="0.3">
      <c r="A209" t="s">
        <v>918</v>
      </c>
      <c r="B209" s="1">
        <v>45621</v>
      </c>
      <c r="C209" t="s">
        <v>919</v>
      </c>
      <c r="D209" t="s">
        <v>38</v>
      </c>
      <c r="E209" t="s">
        <v>920</v>
      </c>
      <c r="F209" t="s">
        <v>53</v>
      </c>
      <c r="G209" t="s">
        <v>921</v>
      </c>
      <c r="H209">
        <v>2099</v>
      </c>
      <c r="I209">
        <v>1</v>
      </c>
      <c r="J209">
        <v>2099</v>
      </c>
      <c r="L209">
        <v>0</v>
      </c>
      <c r="M209" t="s">
        <v>29</v>
      </c>
      <c r="N209" t="s">
        <v>30</v>
      </c>
      <c r="O209" t="s">
        <v>112</v>
      </c>
      <c r="P209" t="s">
        <v>113</v>
      </c>
      <c r="Q209" t="s">
        <v>45</v>
      </c>
      <c r="R209" s="1">
        <v>45635</v>
      </c>
      <c r="S209" t="s">
        <v>33</v>
      </c>
      <c r="T209" t="s">
        <v>46</v>
      </c>
      <c r="U209" t="s">
        <v>79</v>
      </c>
      <c r="V209" s="1">
        <v>45663</v>
      </c>
      <c r="W209" t="s">
        <v>48</v>
      </c>
    </row>
    <row r="210" spans="1:23" x14ac:dyDescent="0.3">
      <c r="A210" t="s">
        <v>922</v>
      </c>
      <c r="B210" s="1">
        <v>45621</v>
      </c>
      <c r="C210" t="s">
        <v>923</v>
      </c>
      <c r="D210" t="s">
        <v>25</v>
      </c>
      <c r="E210" t="s">
        <v>924</v>
      </c>
      <c r="F210" t="s">
        <v>61</v>
      </c>
      <c r="G210" t="s">
        <v>925</v>
      </c>
      <c r="H210">
        <v>5799</v>
      </c>
      <c r="I210">
        <v>1</v>
      </c>
      <c r="J210">
        <v>5799</v>
      </c>
      <c r="K210" s="2">
        <v>46341</v>
      </c>
      <c r="L210">
        <v>15</v>
      </c>
      <c r="M210" t="s">
        <v>55</v>
      </c>
      <c r="N210" t="s">
        <v>44</v>
      </c>
      <c r="O210" t="s">
        <v>56</v>
      </c>
      <c r="P210" t="s">
        <v>57</v>
      </c>
      <c r="Q210" t="s">
        <v>56</v>
      </c>
      <c r="R210" s="1">
        <v>45638</v>
      </c>
      <c r="S210" t="s">
        <v>33</v>
      </c>
      <c r="T210" t="s">
        <v>46</v>
      </c>
      <c r="U210" t="s">
        <v>47</v>
      </c>
      <c r="V210" s="1">
        <v>45667</v>
      </c>
      <c r="W210" t="s">
        <v>48</v>
      </c>
    </row>
    <row r="211" spans="1:23" x14ac:dyDescent="0.3">
      <c r="A211" t="s">
        <v>926</v>
      </c>
      <c r="B211" s="1">
        <v>45621</v>
      </c>
      <c r="C211" t="s">
        <v>927</v>
      </c>
      <c r="D211" t="s">
        <v>25</v>
      </c>
      <c r="E211" t="s">
        <v>928</v>
      </c>
      <c r="F211" t="s">
        <v>71</v>
      </c>
      <c r="G211" t="s">
        <v>929</v>
      </c>
      <c r="H211">
        <v>1199</v>
      </c>
      <c r="I211">
        <v>1</v>
      </c>
      <c r="J211">
        <v>1199</v>
      </c>
      <c r="L211">
        <v>0</v>
      </c>
      <c r="M211" t="s">
        <v>43</v>
      </c>
      <c r="N211" t="s">
        <v>65</v>
      </c>
      <c r="O211" t="s">
        <v>31</v>
      </c>
      <c r="P211" t="s">
        <v>32</v>
      </c>
      <c r="Q211" t="s">
        <v>31</v>
      </c>
      <c r="R211" s="1">
        <v>45636</v>
      </c>
      <c r="S211" t="s">
        <v>33</v>
      </c>
      <c r="T211" t="s">
        <v>34</v>
      </c>
      <c r="W211" t="s">
        <v>35</v>
      </c>
    </row>
    <row r="212" spans="1:23" x14ac:dyDescent="0.3">
      <c r="A212" t="s">
        <v>930</v>
      </c>
      <c r="B212" s="1">
        <v>45622</v>
      </c>
      <c r="C212" t="s">
        <v>931</v>
      </c>
      <c r="D212" t="s">
        <v>25</v>
      </c>
      <c r="E212" t="s">
        <v>932</v>
      </c>
      <c r="F212" t="s">
        <v>27</v>
      </c>
      <c r="G212" t="s">
        <v>933</v>
      </c>
      <c r="H212">
        <v>1899</v>
      </c>
      <c r="I212">
        <v>1</v>
      </c>
      <c r="J212">
        <v>1899</v>
      </c>
      <c r="L212">
        <v>0</v>
      </c>
      <c r="M212" t="s">
        <v>111</v>
      </c>
      <c r="N212" t="s">
        <v>30</v>
      </c>
      <c r="O212" t="s">
        <v>45</v>
      </c>
      <c r="P212" t="s">
        <v>45</v>
      </c>
      <c r="Q212" t="s">
        <v>45</v>
      </c>
      <c r="R212" s="1">
        <v>45637</v>
      </c>
      <c r="S212" t="s">
        <v>33</v>
      </c>
      <c r="T212" t="s">
        <v>46</v>
      </c>
      <c r="U212" t="s">
        <v>138</v>
      </c>
      <c r="V212" s="1">
        <v>45665</v>
      </c>
      <c r="W212" t="s">
        <v>48</v>
      </c>
    </row>
    <row r="213" spans="1:23" x14ac:dyDescent="0.3">
      <c r="A213" t="s">
        <v>934</v>
      </c>
      <c r="B213" s="1">
        <v>45622</v>
      </c>
      <c r="C213" t="s">
        <v>935</v>
      </c>
      <c r="D213" t="s">
        <v>25</v>
      </c>
      <c r="E213" t="s">
        <v>936</v>
      </c>
      <c r="F213" t="s">
        <v>40</v>
      </c>
      <c r="G213" t="s">
        <v>937</v>
      </c>
      <c r="H213">
        <v>3699</v>
      </c>
      <c r="I213">
        <v>1</v>
      </c>
      <c r="J213">
        <v>3699</v>
      </c>
      <c r="L213">
        <v>0</v>
      </c>
      <c r="M213" t="s">
        <v>64</v>
      </c>
      <c r="N213" t="s">
        <v>44</v>
      </c>
      <c r="O213" t="s">
        <v>118</v>
      </c>
      <c r="P213" t="s">
        <v>119</v>
      </c>
      <c r="Q213" t="s">
        <v>45</v>
      </c>
      <c r="R213" s="1">
        <v>45639</v>
      </c>
      <c r="S213" t="s">
        <v>33</v>
      </c>
      <c r="T213" t="s">
        <v>34</v>
      </c>
      <c r="W213" t="s">
        <v>35</v>
      </c>
    </row>
    <row r="214" spans="1:23" x14ac:dyDescent="0.3">
      <c r="A214" t="s">
        <v>938</v>
      </c>
      <c r="B214" s="1">
        <v>45622</v>
      </c>
      <c r="C214" t="s">
        <v>939</v>
      </c>
      <c r="D214" t="s">
        <v>38</v>
      </c>
      <c r="E214" t="s">
        <v>940</v>
      </c>
      <c r="F214" t="s">
        <v>53</v>
      </c>
      <c r="G214" t="s">
        <v>941</v>
      </c>
      <c r="H214">
        <v>2699</v>
      </c>
      <c r="I214">
        <v>1</v>
      </c>
      <c r="J214">
        <v>2699</v>
      </c>
      <c r="K214" s="2">
        <v>46341</v>
      </c>
      <c r="L214">
        <v>15</v>
      </c>
      <c r="M214" t="s">
        <v>29</v>
      </c>
      <c r="N214" t="s">
        <v>65</v>
      </c>
      <c r="O214" t="s">
        <v>137</v>
      </c>
      <c r="P214" t="s">
        <v>113</v>
      </c>
      <c r="Q214" t="s">
        <v>45</v>
      </c>
      <c r="R214" s="1">
        <v>45637</v>
      </c>
      <c r="S214" t="s">
        <v>33</v>
      </c>
      <c r="T214" t="s">
        <v>46</v>
      </c>
      <c r="U214" t="s">
        <v>68</v>
      </c>
      <c r="V214" s="1">
        <v>45666</v>
      </c>
      <c r="W214" t="s">
        <v>48</v>
      </c>
    </row>
    <row r="215" spans="1:23" x14ac:dyDescent="0.3">
      <c r="A215" t="s">
        <v>942</v>
      </c>
      <c r="B215" s="1">
        <v>45623</v>
      </c>
      <c r="C215" t="s">
        <v>943</v>
      </c>
      <c r="D215" t="s">
        <v>25</v>
      </c>
      <c r="E215" t="s">
        <v>944</v>
      </c>
      <c r="F215" t="s">
        <v>61</v>
      </c>
      <c r="G215" t="s">
        <v>945</v>
      </c>
      <c r="H215">
        <v>4999</v>
      </c>
      <c r="I215">
        <v>1</v>
      </c>
      <c r="J215">
        <v>4999</v>
      </c>
      <c r="L215">
        <v>0</v>
      </c>
      <c r="M215" t="s">
        <v>43</v>
      </c>
      <c r="N215" t="s">
        <v>30</v>
      </c>
      <c r="O215" t="s">
        <v>143</v>
      </c>
      <c r="P215" t="s">
        <v>144</v>
      </c>
      <c r="Q215" t="s">
        <v>45</v>
      </c>
      <c r="R215" s="1">
        <v>45640</v>
      </c>
      <c r="S215" t="s">
        <v>33</v>
      </c>
      <c r="T215" t="s">
        <v>46</v>
      </c>
      <c r="U215" t="s">
        <v>47</v>
      </c>
      <c r="V215" s="1">
        <v>45669</v>
      </c>
      <c r="W215" t="s">
        <v>48</v>
      </c>
    </row>
    <row r="216" spans="1:23" x14ac:dyDescent="0.3">
      <c r="A216" t="s">
        <v>946</v>
      </c>
      <c r="B216" s="1">
        <v>45623</v>
      </c>
      <c r="C216" t="s">
        <v>947</v>
      </c>
      <c r="D216" t="s">
        <v>25</v>
      </c>
      <c r="E216" t="s">
        <v>948</v>
      </c>
      <c r="F216" t="s">
        <v>71</v>
      </c>
      <c r="G216" t="s">
        <v>949</v>
      </c>
      <c r="H216">
        <v>899</v>
      </c>
      <c r="I216">
        <v>2</v>
      </c>
      <c r="J216">
        <v>1798</v>
      </c>
      <c r="L216">
        <v>0</v>
      </c>
      <c r="M216" t="s">
        <v>55</v>
      </c>
      <c r="N216" t="s">
        <v>44</v>
      </c>
      <c r="O216" t="s">
        <v>150</v>
      </c>
      <c r="P216" t="s">
        <v>151</v>
      </c>
      <c r="Q216" t="s">
        <v>31</v>
      </c>
      <c r="R216" s="1">
        <v>45638</v>
      </c>
      <c r="S216" t="s">
        <v>33</v>
      </c>
      <c r="T216" t="s">
        <v>34</v>
      </c>
      <c r="W216" t="s">
        <v>35</v>
      </c>
    </row>
    <row r="217" spans="1:23" x14ac:dyDescent="0.3">
      <c r="A217" t="s">
        <v>950</v>
      </c>
      <c r="B217" s="1">
        <v>45623</v>
      </c>
      <c r="C217" t="s">
        <v>951</v>
      </c>
      <c r="D217" t="s">
        <v>25</v>
      </c>
      <c r="E217" t="s">
        <v>952</v>
      </c>
      <c r="F217" t="s">
        <v>27</v>
      </c>
      <c r="G217" t="s">
        <v>953</v>
      </c>
      <c r="H217">
        <v>1599</v>
      </c>
      <c r="I217">
        <v>1</v>
      </c>
      <c r="J217">
        <v>1599</v>
      </c>
      <c r="L217">
        <v>0</v>
      </c>
      <c r="M217" t="s">
        <v>29</v>
      </c>
      <c r="N217" t="s">
        <v>65</v>
      </c>
      <c r="O217" t="s">
        <v>156</v>
      </c>
      <c r="P217" t="s">
        <v>97</v>
      </c>
      <c r="Q217" t="s">
        <v>31</v>
      </c>
      <c r="R217" s="1">
        <v>45639</v>
      </c>
      <c r="S217" t="s">
        <v>33</v>
      </c>
      <c r="T217" t="s">
        <v>46</v>
      </c>
      <c r="U217" t="s">
        <v>104</v>
      </c>
      <c r="V217" s="1">
        <v>45667</v>
      </c>
      <c r="W217" t="s">
        <v>48</v>
      </c>
    </row>
    <row r="218" spans="1:23" x14ac:dyDescent="0.3">
      <c r="A218" t="s">
        <v>954</v>
      </c>
      <c r="B218" s="1">
        <v>45624</v>
      </c>
      <c r="C218" t="s">
        <v>955</v>
      </c>
      <c r="D218" t="s">
        <v>25</v>
      </c>
      <c r="E218" t="s">
        <v>956</v>
      </c>
      <c r="F218" t="s">
        <v>40</v>
      </c>
      <c r="G218" t="s">
        <v>957</v>
      </c>
      <c r="H218">
        <v>2599</v>
      </c>
      <c r="I218">
        <v>1</v>
      </c>
      <c r="J218">
        <v>2599</v>
      </c>
      <c r="K218" s="2">
        <v>46341</v>
      </c>
      <c r="L218">
        <v>15</v>
      </c>
      <c r="M218" t="s">
        <v>111</v>
      </c>
      <c r="N218" t="s">
        <v>30</v>
      </c>
      <c r="O218" t="s">
        <v>161</v>
      </c>
      <c r="P218" t="s">
        <v>162</v>
      </c>
      <c r="Q218" t="s">
        <v>45</v>
      </c>
      <c r="R218" s="1">
        <v>45641</v>
      </c>
      <c r="S218" t="s">
        <v>33</v>
      </c>
      <c r="T218" t="s">
        <v>34</v>
      </c>
      <c r="W218" t="s">
        <v>35</v>
      </c>
    </row>
    <row r="219" spans="1:23" x14ac:dyDescent="0.3">
      <c r="A219" t="s">
        <v>958</v>
      </c>
      <c r="B219" s="1">
        <v>45624</v>
      </c>
      <c r="C219" t="s">
        <v>959</v>
      </c>
      <c r="D219" t="s">
        <v>38</v>
      </c>
      <c r="E219" t="s">
        <v>960</v>
      </c>
      <c r="F219" t="s">
        <v>53</v>
      </c>
      <c r="G219" t="s">
        <v>961</v>
      </c>
      <c r="H219">
        <v>2399</v>
      </c>
      <c r="I219">
        <v>1</v>
      </c>
      <c r="J219">
        <v>2399</v>
      </c>
      <c r="L219">
        <v>0</v>
      </c>
      <c r="M219" t="s">
        <v>64</v>
      </c>
      <c r="N219" t="s">
        <v>44</v>
      </c>
      <c r="O219" t="s">
        <v>167</v>
      </c>
      <c r="P219" t="s">
        <v>151</v>
      </c>
      <c r="Q219" t="s">
        <v>31</v>
      </c>
      <c r="R219" s="1">
        <v>45639</v>
      </c>
      <c r="S219" t="s">
        <v>33</v>
      </c>
      <c r="T219" t="s">
        <v>46</v>
      </c>
      <c r="U219" t="s">
        <v>79</v>
      </c>
      <c r="V219" s="1">
        <v>45668</v>
      </c>
      <c r="W219" t="s">
        <v>48</v>
      </c>
    </row>
    <row r="220" spans="1:23" x14ac:dyDescent="0.3">
      <c r="A220" t="s">
        <v>962</v>
      </c>
      <c r="B220" s="1">
        <v>45624</v>
      </c>
      <c r="C220" t="s">
        <v>963</v>
      </c>
      <c r="D220" t="s">
        <v>25</v>
      </c>
      <c r="E220" t="s">
        <v>964</v>
      </c>
      <c r="F220" t="s">
        <v>61</v>
      </c>
      <c r="G220" t="s">
        <v>965</v>
      </c>
      <c r="H220">
        <v>6499</v>
      </c>
      <c r="I220">
        <v>1</v>
      </c>
      <c r="J220">
        <v>6499</v>
      </c>
      <c r="L220">
        <v>0</v>
      </c>
      <c r="M220" t="s">
        <v>43</v>
      </c>
      <c r="N220" t="s">
        <v>65</v>
      </c>
      <c r="O220" t="s">
        <v>172</v>
      </c>
      <c r="P220" t="s">
        <v>32</v>
      </c>
      <c r="Q220" t="s">
        <v>31</v>
      </c>
      <c r="R220" s="1">
        <v>45642</v>
      </c>
      <c r="S220" t="s">
        <v>33</v>
      </c>
      <c r="T220" t="s">
        <v>46</v>
      </c>
      <c r="U220" t="s">
        <v>47</v>
      </c>
      <c r="V220" s="1">
        <v>45671</v>
      </c>
      <c r="W220" t="s">
        <v>48</v>
      </c>
    </row>
    <row r="221" spans="1:23" x14ac:dyDescent="0.3">
      <c r="A221" t="s">
        <v>966</v>
      </c>
      <c r="B221" s="1">
        <v>45625</v>
      </c>
      <c r="C221" t="s">
        <v>967</v>
      </c>
      <c r="D221" t="s">
        <v>25</v>
      </c>
      <c r="E221" t="s">
        <v>968</v>
      </c>
      <c r="F221" t="s">
        <v>71</v>
      </c>
      <c r="G221" t="s">
        <v>969</v>
      </c>
      <c r="H221">
        <v>499</v>
      </c>
      <c r="I221">
        <v>2</v>
      </c>
      <c r="J221">
        <v>998</v>
      </c>
      <c r="L221">
        <v>0</v>
      </c>
      <c r="M221" t="s">
        <v>29</v>
      </c>
      <c r="N221" t="s">
        <v>30</v>
      </c>
      <c r="O221" t="s">
        <v>177</v>
      </c>
      <c r="P221" t="s">
        <v>67</v>
      </c>
      <c r="Q221" t="s">
        <v>56</v>
      </c>
      <c r="R221" s="1">
        <v>45640</v>
      </c>
      <c r="S221" t="s">
        <v>33</v>
      </c>
      <c r="T221" t="s">
        <v>34</v>
      </c>
      <c r="W221" t="s">
        <v>35</v>
      </c>
    </row>
    <row r="222" spans="1:23" x14ac:dyDescent="0.3">
      <c r="A222" t="s">
        <v>970</v>
      </c>
      <c r="B222" s="1">
        <v>45625</v>
      </c>
      <c r="C222" t="s">
        <v>971</v>
      </c>
      <c r="D222" t="s">
        <v>25</v>
      </c>
      <c r="E222" t="s">
        <v>972</v>
      </c>
      <c r="F222" t="s">
        <v>27</v>
      </c>
      <c r="G222" t="s">
        <v>973</v>
      </c>
      <c r="H222">
        <v>1999</v>
      </c>
      <c r="I222">
        <v>1</v>
      </c>
      <c r="J222">
        <v>1999</v>
      </c>
      <c r="L222">
        <v>0</v>
      </c>
      <c r="M222" t="s">
        <v>55</v>
      </c>
      <c r="N222" t="s">
        <v>44</v>
      </c>
      <c r="O222" t="s">
        <v>182</v>
      </c>
      <c r="P222" t="s">
        <v>183</v>
      </c>
      <c r="Q222" t="s">
        <v>56</v>
      </c>
      <c r="S222" t="s">
        <v>120</v>
      </c>
      <c r="T222" t="s">
        <v>34</v>
      </c>
      <c r="W222" t="s">
        <v>35</v>
      </c>
    </row>
    <row r="223" spans="1:23" x14ac:dyDescent="0.3">
      <c r="A223" t="s">
        <v>974</v>
      </c>
      <c r="B223" s="1">
        <v>45625</v>
      </c>
      <c r="C223" t="s">
        <v>975</v>
      </c>
      <c r="D223" t="s">
        <v>25</v>
      </c>
      <c r="E223" t="s">
        <v>976</v>
      </c>
      <c r="F223" t="s">
        <v>40</v>
      </c>
      <c r="G223" t="s">
        <v>977</v>
      </c>
      <c r="H223">
        <v>5499</v>
      </c>
      <c r="I223">
        <v>1</v>
      </c>
      <c r="J223">
        <v>5499</v>
      </c>
      <c r="K223" s="2">
        <v>46341</v>
      </c>
      <c r="L223">
        <v>15</v>
      </c>
      <c r="M223" t="s">
        <v>43</v>
      </c>
      <c r="N223" t="s">
        <v>65</v>
      </c>
      <c r="O223" t="s">
        <v>188</v>
      </c>
      <c r="P223" t="s">
        <v>189</v>
      </c>
      <c r="Q223" t="s">
        <v>56</v>
      </c>
      <c r="R223" s="1">
        <v>45643</v>
      </c>
      <c r="S223" t="s">
        <v>33</v>
      </c>
      <c r="T223" t="s">
        <v>46</v>
      </c>
      <c r="U223" t="s">
        <v>68</v>
      </c>
      <c r="V223" s="1">
        <v>45672</v>
      </c>
      <c r="W223" t="s">
        <v>48</v>
      </c>
    </row>
    <row r="224" spans="1:23" x14ac:dyDescent="0.3">
      <c r="A224" t="s">
        <v>978</v>
      </c>
      <c r="B224" s="1">
        <v>45626</v>
      </c>
      <c r="C224" t="s">
        <v>979</v>
      </c>
      <c r="D224" t="s">
        <v>38</v>
      </c>
      <c r="E224" t="s">
        <v>980</v>
      </c>
      <c r="F224" t="s">
        <v>53</v>
      </c>
      <c r="G224" t="s">
        <v>981</v>
      </c>
      <c r="H224">
        <v>2799</v>
      </c>
      <c r="I224">
        <v>1</v>
      </c>
      <c r="J224">
        <v>2799</v>
      </c>
      <c r="L224">
        <v>0</v>
      </c>
      <c r="M224" t="s">
        <v>111</v>
      </c>
      <c r="N224" t="s">
        <v>30</v>
      </c>
      <c r="O224" t="s">
        <v>194</v>
      </c>
      <c r="P224" t="s">
        <v>183</v>
      </c>
      <c r="Q224" t="s">
        <v>56</v>
      </c>
      <c r="R224" s="1">
        <v>45641</v>
      </c>
      <c r="S224" t="s">
        <v>33</v>
      </c>
      <c r="T224" t="s">
        <v>34</v>
      </c>
      <c r="W224" t="s">
        <v>35</v>
      </c>
    </row>
    <row r="225" spans="1:23" x14ac:dyDescent="0.3">
      <c r="A225" t="s">
        <v>982</v>
      </c>
      <c r="B225" s="1">
        <v>45626</v>
      </c>
      <c r="C225" t="s">
        <v>983</v>
      </c>
      <c r="D225" t="s">
        <v>25</v>
      </c>
      <c r="E225" t="s">
        <v>984</v>
      </c>
      <c r="F225" t="s">
        <v>61</v>
      </c>
      <c r="G225" t="s">
        <v>985</v>
      </c>
      <c r="H225">
        <v>5299</v>
      </c>
      <c r="I225">
        <v>1</v>
      </c>
      <c r="J225">
        <v>5299</v>
      </c>
      <c r="L225">
        <v>0</v>
      </c>
      <c r="M225" t="s">
        <v>64</v>
      </c>
      <c r="N225" t="s">
        <v>44</v>
      </c>
      <c r="O225" t="s">
        <v>199</v>
      </c>
      <c r="P225" t="s">
        <v>57</v>
      </c>
      <c r="Q225" t="s">
        <v>56</v>
      </c>
      <c r="R225" s="1">
        <v>45644</v>
      </c>
      <c r="S225" t="s">
        <v>33</v>
      </c>
      <c r="T225" t="s">
        <v>46</v>
      </c>
      <c r="U225" t="s">
        <v>138</v>
      </c>
      <c r="V225" s="1">
        <v>45673</v>
      </c>
      <c r="W225" t="s">
        <v>48</v>
      </c>
    </row>
    <row r="226" spans="1:23" x14ac:dyDescent="0.3">
      <c r="A226" t="s">
        <v>986</v>
      </c>
      <c r="B226" s="1">
        <v>45626</v>
      </c>
      <c r="C226" t="s">
        <v>987</v>
      </c>
      <c r="D226" t="s">
        <v>25</v>
      </c>
      <c r="E226" t="s">
        <v>988</v>
      </c>
      <c r="F226" t="s">
        <v>71</v>
      </c>
      <c r="G226" t="s">
        <v>989</v>
      </c>
      <c r="H226">
        <v>1099</v>
      </c>
      <c r="I226">
        <v>1</v>
      </c>
      <c r="J226">
        <v>1099</v>
      </c>
      <c r="L226">
        <v>0</v>
      </c>
      <c r="M226" t="s">
        <v>29</v>
      </c>
      <c r="N226" t="s">
        <v>65</v>
      </c>
      <c r="O226" t="s">
        <v>204</v>
      </c>
      <c r="P226" t="s">
        <v>97</v>
      </c>
      <c r="Q226" t="s">
        <v>31</v>
      </c>
      <c r="R226" s="1">
        <v>45642</v>
      </c>
      <c r="S226" t="s">
        <v>33</v>
      </c>
      <c r="T226" t="s">
        <v>46</v>
      </c>
      <c r="U226" t="s">
        <v>47</v>
      </c>
      <c r="V226" s="1">
        <v>45671</v>
      </c>
      <c r="W226" t="s">
        <v>48</v>
      </c>
    </row>
    <row r="227" spans="1:23" x14ac:dyDescent="0.3">
      <c r="A227" t="s">
        <v>990</v>
      </c>
      <c r="B227" s="1">
        <v>45627</v>
      </c>
      <c r="C227" t="s">
        <v>991</v>
      </c>
      <c r="D227" t="s">
        <v>25</v>
      </c>
      <c r="E227" t="s">
        <v>992</v>
      </c>
      <c r="F227" t="s">
        <v>27</v>
      </c>
      <c r="G227" t="s">
        <v>993</v>
      </c>
      <c r="H227">
        <v>2499</v>
      </c>
      <c r="I227">
        <v>1</v>
      </c>
      <c r="J227">
        <v>2499</v>
      </c>
      <c r="K227" s="2">
        <v>46376</v>
      </c>
      <c r="L227">
        <v>20</v>
      </c>
      <c r="M227" t="s">
        <v>43</v>
      </c>
      <c r="N227" t="s">
        <v>30</v>
      </c>
      <c r="O227" t="s">
        <v>31</v>
      </c>
      <c r="P227" t="s">
        <v>32</v>
      </c>
      <c r="Q227" t="s">
        <v>31</v>
      </c>
      <c r="R227" s="1">
        <v>45632</v>
      </c>
      <c r="S227" t="s">
        <v>33</v>
      </c>
      <c r="T227" t="s">
        <v>34</v>
      </c>
      <c r="W227" t="s">
        <v>35</v>
      </c>
    </row>
    <row r="228" spans="1:23" x14ac:dyDescent="0.3">
      <c r="A228" t="s">
        <v>994</v>
      </c>
      <c r="B228" s="1">
        <v>45627</v>
      </c>
      <c r="C228" t="s">
        <v>995</v>
      </c>
      <c r="D228" t="s">
        <v>25</v>
      </c>
      <c r="E228" t="s">
        <v>996</v>
      </c>
      <c r="F228" t="s">
        <v>61</v>
      </c>
      <c r="G228" t="s">
        <v>997</v>
      </c>
      <c r="H228">
        <v>6499</v>
      </c>
      <c r="I228">
        <v>1</v>
      </c>
      <c r="J228">
        <v>6499</v>
      </c>
      <c r="K228" s="2">
        <v>46376</v>
      </c>
      <c r="L228">
        <v>20</v>
      </c>
      <c r="M228" t="s">
        <v>55</v>
      </c>
      <c r="N228" t="s">
        <v>44</v>
      </c>
      <c r="O228" t="s">
        <v>45</v>
      </c>
      <c r="P228" t="s">
        <v>45</v>
      </c>
      <c r="Q228" t="s">
        <v>45</v>
      </c>
      <c r="R228" s="1">
        <v>45634</v>
      </c>
      <c r="S228" t="s">
        <v>33</v>
      </c>
      <c r="T228" t="s">
        <v>46</v>
      </c>
      <c r="U228" t="s">
        <v>79</v>
      </c>
      <c r="V228" s="1">
        <v>45654</v>
      </c>
      <c r="W228" t="s">
        <v>105</v>
      </c>
    </row>
    <row r="229" spans="1:23" x14ac:dyDescent="0.3">
      <c r="A229" t="s">
        <v>998</v>
      </c>
      <c r="B229" s="1">
        <v>45627</v>
      </c>
      <c r="C229" t="s">
        <v>999</v>
      </c>
      <c r="D229" t="s">
        <v>38</v>
      </c>
      <c r="E229" t="s">
        <v>1000</v>
      </c>
      <c r="F229" t="s">
        <v>71</v>
      </c>
      <c r="G229" t="s">
        <v>1001</v>
      </c>
      <c r="H229">
        <v>1499</v>
      </c>
      <c r="I229">
        <v>1</v>
      </c>
      <c r="J229">
        <v>1499</v>
      </c>
      <c r="L229">
        <v>0</v>
      </c>
      <c r="M229" t="s">
        <v>29</v>
      </c>
      <c r="N229" t="s">
        <v>65</v>
      </c>
      <c r="O229" t="s">
        <v>118</v>
      </c>
      <c r="P229" t="s">
        <v>119</v>
      </c>
      <c r="Q229" t="s">
        <v>45</v>
      </c>
      <c r="R229" s="1">
        <v>45633</v>
      </c>
      <c r="S229" t="s">
        <v>33</v>
      </c>
      <c r="T229" t="s">
        <v>34</v>
      </c>
      <c r="W229" t="s">
        <v>35</v>
      </c>
    </row>
    <row r="230" spans="1:23" x14ac:dyDescent="0.3">
      <c r="A230" t="s">
        <v>1002</v>
      </c>
      <c r="B230" s="1">
        <v>45627</v>
      </c>
      <c r="C230" t="s">
        <v>1003</v>
      </c>
      <c r="D230" t="s">
        <v>25</v>
      </c>
      <c r="E230" t="s">
        <v>1004</v>
      </c>
      <c r="F230" t="s">
        <v>40</v>
      </c>
      <c r="G230" t="s">
        <v>1005</v>
      </c>
      <c r="H230">
        <v>2899</v>
      </c>
      <c r="I230">
        <v>1</v>
      </c>
      <c r="J230">
        <v>2899</v>
      </c>
      <c r="K230" s="2">
        <v>46376</v>
      </c>
      <c r="L230">
        <v>20</v>
      </c>
      <c r="M230" t="s">
        <v>64</v>
      </c>
      <c r="N230" t="s">
        <v>30</v>
      </c>
      <c r="O230" t="s">
        <v>563</v>
      </c>
      <c r="P230" t="s">
        <v>119</v>
      </c>
      <c r="Q230" t="s">
        <v>45</v>
      </c>
      <c r="R230" s="1">
        <v>45635</v>
      </c>
      <c r="S230" t="s">
        <v>33</v>
      </c>
      <c r="T230" t="s">
        <v>46</v>
      </c>
      <c r="U230" t="s">
        <v>47</v>
      </c>
      <c r="V230" s="1">
        <v>45656</v>
      </c>
      <c r="W230" t="s">
        <v>48</v>
      </c>
    </row>
    <row r="231" spans="1:23" x14ac:dyDescent="0.3">
      <c r="A231" t="s">
        <v>1006</v>
      </c>
      <c r="B231" s="1">
        <v>45628</v>
      </c>
      <c r="C231" t="s">
        <v>1007</v>
      </c>
      <c r="D231" t="s">
        <v>25</v>
      </c>
      <c r="E231" t="s">
        <v>1008</v>
      </c>
      <c r="F231" t="s">
        <v>27</v>
      </c>
      <c r="G231" t="s">
        <v>1009</v>
      </c>
      <c r="H231">
        <v>1599</v>
      </c>
      <c r="I231">
        <v>2</v>
      </c>
      <c r="J231">
        <v>3198</v>
      </c>
      <c r="L231">
        <v>0</v>
      </c>
      <c r="M231" t="s">
        <v>43</v>
      </c>
      <c r="N231" t="s">
        <v>44</v>
      </c>
      <c r="O231" t="s">
        <v>1010</v>
      </c>
      <c r="P231" t="s">
        <v>1011</v>
      </c>
      <c r="Q231" t="s">
        <v>45</v>
      </c>
      <c r="R231" s="1">
        <v>45635</v>
      </c>
      <c r="S231" t="s">
        <v>33</v>
      </c>
      <c r="T231" t="s">
        <v>34</v>
      </c>
      <c r="W231" t="s">
        <v>35</v>
      </c>
    </row>
    <row r="232" spans="1:23" x14ac:dyDescent="0.3">
      <c r="A232" t="s">
        <v>1012</v>
      </c>
      <c r="B232" s="1">
        <v>45628</v>
      </c>
      <c r="C232" t="s">
        <v>1013</v>
      </c>
      <c r="D232" t="s">
        <v>25</v>
      </c>
      <c r="E232" t="s">
        <v>1014</v>
      </c>
      <c r="F232" t="s">
        <v>53</v>
      </c>
      <c r="G232" t="s">
        <v>1015</v>
      </c>
      <c r="H232">
        <v>1799</v>
      </c>
      <c r="I232">
        <v>1</v>
      </c>
      <c r="J232">
        <v>1799</v>
      </c>
      <c r="K232" s="2">
        <v>46376</v>
      </c>
      <c r="L232">
        <v>20</v>
      </c>
      <c r="M232" t="s">
        <v>111</v>
      </c>
      <c r="N232" t="s">
        <v>65</v>
      </c>
      <c r="O232" t="s">
        <v>1016</v>
      </c>
      <c r="P232" t="s">
        <v>1017</v>
      </c>
      <c r="Q232" t="s">
        <v>45</v>
      </c>
      <c r="R232" s="1">
        <v>45636</v>
      </c>
      <c r="S232" t="s">
        <v>33</v>
      </c>
      <c r="T232" t="s">
        <v>34</v>
      </c>
      <c r="W232" t="s">
        <v>35</v>
      </c>
    </row>
    <row r="233" spans="1:23" x14ac:dyDescent="0.3">
      <c r="A233" t="s">
        <v>1018</v>
      </c>
      <c r="B233" s="1">
        <v>45628</v>
      </c>
      <c r="C233" t="s">
        <v>1019</v>
      </c>
      <c r="D233" t="s">
        <v>25</v>
      </c>
      <c r="E233" t="s">
        <v>444</v>
      </c>
      <c r="F233" t="s">
        <v>61</v>
      </c>
      <c r="G233" t="s">
        <v>445</v>
      </c>
      <c r="H233">
        <v>3299</v>
      </c>
      <c r="I233">
        <v>1</v>
      </c>
      <c r="J233">
        <v>3299</v>
      </c>
      <c r="L233">
        <v>0</v>
      </c>
      <c r="M233" t="s">
        <v>29</v>
      </c>
      <c r="N233" t="s">
        <v>30</v>
      </c>
      <c r="O233" t="s">
        <v>1020</v>
      </c>
      <c r="P233" t="s">
        <v>1021</v>
      </c>
      <c r="Q233" t="s">
        <v>45</v>
      </c>
      <c r="R233" s="1">
        <v>45637</v>
      </c>
      <c r="S233" t="s">
        <v>33</v>
      </c>
      <c r="T233" t="s">
        <v>46</v>
      </c>
      <c r="U233" t="s">
        <v>104</v>
      </c>
      <c r="V233" s="1">
        <v>45659</v>
      </c>
      <c r="W233" t="s">
        <v>105</v>
      </c>
    </row>
    <row r="234" spans="1:23" x14ac:dyDescent="0.3">
      <c r="A234" t="s">
        <v>1022</v>
      </c>
      <c r="B234" s="1">
        <v>45628</v>
      </c>
      <c r="C234" t="s">
        <v>1023</v>
      </c>
      <c r="D234" t="s">
        <v>38</v>
      </c>
      <c r="E234" t="s">
        <v>1024</v>
      </c>
      <c r="F234" t="s">
        <v>71</v>
      </c>
      <c r="G234" t="s">
        <v>1025</v>
      </c>
      <c r="H234">
        <v>599</v>
      </c>
      <c r="I234">
        <v>2</v>
      </c>
      <c r="J234">
        <v>1198</v>
      </c>
      <c r="K234" s="2">
        <v>46376</v>
      </c>
      <c r="L234">
        <v>20</v>
      </c>
      <c r="M234" t="s">
        <v>55</v>
      </c>
      <c r="N234" t="s">
        <v>44</v>
      </c>
      <c r="O234" t="s">
        <v>1026</v>
      </c>
      <c r="P234" t="s">
        <v>1011</v>
      </c>
      <c r="Q234" t="s">
        <v>45</v>
      </c>
      <c r="R234" s="1">
        <v>45636</v>
      </c>
      <c r="S234" t="s">
        <v>33</v>
      </c>
      <c r="T234" t="s">
        <v>34</v>
      </c>
      <c r="W234" t="s">
        <v>35</v>
      </c>
    </row>
    <row r="235" spans="1:23" x14ac:dyDescent="0.3">
      <c r="A235" t="s">
        <v>1027</v>
      </c>
      <c r="B235" s="1">
        <v>45629</v>
      </c>
      <c r="C235" t="s">
        <v>1028</v>
      </c>
      <c r="D235" t="s">
        <v>25</v>
      </c>
      <c r="E235" t="s">
        <v>1029</v>
      </c>
      <c r="F235" t="s">
        <v>27</v>
      </c>
      <c r="G235" t="s">
        <v>1030</v>
      </c>
      <c r="H235">
        <v>2199</v>
      </c>
      <c r="I235">
        <v>1</v>
      </c>
      <c r="J235">
        <v>2199</v>
      </c>
      <c r="L235">
        <v>0</v>
      </c>
      <c r="M235" t="s">
        <v>64</v>
      </c>
      <c r="N235" t="s">
        <v>65</v>
      </c>
      <c r="O235" t="s">
        <v>1031</v>
      </c>
      <c r="P235" t="s">
        <v>91</v>
      </c>
      <c r="Q235" t="s">
        <v>45</v>
      </c>
      <c r="R235" s="1">
        <v>45638</v>
      </c>
      <c r="S235" t="s">
        <v>33</v>
      </c>
      <c r="T235" t="s">
        <v>46</v>
      </c>
      <c r="U235" t="s">
        <v>47</v>
      </c>
      <c r="V235" s="1">
        <v>45660</v>
      </c>
      <c r="W235" t="s">
        <v>48</v>
      </c>
    </row>
    <row r="236" spans="1:23" x14ac:dyDescent="0.3">
      <c r="A236" t="s">
        <v>1032</v>
      </c>
      <c r="B236" s="1">
        <v>45629</v>
      </c>
      <c r="C236" t="s">
        <v>1033</v>
      </c>
      <c r="D236" t="s">
        <v>25</v>
      </c>
      <c r="E236" t="s">
        <v>1034</v>
      </c>
      <c r="F236" t="s">
        <v>40</v>
      </c>
      <c r="G236" t="s">
        <v>278</v>
      </c>
      <c r="H236">
        <v>2499</v>
      </c>
      <c r="I236">
        <v>1</v>
      </c>
      <c r="J236">
        <v>2499</v>
      </c>
      <c r="K236" s="2">
        <v>46376</v>
      </c>
      <c r="L236">
        <v>20</v>
      </c>
      <c r="M236" t="s">
        <v>43</v>
      </c>
      <c r="N236" t="s">
        <v>30</v>
      </c>
      <c r="O236" t="s">
        <v>1035</v>
      </c>
      <c r="P236" t="s">
        <v>1036</v>
      </c>
      <c r="Q236" t="s">
        <v>45</v>
      </c>
      <c r="R236" s="1">
        <v>45638</v>
      </c>
      <c r="S236" t="s">
        <v>33</v>
      </c>
      <c r="T236" t="s">
        <v>34</v>
      </c>
      <c r="W236" t="s">
        <v>35</v>
      </c>
    </row>
    <row r="237" spans="1:23" x14ac:dyDescent="0.3">
      <c r="A237" t="s">
        <v>1037</v>
      </c>
      <c r="B237" s="1">
        <v>45629</v>
      </c>
      <c r="C237" t="s">
        <v>1038</v>
      </c>
      <c r="D237" t="s">
        <v>25</v>
      </c>
      <c r="E237" t="s">
        <v>1039</v>
      </c>
      <c r="F237" t="s">
        <v>53</v>
      </c>
      <c r="G237" t="s">
        <v>1040</v>
      </c>
      <c r="H237">
        <v>2999</v>
      </c>
      <c r="I237">
        <v>1</v>
      </c>
      <c r="J237">
        <v>2999</v>
      </c>
      <c r="L237">
        <v>0</v>
      </c>
      <c r="M237" t="s">
        <v>29</v>
      </c>
      <c r="N237" t="s">
        <v>44</v>
      </c>
      <c r="O237" t="s">
        <v>1041</v>
      </c>
      <c r="P237" t="s">
        <v>1042</v>
      </c>
      <c r="Q237" t="s">
        <v>45</v>
      </c>
      <c r="R237" s="1">
        <v>45640</v>
      </c>
      <c r="S237" t="s">
        <v>33</v>
      </c>
      <c r="T237" t="s">
        <v>46</v>
      </c>
      <c r="U237" t="s">
        <v>68</v>
      </c>
      <c r="V237" s="1">
        <v>45662</v>
      </c>
      <c r="W237" t="s">
        <v>48</v>
      </c>
    </row>
    <row r="238" spans="1:23" x14ac:dyDescent="0.3">
      <c r="A238" t="s">
        <v>1043</v>
      </c>
      <c r="B238" s="1">
        <v>45629</v>
      </c>
      <c r="C238" t="s">
        <v>1044</v>
      </c>
      <c r="D238" t="s">
        <v>25</v>
      </c>
      <c r="E238" t="s">
        <v>1045</v>
      </c>
      <c r="F238" t="s">
        <v>61</v>
      </c>
      <c r="G238" t="s">
        <v>1046</v>
      </c>
      <c r="H238">
        <v>7999</v>
      </c>
      <c r="I238">
        <v>1</v>
      </c>
      <c r="J238">
        <v>7999</v>
      </c>
      <c r="K238" s="2">
        <v>46376</v>
      </c>
      <c r="L238">
        <v>20</v>
      </c>
      <c r="M238" t="s">
        <v>111</v>
      </c>
      <c r="N238" t="s">
        <v>65</v>
      </c>
      <c r="O238" t="s">
        <v>1047</v>
      </c>
      <c r="P238" t="s">
        <v>1048</v>
      </c>
      <c r="Q238" t="s">
        <v>45</v>
      </c>
      <c r="R238" s="1">
        <v>45640</v>
      </c>
      <c r="S238" t="s">
        <v>33</v>
      </c>
      <c r="T238" t="s">
        <v>34</v>
      </c>
      <c r="W238" t="s">
        <v>35</v>
      </c>
    </row>
    <row r="239" spans="1:23" x14ac:dyDescent="0.3">
      <c r="A239" t="s">
        <v>1049</v>
      </c>
      <c r="B239" s="1">
        <v>45630</v>
      </c>
      <c r="C239" t="s">
        <v>1050</v>
      </c>
      <c r="D239" t="s">
        <v>38</v>
      </c>
      <c r="E239" t="s">
        <v>1051</v>
      </c>
      <c r="F239" t="s">
        <v>27</v>
      </c>
      <c r="G239" t="s">
        <v>1052</v>
      </c>
      <c r="H239">
        <v>1999</v>
      </c>
      <c r="I239">
        <v>1</v>
      </c>
      <c r="J239">
        <v>1999</v>
      </c>
      <c r="L239">
        <v>0</v>
      </c>
      <c r="M239" t="s">
        <v>43</v>
      </c>
      <c r="N239" t="s">
        <v>30</v>
      </c>
      <c r="O239" t="s">
        <v>1053</v>
      </c>
      <c r="P239" t="s">
        <v>67</v>
      </c>
      <c r="Q239" t="s">
        <v>56</v>
      </c>
      <c r="R239" s="1">
        <v>45639</v>
      </c>
      <c r="S239" t="s">
        <v>33</v>
      </c>
      <c r="T239" t="s">
        <v>34</v>
      </c>
      <c r="W239" t="s">
        <v>35</v>
      </c>
    </row>
    <row r="240" spans="1:23" x14ac:dyDescent="0.3">
      <c r="A240" t="s">
        <v>1054</v>
      </c>
      <c r="B240" s="1">
        <v>45630</v>
      </c>
      <c r="C240" t="s">
        <v>1055</v>
      </c>
      <c r="D240" t="s">
        <v>25</v>
      </c>
      <c r="E240" t="s">
        <v>1056</v>
      </c>
      <c r="F240" t="s">
        <v>71</v>
      </c>
      <c r="G240" t="s">
        <v>1057</v>
      </c>
      <c r="H240">
        <v>499</v>
      </c>
      <c r="I240">
        <v>2</v>
      </c>
      <c r="J240">
        <v>998</v>
      </c>
      <c r="K240" s="2">
        <v>46376</v>
      </c>
      <c r="L240">
        <v>20</v>
      </c>
      <c r="M240" t="s">
        <v>55</v>
      </c>
      <c r="N240" t="s">
        <v>44</v>
      </c>
      <c r="O240" t="s">
        <v>1058</v>
      </c>
      <c r="P240" t="s">
        <v>183</v>
      </c>
      <c r="Q240" t="s">
        <v>56</v>
      </c>
      <c r="R240" s="1">
        <v>45639</v>
      </c>
      <c r="S240" t="s">
        <v>33</v>
      </c>
      <c r="T240" t="s">
        <v>34</v>
      </c>
      <c r="W240" t="s">
        <v>35</v>
      </c>
    </row>
    <row r="241" spans="1:23" x14ac:dyDescent="0.3">
      <c r="A241" t="s">
        <v>1059</v>
      </c>
      <c r="B241" s="1">
        <v>45630</v>
      </c>
      <c r="C241" t="s">
        <v>1060</v>
      </c>
      <c r="D241" t="s">
        <v>25</v>
      </c>
      <c r="E241" t="s">
        <v>1061</v>
      </c>
      <c r="F241" t="s">
        <v>40</v>
      </c>
      <c r="G241" t="s">
        <v>1062</v>
      </c>
      <c r="H241">
        <v>4999</v>
      </c>
      <c r="I241">
        <v>1</v>
      </c>
      <c r="J241">
        <v>4999</v>
      </c>
      <c r="L241">
        <v>0</v>
      </c>
      <c r="M241" t="s">
        <v>64</v>
      </c>
      <c r="N241" t="s">
        <v>65</v>
      </c>
      <c r="O241" t="s">
        <v>1063</v>
      </c>
      <c r="P241" t="s">
        <v>1063</v>
      </c>
      <c r="Q241" t="s">
        <v>31</v>
      </c>
      <c r="R241" s="1">
        <v>45640</v>
      </c>
      <c r="S241" t="s">
        <v>33</v>
      </c>
      <c r="T241" t="s">
        <v>46</v>
      </c>
      <c r="U241" t="s">
        <v>47</v>
      </c>
      <c r="V241" s="1">
        <v>45663</v>
      </c>
      <c r="W241" t="s">
        <v>48</v>
      </c>
    </row>
    <row r="242" spans="1:23" x14ac:dyDescent="0.3">
      <c r="A242" t="s">
        <v>1064</v>
      </c>
      <c r="B242" s="1">
        <v>45630</v>
      </c>
      <c r="C242" t="s">
        <v>1065</v>
      </c>
      <c r="D242" t="s">
        <v>25</v>
      </c>
      <c r="E242" t="s">
        <v>1066</v>
      </c>
      <c r="F242" t="s">
        <v>27</v>
      </c>
      <c r="G242" t="s">
        <v>1067</v>
      </c>
      <c r="H242">
        <v>2299</v>
      </c>
      <c r="I242">
        <v>1</v>
      </c>
      <c r="J242">
        <v>2299</v>
      </c>
      <c r="K242" s="2">
        <v>46376</v>
      </c>
      <c r="L242">
        <v>20</v>
      </c>
      <c r="M242" t="s">
        <v>29</v>
      </c>
      <c r="N242" t="s">
        <v>30</v>
      </c>
      <c r="O242" t="s">
        <v>31</v>
      </c>
      <c r="P242" t="s">
        <v>32</v>
      </c>
      <c r="Q242" t="s">
        <v>31</v>
      </c>
      <c r="R242" s="1">
        <v>45639</v>
      </c>
      <c r="S242" t="s">
        <v>33</v>
      </c>
      <c r="T242" t="s">
        <v>34</v>
      </c>
      <c r="W242" t="s">
        <v>35</v>
      </c>
    </row>
    <row r="243" spans="1:23" x14ac:dyDescent="0.3">
      <c r="A243" t="s">
        <v>1068</v>
      </c>
      <c r="B243" s="1">
        <v>45631</v>
      </c>
      <c r="C243" t="s">
        <v>1069</v>
      </c>
      <c r="D243" t="s">
        <v>25</v>
      </c>
      <c r="E243" t="s">
        <v>1070</v>
      </c>
      <c r="F243" t="s">
        <v>53</v>
      </c>
      <c r="G243" t="s">
        <v>781</v>
      </c>
      <c r="H243">
        <v>2599</v>
      </c>
      <c r="I243">
        <v>1</v>
      </c>
      <c r="J243">
        <v>2599</v>
      </c>
      <c r="L243">
        <v>0</v>
      </c>
      <c r="M243" t="s">
        <v>43</v>
      </c>
      <c r="N243" t="s">
        <v>44</v>
      </c>
      <c r="O243" t="s">
        <v>56</v>
      </c>
      <c r="P243" t="s">
        <v>57</v>
      </c>
      <c r="Q243" t="s">
        <v>56</v>
      </c>
      <c r="R243" s="1">
        <v>45641</v>
      </c>
      <c r="S243" t="s">
        <v>33</v>
      </c>
      <c r="T243" t="s">
        <v>46</v>
      </c>
      <c r="U243" t="s">
        <v>79</v>
      </c>
      <c r="V243" s="1">
        <v>45665</v>
      </c>
      <c r="W243" t="s">
        <v>48</v>
      </c>
    </row>
    <row r="244" spans="1:23" x14ac:dyDescent="0.3">
      <c r="A244" t="s">
        <v>1071</v>
      </c>
      <c r="B244" s="1">
        <v>45631</v>
      </c>
      <c r="C244" t="s">
        <v>1072</v>
      </c>
      <c r="D244" t="s">
        <v>38</v>
      </c>
      <c r="E244" t="s">
        <v>1073</v>
      </c>
      <c r="F244" t="s">
        <v>61</v>
      </c>
      <c r="G244" t="s">
        <v>1074</v>
      </c>
      <c r="H244">
        <v>8999</v>
      </c>
      <c r="I244">
        <v>1</v>
      </c>
      <c r="J244">
        <v>8999</v>
      </c>
      <c r="K244" s="2">
        <v>46376</v>
      </c>
      <c r="L244">
        <v>20</v>
      </c>
      <c r="M244" t="s">
        <v>111</v>
      </c>
      <c r="N244" t="s">
        <v>65</v>
      </c>
      <c r="O244" t="s">
        <v>45</v>
      </c>
      <c r="P244" t="s">
        <v>45</v>
      </c>
      <c r="Q244" t="s">
        <v>45</v>
      </c>
      <c r="R244" s="1">
        <v>45643</v>
      </c>
      <c r="S244" t="s">
        <v>33</v>
      </c>
      <c r="T244" t="s">
        <v>46</v>
      </c>
      <c r="U244" t="s">
        <v>47</v>
      </c>
      <c r="V244" s="1">
        <v>45667</v>
      </c>
      <c r="W244" t="s">
        <v>105</v>
      </c>
    </row>
    <row r="245" spans="1:23" x14ac:dyDescent="0.3">
      <c r="A245" t="s">
        <v>1075</v>
      </c>
      <c r="B245" s="1">
        <v>45631</v>
      </c>
      <c r="C245" t="s">
        <v>1076</v>
      </c>
      <c r="D245" t="s">
        <v>25</v>
      </c>
      <c r="E245" t="s">
        <v>369</v>
      </c>
      <c r="F245" t="s">
        <v>71</v>
      </c>
      <c r="G245" t="s">
        <v>1077</v>
      </c>
      <c r="H245">
        <v>1799</v>
      </c>
      <c r="I245">
        <v>1</v>
      </c>
      <c r="J245">
        <v>1799</v>
      </c>
      <c r="L245">
        <v>0</v>
      </c>
      <c r="M245" t="s">
        <v>29</v>
      </c>
      <c r="N245" t="s">
        <v>30</v>
      </c>
      <c r="O245" t="s">
        <v>77</v>
      </c>
      <c r="P245" t="s">
        <v>78</v>
      </c>
      <c r="Q245" t="s">
        <v>56</v>
      </c>
      <c r="R245" s="1">
        <v>45642</v>
      </c>
      <c r="S245" t="s">
        <v>33</v>
      </c>
      <c r="T245" t="s">
        <v>34</v>
      </c>
      <c r="W245" t="s">
        <v>35</v>
      </c>
    </row>
    <row r="246" spans="1:23" x14ac:dyDescent="0.3">
      <c r="A246" t="s">
        <v>1078</v>
      </c>
      <c r="B246" s="1">
        <v>45631</v>
      </c>
      <c r="C246" t="s">
        <v>1079</v>
      </c>
      <c r="D246" t="s">
        <v>25</v>
      </c>
      <c r="E246" t="s">
        <v>1080</v>
      </c>
      <c r="F246" t="s">
        <v>27</v>
      </c>
      <c r="G246" t="s">
        <v>1081</v>
      </c>
      <c r="H246">
        <v>2199</v>
      </c>
      <c r="I246">
        <v>1</v>
      </c>
      <c r="J246">
        <v>2199</v>
      </c>
      <c r="L246">
        <v>0</v>
      </c>
      <c r="M246" t="s">
        <v>64</v>
      </c>
      <c r="N246" t="s">
        <v>44</v>
      </c>
      <c r="O246" t="s">
        <v>66</v>
      </c>
      <c r="P246" t="s">
        <v>67</v>
      </c>
      <c r="Q246" t="s">
        <v>56</v>
      </c>
      <c r="R246" s="1">
        <v>45642</v>
      </c>
      <c r="S246" t="s">
        <v>33</v>
      </c>
      <c r="T246" t="s">
        <v>34</v>
      </c>
      <c r="W246" t="s">
        <v>35</v>
      </c>
    </row>
    <row r="247" spans="1:23" x14ac:dyDescent="0.3">
      <c r="A247" t="s">
        <v>1082</v>
      </c>
      <c r="B247" s="1">
        <v>45632</v>
      </c>
      <c r="C247" t="s">
        <v>1083</v>
      </c>
      <c r="D247" t="s">
        <v>25</v>
      </c>
      <c r="E247" t="s">
        <v>1084</v>
      </c>
      <c r="F247" t="s">
        <v>40</v>
      </c>
      <c r="G247" t="s">
        <v>1085</v>
      </c>
      <c r="H247">
        <v>3799</v>
      </c>
      <c r="I247">
        <v>1</v>
      </c>
      <c r="J247">
        <v>3799</v>
      </c>
      <c r="K247" s="2">
        <v>46376</v>
      </c>
      <c r="L247">
        <v>20</v>
      </c>
      <c r="M247" t="s">
        <v>55</v>
      </c>
      <c r="N247" t="s">
        <v>65</v>
      </c>
      <c r="O247" t="s">
        <v>84</v>
      </c>
      <c r="P247" t="s">
        <v>32</v>
      </c>
      <c r="Q247" t="s">
        <v>31</v>
      </c>
      <c r="R247" s="1">
        <v>45644</v>
      </c>
      <c r="S247" t="s">
        <v>33</v>
      </c>
      <c r="T247" t="s">
        <v>46</v>
      </c>
      <c r="U247" t="s">
        <v>68</v>
      </c>
      <c r="V247" s="1">
        <v>45669</v>
      </c>
      <c r="W247" t="s">
        <v>48</v>
      </c>
    </row>
    <row r="248" spans="1:23" x14ac:dyDescent="0.3">
      <c r="A248" t="s">
        <v>1086</v>
      </c>
      <c r="B248" s="1">
        <v>45632</v>
      </c>
      <c r="C248" t="s">
        <v>1087</v>
      </c>
      <c r="D248" t="s">
        <v>25</v>
      </c>
      <c r="E248" t="s">
        <v>1088</v>
      </c>
      <c r="F248" t="s">
        <v>53</v>
      </c>
      <c r="G248" t="s">
        <v>1089</v>
      </c>
      <c r="H248">
        <v>2899</v>
      </c>
      <c r="I248">
        <v>1</v>
      </c>
      <c r="J248">
        <v>2899</v>
      </c>
      <c r="L248">
        <v>0</v>
      </c>
      <c r="M248" t="s">
        <v>43</v>
      </c>
      <c r="N248" t="s">
        <v>30</v>
      </c>
      <c r="O248" t="s">
        <v>90</v>
      </c>
      <c r="P248" t="s">
        <v>91</v>
      </c>
      <c r="Q248" t="s">
        <v>45</v>
      </c>
      <c r="R248" s="1">
        <v>45644</v>
      </c>
      <c r="S248" t="s">
        <v>33</v>
      </c>
      <c r="T248" t="s">
        <v>34</v>
      </c>
      <c r="W248" t="s">
        <v>35</v>
      </c>
    </row>
    <row r="249" spans="1:23" x14ac:dyDescent="0.3">
      <c r="A249" t="s">
        <v>1090</v>
      </c>
      <c r="B249" s="1">
        <v>45632</v>
      </c>
      <c r="C249" t="s">
        <v>1091</v>
      </c>
      <c r="D249" t="s">
        <v>38</v>
      </c>
      <c r="E249" t="s">
        <v>503</v>
      </c>
      <c r="F249" t="s">
        <v>61</v>
      </c>
      <c r="G249" t="s">
        <v>1092</v>
      </c>
      <c r="H249">
        <v>4599</v>
      </c>
      <c r="I249">
        <v>1</v>
      </c>
      <c r="J249">
        <v>4599</v>
      </c>
      <c r="K249" s="2">
        <v>46376</v>
      </c>
      <c r="L249">
        <v>20</v>
      </c>
      <c r="M249" t="s">
        <v>29</v>
      </c>
      <c r="N249" t="s">
        <v>44</v>
      </c>
      <c r="O249" t="s">
        <v>102</v>
      </c>
      <c r="P249" t="s">
        <v>103</v>
      </c>
      <c r="Q249" t="s">
        <v>45</v>
      </c>
      <c r="R249" s="1">
        <v>45645</v>
      </c>
      <c r="S249" t="s">
        <v>33</v>
      </c>
      <c r="T249" t="s">
        <v>46</v>
      </c>
      <c r="U249" t="s">
        <v>47</v>
      </c>
      <c r="V249" s="1">
        <v>45671</v>
      </c>
      <c r="W249" t="s">
        <v>48</v>
      </c>
    </row>
    <row r="250" spans="1:23" x14ac:dyDescent="0.3">
      <c r="A250" t="s">
        <v>1093</v>
      </c>
      <c r="B250" s="1">
        <v>45632</v>
      </c>
      <c r="C250" t="s">
        <v>1094</v>
      </c>
      <c r="D250" t="s">
        <v>25</v>
      </c>
      <c r="E250" t="s">
        <v>1095</v>
      </c>
      <c r="F250" t="s">
        <v>71</v>
      </c>
      <c r="G250" t="s">
        <v>1096</v>
      </c>
      <c r="H250">
        <v>2499</v>
      </c>
      <c r="I250">
        <v>1</v>
      </c>
      <c r="J250">
        <v>2499</v>
      </c>
      <c r="L250">
        <v>0</v>
      </c>
      <c r="M250" t="s">
        <v>111</v>
      </c>
      <c r="N250" t="s">
        <v>65</v>
      </c>
      <c r="O250" t="s">
        <v>112</v>
      </c>
      <c r="P250" t="s">
        <v>113</v>
      </c>
      <c r="Q250" t="s">
        <v>45</v>
      </c>
      <c r="R250" s="1">
        <v>45645</v>
      </c>
      <c r="S250" t="s">
        <v>33</v>
      </c>
      <c r="T250" t="s">
        <v>34</v>
      </c>
      <c r="W250" t="s">
        <v>35</v>
      </c>
    </row>
    <row r="251" spans="1:23" x14ac:dyDescent="0.3">
      <c r="A251" t="s">
        <v>1097</v>
      </c>
      <c r="B251" s="1">
        <v>45633</v>
      </c>
      <c r="C251" t="s">
        <v>1098</v>
      </c>
      <c r="D251" t="s">
        <v>25</v>
      </c>
      <c r="E251" t="s">
        <v>1099</v>
      </c>
      <c r="F251" t="s">
        <v>27</v>
      </c>
      <c r="G251" t="s">
        <v>1100</v>
      </c>
      <c r="H251">
        <v>1899</v>
      </c>
      <c r="I251">
        <v>1</v>
      </c>
      <c r="J251">
        <v>1899</v>
      </c>
      <c r="L251">
        <v>0</v>
      </c>
      <c r="M251" t="s">
        <v>64</v>
      </c>
      <c r="N251" t="s">
        <v>30</v>
      </c>
      <c r="O251" t="s">
        <v>1063</v>
      </c>
      <c r="P251" t="s">
        <v>1063</v>
      </c>
      <c r="Q251" t="s">
        <v>31</v>
      </c>
      <c r="S251" t="s">
        <v>120</v>
      </c>
      <c r="T251" t="s">
        <v>34</v>
      </c>
      <c r="W251" t="s">
        <v>35</v>
      </c>
    </row>
    <row r="252" spans="1:23" x14ac:dyDescent="0.3">
      <c r="A252" t="s">
        <v>1101</v>
      </c>
      <c r="B252" s="1">
        <v>45633</v>
      </c>
      <c r="C252" t="s">
        <v>1102</v>
      </c>
      <c r="D252" t="s">
        <v>25</v>
      </c>
      <c r="E252" t="s">
        <v>1103</v>
      </c>
      <c r="F252" t="s">
        <v>40</v>
      </c>
      <c r="G252" t="s">
        <v>937</v>
      </c>
      <c r="H252">
        <v>3299</v>
      </c>
      <c r="I252">
        <v>1</v>
      </c>
      <c r="J252">
        <v>3299</v>
      </c>
      <c r="K252" s="2">
        <v>46376</v>
      </c>
      <c r="L252">
        <v>20</v>
      </c>
      <c r="M252" t="s">
        <v>43</v>
      </c>
      <c r="N252" t="s">
        <v>44</v>
      </c>
      <c r="O252" t="s">
        <v>31</v>
      </c>
      <c r="P252" t="s">
        <v>32</v>
      </c>
      <c r="Q252" t="s">
        <v>31</v>
      </c>
      <c r="R252" s="1">
        <v>45646</v>
      </c>
      <c r="S252" t="s">
        <v>33</v>
      </c>
      <c r="T252" t="s">
        <v>34</v>
      </c>
      <c r="W252" t="s">
        <v>35</v>
      </c>
    </row>
    <row r="253" spans="1:23" x14ac:dyDescent="0.3">
      <c r="A253" t="s">
        <v>1104</v>
      </c>
      <c r="B253" s="1">
        <v>45633</v>
      </c>
      <c r="C253" t="s">
        <v>1105</v>
      </c>
      <c r="D253" t="s">
        <v>25</v>
      </c>
      <c r="E253" t="s">
        <v>1106</v>
      </c>
      <c r="F253" t="s">
        <v>53</v>
      </c>
      <c r="G253" t="s">
        <v>941</v>
      </c>
      <c r="H253">
        <v>2199</v>
      </c>
      <c r="I253">
        <v>1</v>
      </c>
      <c r="J253">
        <v>2199</v>
      </c>
      <c r="L253">
        <v>0</v>
      </c>
      <c r="M253" t="s">
        <v>55</v>
      </c>
      <c r="N253" t="s">
        <v>65</v>
      </c>
      <c r="O253" t="s">
        <v>45</v>
      </c>
      <c r="P253" t="s">
        <v>45</v>
      </c>
      <c r="Q253" t="s">
        <v>45</v>
      </c>
      <c r="R253" s="1">
        <v>45647</v>
      </c>
      <c r="S253" t="s">
        <v>33</v>
      </c>
      <c r="T253" t="s">
        <v>46</v>
      </c>
      <c r="U253" t="s">
        <v>138</v>
      </c>
      <c r="V253" s="1">
        <v>45672</v>
      </c>
      <c r="W253" t="s">
        <v>105</v>
      </c>
    </row>
    <row r="254" spans="1:23" x14ac:dyDescent="0.3">
      <c r="A254" t="s">
        <v>1107</v>
      </c>
      <c r="B254" s="1">
        <v>45633</v>
      </c>
      <c r="C254" t="s">
        <v>1108</v>
      </c>
      <c r="D254" t="s">
        <v>38</v>
      </c>
      <c r="E254" t="s">
        <v>1109</v>
      </c>
      <c r="F254" t="s">
        <v>61</v>
      </c>
      <c r="G254" t="s">
        <v>1110</v>
      </c>
      <c r="H254">
        <v>5499</v>
      </c>
      <c r="I254">
        <v>1</v>
      </c>
      <c r="J254">
        <v>5499</v>
      </c>
      <c r="K254" s="2">
        <v>46376</v>
      </c>
      <c r="L254">
        <v>20</v>
      </c>
      <c r="M254" t="s">
        <v>29</v>
      </c>
      <c r="N254" t="s">
        <v>30</v>
      </c>
      <c r="O254" t="s">
        <v>56</v>
      </c>
      <c r="P254" t="s">
        <v>57</v>
      </c>
      <c r="Q254" t="s">
        <v>56</v>
      </c>
      <c r="R254" s="1">
        <v>45647</v>
      </c>
      <c r="S254" t="s">
        <v>33</v>
      </c>
      <c r="T254" t="s">
        <v>34</v>
      </c>
      <c r="W254" t="s">
        <v>35</v>
      </c>
    </row>
    <row r="255" spans="1:23" x14ac:dyDescent="0.3">
      <c r="A255" t="s">
        <v>1111</v>
      </c>
      <c r="B255" s="1">
        <v>45634</v>
      </c>
      <c r="C255" t="s">
        <v>1112</v>
      </c>
      <c r="D255" t="s">
        <v>25</v>
      </c>
      <c r="E255" t="s">
        <v>1113</v>
      </c>
      <c r="F255" t="s">
        <v>71</v>
      </c>
      <c r="G255" t="s">
        <v>1114</v>
      </c>
      <c r="H255">
        <v>999</v>
      </c>
      <c r="I255">
        <v>1</v>
      </c>
      <c r="J255">
        <v>999</v>
      </c>
      <c r="L255">
        <v>0</v>
      </c>
      <c r="M255" t="s">
        <v>111</v>
      </c>
      <c r="N255" t="s">
        <v>44</v>
      </c>
      <c r="O255" t="s">
        <v>96</v>
      </c>
      <c r="P255" t="s">
        <v>97</v>
      </c>
      <c r="Q255" t="s">
        <v>31</v>
      </c>
      <c r="R255" s="1">
        <v>45648</v>
      </c>
      <c r="S255" t="s">
        <v>33</v>
      </c>
      <c r="T255" t="s">
        <v>34</v>
      </c>
      <c r="W255" t="s">
        <v>35</v>
      </c>
    </row>
    <row r="256" spans="1:23" x14ac:dyDescent="0.3">
      <c r="A256" t="s">
        <v>1115</v>
      </c>
      <c r="B256" s="1">
        <v>45634</v>
      </c>
      <c r="C256" t="s">
        <v>1116</v>
      </c>
      <c r="D256" t="s">
        <v>25</v>
      </c>
      <c r="E256" t="s">
        <v>261</v>
      </c>
      <c r="F256" t="s">
        <v>27</v>
      </c>
      <c r="G256" t="s">
        <v>262</v>
      </c>
      <c r="H256">
        <v>1699</v>
      </c>
      <c r="I256">
        <v>2</v>
      </c>
      <c r="J256">
        <v>3398</v>
      </c>
      <c r="L256">
        <v>0</v>
      </c>
      <c r="M256" t="s">
        <v>64</v>
      </c>
      <c r="N256" t="s">
        <v>65</v>
      </c>
      <c r="O256" t="s">
        <v>156</v>
      </c>
      <c r="P256" t="s">
        <v>97</v>
      </c>
      <c r="Q256" t="s">
        <v>31</v>
      </c>
      <c r="R256" s="1">
        <v>45648</v>
      </c>
      <c r="S256" t="s">
        <v>33</v>
      </c>
      <c r="T256" t="s">
        <v>46</v>
      </c>
      <c r="U256" t="s">
        <v>47</v>
      </c>
      <c r="V256" s="1">
        <v>45673</v>
      </c>
      <c r="W256" t="s">
        <v>48</v>
      </c>
    </row>
    <row r="257" spans="1:23" x14ac:dyDescent="0.3">
      <c r="A257" t="s">
        <v>1117</v>
      </c>
      <c r="B257" s="1">
        <v>45634</v>
      </c>
      <c r="C257" t="s">
        <v>1118</v>
      </c>
      <c r="D257" t="s">
        <v>25</v>
      </c>
      <c r="E257" t="s">
        <v>1119</v>
      </c>
      <c r="F257" t="s">
        <v>40</v>
      </c>
      <c r="G257" t="s">
        <v>1120</v>
      </c>
      <c r="H257">
        <v>2799</v>
      </c>
      <c r="I257">
        <v>1</v>
      </c>
      <c r="J257">
        <v>2799</v>
      </c>
      <c r="K257" s="2">
        <v>46376</v>
      </c>
      <c r="L257">
        <v>20</v>
      </c>
      <c r="M257" t="s">
        <v>43</v>
      </c>
      <c r="N257" t="s">
        <v>30</v>
      </c>
      <c r="O257" t="s">
        <v>204</v>
      </c>
      <c r="P257" t="s">
        <v>97</v>
      </c>
      <c r="Q257" t="s">
        <v>31</v>
      </c>
      <c r="R257" s="1">
        <v>45649</v>
      </c>
      <c r="S257" t="s">
        <v>33</v>
      </c>
      <c r="T257" t="s">
        <v>46</v>
      </c>
      <c r="U257" t="s">
        <v>104</v>
      </c>
      <c r="V257" s="1">
        <v>45675</v>
      </c>
      <c r="W257" t="s">
        <v>48</v>
      </c>
    </row>
    <row r="258" spans="1:23" x14ac:dyDescent="0.3">
      <c r="A258" t="s">
        <v>1121</v>
      </c>
      <c r="B258" s="1">
        <v>45634</v>
      </c>
      <c r="C258" t="s">
        <v>1122</v>
      </c>
      <c r="D258" t="s">
        <v>25</v>
      </c>
      <c r="E258" t="s">
        <v>1123</v>
      </c>
      <c r="F258" t="s">
        <v>53</v>
      </c>
      <c r="G258" t="s">
        <v>314</v>
      </c>
      <c r="H258">
        <v>2299</v>
      </c>
      <c r="I258">
        <v>1</v>
      </c>
      <c r="J258">
        <v>2299</v>
      </c>
      <c r="L258">
        <v>0</v>
      </c>
      <c r="M258" t="s">
        <v>29</v>
      </c>
      <c r="N258" t="s">
        <v>44</v>
      </c>
      <c r="O258" t="s">
        <v>209</v>
      </c>
      <c r="P258" t="s">
        <v>97</v>
      </c>
      <c r="Q258" t="s">
        <v>31</v>
      </c>
      <c r="R258" s="1">
        <v>45649</v>
      </c>
      <c r="S258" t="s">
        <v>33</v>
      </c>
      <c r="T258" t="s">
        <v>34</v>
      </c>
      <c r="W258" t="s">
        <v>35</v>
      </c>
    </row>
    <row r="259" spans="1:23" x14ac:dyDescent="0.3">
      <c r="A259" t="s">
        <v>1124</v>
      </c>
      <c r="B259" s="1">
        <v>45635</v>
      </c>
      <c r="C259" t="s">
        <v>1125</v>
      </c>
      <c r="D259" t="s">
        <v>38</v>
      </c>
      <c r="E259" t="s">
        <v>1126</v>
      </c>
      <c r="F259" t="s">
        <v>61</v>
      </c>
      <c r="G259" t="s">
        <v>1127</v>
      </c>
      <c r="H259">
        <v>5999</v>
      </c>
      <c r="I259">
        <v>1</v>
      </c>
      <c r="J259">
        <v>5999</v>
      </c>
      <c r="L259">
        <v>0</v>
      </c>
      <c r="M259" t="s">
        <v>55</v>
      </c>
      <c r="N259" t="s">
        <v>65</v>
      </c>
      <c r="O259" t="s">
        <v>214</v>
      </c>
      <c r="P259" t="s">
        <v>113</v>
      </c>
      <c r="Q259" t="s">
        <v>45</v>
      </c>
      <c r="R259" s="1">
        <v>45650</v>
      </c>
      <c r="S259" t="s">
        <v>33</v>
      </c>
      <c r="T259" t="s">
        <v>46</v>
      </c>
      <c r="U259" t="s">
        <v>79</v>
      </c>
      <c r="V259" s="1">
        <v>45677</v>
      </c>
      <c r="W259" t="s">
        <v>48</v>
      </c>
    </row>
    <row r="260" spans="1:23" x14ac:dyDescent="0.3">
      <c r="A260" t="s">
        <v>1128</v>
      </c>
      <c r="B260" s="1">
        <v>45635</v>
      </c>
      <c r="C260" t="s">
        <v>1129</v>
      </c>
      <c r="D260" t="s">
        <v>25</v>
      </c>
      <c r="E260" t="s">
        <v>1130</v>
      </c>
      <c r="F260" t="s">
        <v>71</v>
      </c>
      <c r="G260" t="s">
        <v>1131</v>
      </c>
      <c r="H260">
        <v>899</v>
      </c>
      <c r="I260">
        <v>2</v>
      </c>
      <c r="J260">
        <v>1798</v>
      </c>
      <c r="K260" s="2">
        <v>46376</v>
      </c>
      <c r="L260">
        <v>20</v>
      </c>
      <c r="M260" t="s">
        <v>111</v>
      </c>
      <c r="N260" t="s">
        <v>30</v>
      </c>
      <c r="O260" t="s">
        <v>31</v>
      </c>
      <c r="P260" t="s">
        <v>32</v>
      </c>
      <c r="Q260" t="s">
        <v>31</v>
      </c>
      <c r="R260" s="1">
        <v>45649</v>
      </c>
      <c r="S260" t="s">
        <v>33</v>
      </c>
      <c r="T260" t="s">
        <v>34</v>
      </c>
      <c r="W260" t="s">
        <v>35</v>
      </c>
    </row>
    <row r="261" spans="1:23" x14ac:dyDescent="0.3">
      <c r="A261" t="s">
        <v>1132</v>
      </c>
      <c r="B261" s="1">
        <v>45635</v>
      </c>
      <c r="C261" t="s">
        <v>1133</v>
      </c>
      <c r="D261" t="s">
        <v>25</v>
      </c>
      <c r="E261" t="s">
        <v>1134</v>
      </c>
      <c r="F261" t="s">
        <v>27</v>
      </c>
      <c r="G261" t="s">
        <v>1135</v>
      </c>
      <c r="H261">
        <v>2099</v>
      </c>
      <c r="I261">
        <v>1</v>
      </c>
      <c r="J261">
        <v>2099</v>
      </c>
      <c r="L261">
        <v>0</v>
      </c>
      <c r="M261" t="s">
        <v>64</v>
      </c>
      <c r="N261" t="s">
        <v>44</v>
      </c>
      <c r="O261" t="s">
        <v>45</v>
      </c>
      <c r="P261" t="s">
        <v>45</v>
      </c>
      <c r="Q261" t="s">
        <v>45</v>
      </c>
      <c r="R261" s="1">
        <v>45650</v>
      </c>
      <c r="S261" t="s">
        <v>33</v>
      </c>
      <c r="T261" t="s">
        <v>46</v>
      </c>
      <c r="U261" t="s">
        <v>68</v>
      </c>
      <c r="V261" s="1">
        <v>45676</v>
      </c>
      <c r="W261" t="s">
        <v>48</v>
      </c>
    </row>
    <row r="262" spans="1:23" x14ac:dyDescent="0.3">
      <c r="A262" t="s">
        <v>1136</v>
      </c>
      <c r="B262" s="1">
        <v>45636</v>
      </c>
      <c r="C262" t="s">
        <v>1137</v>
      </c>
      <c r="D262" t="s">
        <v>25</v>
      </c>
      <c r="E262" t="s">
        <v>1138</v>
      </c>
      <c r="F262" t="s">
        <v>40</v>
      </c>
      <c r="G262" t="s">
        <v>1139</v>
      </c>
      <c r="H262">
        <v>3999</v>
      </c>
      <c r="I262">
        <v>1</v>
      </c>
      <c r="J262">
        <v>3999</v>
      </c>
      <c r="L262">
        <v>0</v>
      </c>
      <c r="M262" t="s">
        <v>43</v>
      </c>
      <c r="N262" t="s">
        <v>65</v>
      </c>
      <c r="O262" t="s">
        <v>118</v>
      </c>
      <c r="P262" t="s">
        <v>119</v>
      </c>
      <c r="Q262" t="s">
        <v>45</v>
      </c>
      <c r="R262" s="1">
        <v>45651</v>
      </c>
      <c r="S262" t="s">
        <v>33</v>
      </c>
      <c r="T262" t="s">
        <v>46</v>
      </c>
      <c r="U262" t="s">
        <v>47</v>
      </c>
      <c r="V262" s="1">
        <v>45679</v>
      </c>
      <c r="W262" t="s">
        <v>48</v>
      </c>
    </row>
    <row r="263" spans="1:23" x14ac:dyDescent="0.3">
      <c r="A263" t="s">
        <v>1140</v>
      </c>
      <c r="B263" s="1">
        <v>45636</v>
      </c>
      <c r="C263" t="s">
        <v>1141</v>
      </c>
      <c r="D263" t="s">
        <v>25</v>
      </c>
      <c r="E263" t="s">
        <v>1142</v>
      </c>
      <c r="F263" t="s">
        <v>53</v>
      </c>
      <c r="G263" t="s">
        <v>1143</v>
      </c>
      <c r="H263">
        <v>2499</v>
      </c>
      <c r="I263">
        <v>1</v>
      </c>
      <c r="J263">
        <v>2499</v>
      </c>
      <c r="K263" s="2">
        <v>46376</v>
      </c>
      <c r="L263">
        <v>20</v>
      </c>
      <c r="M263" t="s">
        <v>29</v>
      </c>
      <c r="N263" t="s">
        <v>30</v>
      </c>
      <c r="O263" t="s">
        <v>137</v>
      </c>
      <c r="P263" t="s">
        <v>113</v>
      </c>
      <c r="Q263" t="s">
        <v>45</v>
      </c>
      <c r="R263" s="1">
        <v>45651</v>
      </c>
      <c r="S263" t="s">
        <v>33</v>
      </c>
      <c r="T263" t="s">
        <v>34</v>
      </c>
      <c r="W263" t="s">
        <v>35</v>
      </c>
    </row>
    <row r="264" spans="1:23" x14ac:dyDescent="0.3">
      <c r="A264" t="s">
        <v>1144</v>
      </c>
      <c r="B264" s="1">
        <v>45636</v>
      </c>
      <c r="C264" t="s">
        <v>1145</v>
      </c>
      <c r="D264" t="s">
        <v>38</v>
      </c>
      <c r="E264" t="s">
        <v>1146</v>
      </c>
      <c r="F264" t="s">
        <v>61</v>
      </c>
      <c r="G264" t="s">
        <v>1147</v>
      </c>
      <c r="H264">
        <v>4899</v>
      </c>
      <c r="I264">
        <v>1</v>
      </c>
      <c r="J264">
        <v>4899</v>
      </c>
      <c r="L264">
        <v>0</v>
      </c>
      <c r="M264" t="s">
        <v>55</v>
      </c>
      <c r="N264" t="s">
        <v>44</v>
      </c>
      <c r="O264" t="s">
        <v>143</v>
      </c>
      <c r="P264" t="s">
        <v>144</v>
      </c>
      <c r="Q264" t="s">
        <v>45</v>
      </c>
      <c r="R264" s="1">
        <v>45652</v>
      </c>
      <c r="S264" t="s">
        <v>33</v>
      </c>
      <c r="T264" t="s">
        <v>46</v>
      </c>
      <c r="U264" t="s">
        <v>104</v>
      </c>
      <c r="V264" s="1">
        <v>45680</v>
      </c>
      <c r="W264" t="s">
        <v>48</v>
      </c>
    </row>
    <row r="265" spans="1:23" x14ac:dyDescent="0.3">
      <c r="A265" t="s">
        <v>1148</v>
      </c>
      <c r="B265" s="1">
        <v>45636</v>
      </c>
      <c r="C265" t="s">
        <v>1149</v>
      </c>
      <c r="D265" t="s">
        <v>25</v>
      </c>
      <c r="E265" t="s">
        <v>1150</v>
      </c>
      <c r="F265" t="s">
        <v>71</v>
      </c>
      <c r="G265" t="s">
        <v>1151</v>
      </c>
      <c r="H265">
        <v>1199</v>
      </c>
      <c r="I265">
        <v>1</v>
      </c>
      <c r="J265">
        <v>1199</v>
      </c>
      <c r="L265">
        <v>0</v>
      </c>
      <c r="M265" t="s">
        <v>111</v>
      </c>
      <c r="N265" t="s">
        <v>65</v>
      </c>
      <c r="O265" t="s">
        <v>150</v>
      </c>
      <c r="P265" t="s">
        <v>151</v>
      </c>
      <c r="Q265" t="s">
        <v>31</v>
      </c>
      <c r="R265" s="1">
        <v>45651</v>
      </c>
      <c r="S265" t="s">
        <v>33</v>
      </c>
      <c r="T265" t="s">
        <v>34</v>
      </c>
      <c r="W265" t="s">
        <v>35</v>
      </c>
    </row>
    <row r="266" spans="1:23" x14ac:dyDescent="0.3">
      <c r="A266" t="s">
        <v>1152</v>
      </c>
      <c r="B266" s="1">
        <v>45636</v>
      </c>
      <c r="C266" t="s">
        <v>1153</v>
      </c>
      <c r="D266" t="s">
        <v>25</v>
      </c>
      <c r="E266" t="s">
        <v>1154</v>
      </c>
      <c r="F266" t="s">
        <v>27</v>
      </c>
      <c r="G266" t="s">
        <v>1155</v>
      </c>
      <c r="H266">
        <v>1899</v>
      </c>
      <c r="I266">
        <v>1</v>
      </c>
      <c r="J266">
        <v>1899</v>
      </c>
      <c r="K266" s="2">
        <v>46376</v>
      </c>
      <c r="L266">
        <v>20</v>
      </c>
      <c r="M266" t="s">
        <v>64</v>
      </c>
      <c r="N266" t="s">
        <v>30</v>
      </c>
      <c r="O266" t="s">
        <v>156</v>
      </c>
      <c r="P266" t="s">
        <v>97</v>
      </c>
      <c r="Q266" t="s">
        <v>31</v>
      </c>
      <c r="R266" s="1">
        <v>45652</v>
      </c>
      <c r="S266" t="s">
        <v>33</v>
      </c>
      <c r="T266" t="s">
        <v>46</v>
      </c>
      <c r="U266" t="s">
        <v>138</v>
      </c>
      <c r="V266" s="1">
        <v>45678</v>
      </c>
      <c r="W266" t="s">
        <v>48</v>
      </c>
    </row>
    <row r="267" spans="1:23" x14ac:dyDescent="0.3">
      <c r="A267" t="s">
        <v>1156</v>
      </c>
      <c r="B267" s="1">
        <v>45637</v>
      </c>
      <c r="C267" t="s">
        <v>1157</v>
      </c>
      <c r="D267" t="s">
        <v>25</v>
      </c>
      <c r="E267" t="s">
        <v>1158</v>
      </c>
      <c r="F267" t="s">
        <v>40</v>
      </c>
      <c r="G267" t="s">
        <v>1159</v>
      </c>
      <c r="H267">
        <v>3599</v>
      </c>
      <c r="I267">
        <v>1</v>
      </c>
      <c r="J267">
        <v>3599</v>
      </c>
      <c r="L267">
        <v>0</v>
      </c>
      <c r="M267" t="s">
        <v>43</v>
      </c>
      <c r="N267" t="s">
        <v>44</v>
      </c>
      <c r="O267" t="s">
        <v>161</v>
      </c>
      <c r="P267" t="s">
        <v>162</v>
      </c>
      <c r="Q267" t="s">
        <v>45</v>
      </c>
      <c r="R267" s="1">
        <v>45653</v>
      </c>
      <c r="S267" t="s">
        <v>33</v>
      </c>
      <c r="T267" t="s">
        <v>34</v>
      </c>
      <c r="W267" t="s">
        <v>35</v>
      </c>
    </row>
    <row r="268" spans="1:23" x14ac:dyDescent="0.3">
      <c r="A268" t="s">
        <v>1160</v>
      </c>
      <c r="B268" s="1">
        <v>45637</v>
      </c>
      <c r="C268" t="s">
        <v>1161</v>
      </c>
      <c r="D268" t="s">
        <v>25</v>
      </c>
      <c r="E268" t="s">
        <v>1162</v>
      </c>
      <c r="F268" t="s">
        <v>53</v>
      </c>
      <c r="G268" t="s">
        <v>1163</v>
      </c>
      <c r="H268">
        <v>2699</v>
      </c>
      <c r="I268">
        <v>1</v>
      </c>
      <c r="J268">
        <v>2699</v>
      </c>
      <c r="L268">
        <v>0</v>
      </c>
      <c r="M268" t="s">
        <v>29</v>
      </c>
      <c r="N268" t="s">
        <v>65</v>
      </c>
      <c r="O268" t="s">
        <v>167</v>
      </c>
      <c r="P268" t="s">
        <v>151</v>
      </c>
      <c r="Q268" t="s">
        <v>31</v>
      </c>
      <c r="R268" s="1">
        <v>45653</v>
      </c>
      <c r="S268" t="s">
        <v>33</v>
      </c>
      <c r="T268" t="s">
        <v>46</v>
      </c>
      <c r="U268" t="s">
        <v>47</v>
      </c>
      <c r="V268" s="1">
        <v>45681</v>
      </c>
      <c r="W268" t="s">
        <v>48</v>
      </c>
    </row>
    <row r="269" spans="1:23" x14ac:dyDescent="0.3">
      <c r="A269" t="s">
        <v>1164</v>
      </c>
      <c r="B269" s="1">
        <v>45637</v>
      </c>
      <c r="C269" t="s">
        <v>1165</v>
      </c>
      <c r="D269" t="s">
        <v>38</v>
      </c>
      <c r="E269" t="s">
        <v>1166</v>
      </c>
      <c r="F269" t="s">
        <v>61</v>
      </c>
      <c r="G269" t="s">
        <v>1167</v>
      </c>
      <c r="H269">
        <v>5599</v>
      </c>
      <c r="I269">
        <v>1</v>
      </c>
      <c r="J269">
        <v>5599</v>
      </c>
      <c r="K269" s="2">
        <v>46376</v>
      </c>
      <c r="L269">
        <v>20</v>
      </c>
      <c r="M269" t="s">
        <v>55</v>
      </c>
      <c r="N269" t="s">
        <v>30</v>
      </c>
      <c r="O269" t="s">
        <v>172</v>
      </c>
      <c r="P269" t="s">
        <v>32</v>
      </c>
      <c r="Q269" t="s">
        <v>31</v>
      </c>
      <c r="R269" s="1">
        <v>45654</v>
      </c>
      <c r="S269" t="s">
        <v>33</v>
      </c>
      <c r="T269" t="s">
        <v>46</v>
      </c>
      <c r="U269" t="s">
        <v>79</v>
      </c>
      <c r="V269" s="1">
        <v>45682</v>
      </c>
      <c r="W269" t="s">
        <v>48</v>
      </c>
    </row>
    <row r="270" spans="1:23" x14ac:dyDescent="0.3">
      <c r="A270" t="s">
        <v>1168</v>
      </c>
      <c r="B270" s="1">
        <v>45637</v>
      </c>
      <c r="C270" t="s">
        <v>1169</v>
      </c>
      <c r="D270" t="s">
        <v>25</v>
      </c>
      <c r="E270" t="s">
        <v>1170</v>
      </c>
      <c r="F270" t="s">
        <v>71</v>
      </c>
      <c r="G270" t="s">
        <v>1171</v>
      </c>
      <c r="H270">
        <v>399</v>
      </c>
      <c r="I270">
        <v>3</v>
      </c>
      <c r="J270">
        <v>1197</v>
      </c>
      <c r="L270">
        <v>0</v>
      </c>
      <c r="M270" t="s">
        <v>111</v>
      </c>
      <c r="N270" t="s">
        <v>44</v>
      </c>
      <c r="O270" t="s">
        <v>177</v>
      </c>
      <c r="P270" t="s">
        <v>67</v>
      </c>
      <c r="Q270" t="s">
        <v>56</v>
      </c>
      <c r="R270" s="1">
        <v>45653</v>
      </c>
      <c r="S270" t="s">
        <v>33</v>
      </c>
      <c r="T270" t="s">
        <v>34</v>
      </c>
      <c r="W270" t="s">
        <v>35</v>
      </c>
    </row>
    <row r="271" spans="1:23" x14ac:dyDescent="0.3">
      <c r="A271" t="s">
        <v>1172</v>
      </c>
      <c r="B271" s="1">
        <v>45638</v>
      </c>
      <c r="C271" t="s">
        <v>1173</v>
      </c>
      <c r="D271" t="s">
        <v>25</v>
      </c>
      <c r="E271" t="s">
        <v>1174</v>
      </c>
      <c r="F271" t="s">
        <v>27</v>
      </c>
      <c r="G271" t="s">
        <v>1175</v>
      </c>
      <c r="H271">
        <v>2199</v>
      </c>
      <c r="I271">
        <v>1</v>
      </c>
      <c r="J271">
        <v>2199</v>
      </c>
      <c r="L271">
        <v>0</v>
      </c>
      <c r="M271" t="s">
        <v>64</v>
      </c>
      <c r="N271" t="s">
        <v>65</v>
      </c>
      <c r="O271" t="s">
        <v>182</v>
      </c>
      <c r="P271" t="s">
        <v>183</v>
      </c>
      <c r="Q271" t="s">
        <v>56</v>
      </c>
      <c r="R271" s="1">
        <v>45654</v>
      </c>
      <c r="S271" t="s">
        <v>33</v>
      </c>
      <c r="T271" t="s">
        <v>46</v>
      </c>
      <c r="U271" t="s">
        <v>68</v>
      </c>
      <c r="V271" s="1">
        <v>45680</v>
      </c>
      <c r="W271" t="s">
        <v>48</v>
      </c>
    </row>
    <row r="272" spans="1:23" x14ac:dyDescent="0.3">
      <c r="A272" t="s">
        <v>1176</v>
      </c>
      <c r="B272" s="1">
        <v>45638</v>
      </c>
      <c r="C272" t="s">
        <v>1177</v>
      </c>
      <c r="D272" t="s">
        <v>25</v>
      </c>
      <c r="E272" t="s">
        <v>1178</v>
      </c>
      <c r="F272" t="s">
        <v>40</v>
      </c>
      <c r="G272" t="s">
        <v>1179</v>
      </c>
      <c r="H272">
        <v>4299</v>
      </c>
      <c r="I272">
        <v>1</v>
      </c>
      <c r="J272">
        <v>4299</v>
      </c>
      <c r="K272" s="2">
        <v>46376</v>
      </c>
      <c r="L272">
        <v>20</v>
      </c>
      <c r="M272" t="s">
        <v>43</v>
      </c>
      <c r="N272" t="s">
        <v>30</v>
      </c>
      <c r="O272" t="s">
        <v>188</v>
      </c>
      <c r="P272" t="s">
        <v>189</v>
      </c>
      <c r="Q272" t="s">
        <v>56</v>
      </c>
      <c r="R272" s="1">
        <v>45655</v>
      </c>
      <c r="S272" t="s">
        <v>33</v>
      </c>
      <c r="T272" t="s">
        <v>34</v>
      </c>
      <c r="W272" t="s">
        <v>35</v>
      </c>
    </row>
    <row r="273" spans="1:23" x14ac:dyDescent="0.3">
      <c r="A273" t="s">
        <v>1180</v>
      </c>
      <c r="B273" s="1">
        <v>45638</v>
      </c>
      <c r="C273" t="s">
        <v>1181</v>
      </c>
      <c r="D273" t="s">
        <v>25</v>
      </c>
      <c r="E273" t="s">
        <v>1182</v>
      </c>
      <c r="F273" t="s">
        <v>53</v>
      </c>
      <c r="G273" t="s">
        <v>1183</v>
      </c>
      <c r="H273">
        <v>2399</v>
      </c>
      <c r="I273">
        <v>1</v>
      </c>
      <c r="J273">
        <v>2399</v>
      </c>
      <c r="L273">
        <v>0</v>
      </c>
      <c r="M273" t="s">
        <v>29</v>
      </c>
      <c r="N273" t="s">
        <v>44</v>
      </c>
      <c r="O273" t="s">
        <v>194</v>
      </c>
      <c r="P273" t="s">
        <v>183</v>
      </c>
      <c r="Q273" t="s">
        <v>56</v>
      </c>
      <c r="R273" s="1">
        <v>45655</v>
      </c>
      <c r="S273" t="s">
        <v>33</v>
      </c>
      <c r="T273" t="s">
        <v>46</v>
      </c>
      <c r="U273" t="s">
        <v>104</v>
      </c>
      <c r="V273" s="1">
        <v>45683</v>
      </c>
      <c r="W273" t="s">
        <v>48</v>
      </c>
    </row>
    <row r="274" spans="1:23" x14ac:dyDescent="0.3">
      <c r="A274" t="s">
        <v>1184</v>
      </c>
      <c r="B274" s="1">
        <v>45638</v>
      </c>
      <c r="C274" t="s">
        <v>1185</v>
      </c>
      <c r="D274" t="s">
        <v>38</v>
      </c>
      <c r="E274" t="s">
        <v>1186</v>
      </c>
      <c r="F274" t="s">
        <v>61</v>
      </c>
      <c r="G274" t="s">
        <v>1187</v>
      </c>
      <c r="H274">
        <v>6299</v>
      </c>
      <c r="I274">
        <v>1</v>
      </c>
      <c r="J274">
        <v>6299</v>
      </c>
      <c r="L274">
        <v>0</v>
      </c>
      <c r="M274" t="s">
        <v>55</v>
      </c>
      <c r="N274" t="s">
        <v>65</v>
      </c>
      <c r="O274" t="s">
        <v>199</v>
      </c>
      <c r="P274" t="s">
        <v>57</v>
      </c>
      <c r="Q274" t="s">
        <v>56</v>
      </c>
      <c r="S274" t="s">
        <v>120</v>
      </c>
      <c r="T274" t="s">
        <v>34</v>
      </c>
      <c r="W274" t="s">
        <v>35</v>
      </c>
    </row>
    <row r="275" spans="1:23" x14ac:dyDescent="0.3">
      <c r="A275" t="s">
        <v>1188</v>
      </c>
      <c r="B275" s="1">
        <v>45639</v>
      </c>
      <c r="C275" t="s">
        <v>1189</v>
      </c>
      <c r="D275" t="s">
        <v>25</v>
      </c>
      <c r="E275" t="s">
        <v>1190</v>
      </c>
      <c r="F275" t="s">
        <v>71</v>
      </c>
      <c r="G275" t="s">
        <v>1191</v>
      </c>
      <c r="H275">
        <v>599</v>
      </c>
      <c r="I275">
        <v>2</v>
      </c>
      <c r="J275">
        <v>1198</v>
      </c>
      <c r="K275" s="2">
        <v>46376</v>
      </c>
      <c r="L275">
        <v>20</v>
      </c>
      <c r="M275" t="s">
        <v>111</v>
      </c>
      <c r="N275" t="s">
        <v>30</v>
      </c>
      <c r="O275" t="s">
        <v>204</v>
      </c>
      <c r="P275" t="s">
        <v>97</v>
      </c>
      <c r="Q275" t="s">
        <v>31</v>
      </c>
      <c r="R275" s="1">
        <v>45655</v>
      </c>
      <c r="S275" t="s">
        <v>33</v>
      </c>
      <c r="T275" t="s">
        <v>34</v>
      </c>
      <c r="W275" t="s">
        <v>35</v>
      </c>
    </row>
    <row r="276" spans="1:23" x14ac:dyDescent="0.3">
      <c r="A276" t="s">
        <v>1192</v>
      </c>
      <c r="B276" s="1">
        <v>45639</v>
      </c>
      <c r="C276" t="s">
        <v>1193</v>
      </c>
      <c r="D276" t="s">
        <v>25</v>
      </c>
      <c r="E276" t="s">
        <v>1194</v>
      </c>
      <c r="F276" t="s">
        <v>27</v>
      </c>
      <c r="G276" t="s">
        <v>1195</v>
      </c>
      <c r="H276">
        <v>2399</v>
      </c>
      <c r="I276">
        <v>1</v>
      </c>
      <c r="J276">
        <v>2399</v>
      </c>
      <c r="L276">
        <v>0</v>
      </c>
      <c r="M276" t="s">
        <v>64</v>
      </c>
      <c r="N276" t="s">
        <v>44</v>
      </c>
      <c r="O276" t="s">
        <v>209</v>
      </c>
      <c r="P276" t="s">
        <v>97</v>
      </c>
      <c r="Q276" t="s">
        <v>31</v>
      </c>
      <c r="R276" s="1">
        <v>45656</v>
      </c>
      <c r="S276" t="s">
        <v>33</v>
      </c>
      <c r="T276" t="s">
        <v>46</v>
      </c>
      <c r="U276" t="s">
        <v>47</v>
      </c>
      <c r="V276" s="1">
        <v>45684</v>
      </c>
      <c r="W276" t="s">
        <v>48</v>
      </c>
    </row>
    <row r="277" spans="1:23" x14ac:dyDescent="0.3">
      <c r="A277" t="s">
        <v>1196</v>
      </c>
      <c r="B277" s="1">
        <v>45639</v>
      </c>
      <c r="C277" t="s">
        <v>1197</v>
      </c>
      <c r="D277" t="s">
        <v>25</v>
      </c>
      <c r="E277" t="s">
        <v>1198</v>
      </c>
      <c r="F277" t="s">
        <v>40</v>
      </c>
      <c r="G277" t="s">
        <v>1199</v>
      </c>
      <c r="H277">
        <v>5999</v>
      </c>
      <c r="I277">
        <v>1</v>
      </c>
      <c r="J277">
        <v>5999</v>
      </c>
      <c r="L277">
        <v>0</v>
      </c>
      <c r="M277" t="s">
        <v>43</v>
      </c>
      <c r="N277" t="s">
        <v>65</v>
      </c>
      <c r="O277" t="s">
        <v>214</v>
      </c>
      <c r="P277" t="s">
        <v>113</v>
      </c>
      <c r="Q277" t="s">
        <v>45</v>
      </c>
      <c r="R277" s="1">
        <v>45657</v>
      </c>
      <c r="S277" t="s">
        <v>33</v>
      </c>
      <c r="T277" t="s">
        <v>46</v>
      </c>
      <c r="U277" t="s">
        <v>138</v>
      </c>
      <c r="V277" s="1">
        <v>45685</v>
      </c>
      <c r="W277" t="s">
        <v>48</v>
      </c>
    </row>
    <row r="278" spans="1:23" x14ac:dyDescent="0.3">
      <c r="A278" t="s">
        <v>1200</v>
      </c>
      <c r="B278" s="1">
        <v>45639</v>
      </c>
      <c r="C278" t="s">
        <v>1201</v>
      </c>
      <c r="D278" t="s">
        <v>25</v>
      </c>
      <c r="E278" t="s">
        <v>1202</v>
      </c>
      <c r="F278" t="s">
        <v>53</v>
      </c>
      <c r="G278" t="s">
        <v>1203</v>
      </c>
      <c r="H278">
        <v>1899</v>
      </c>
      <c r="I278">
        <v>1</v>
      </c>
      <c r="J278">
        <v>1899</v>
      </c>
      <c r="K278" s="2">
        <v>46376</v>
      </c>
      <c r="L278">
        <v>20</v>
      </c>
      <c r="M278" t="s">
        <v>29</v>
      </c>
      <c r="N278" t="s">
        <v>30</v>
      </c>
      <c r="O278" t="s">
        <v>31</v>
      </c>
      <c r="P278" t="s">
        <v>32</v>
      </c>
      <c r="Q278" t="s">
        <v>31</v>
      </c>
      <c r="R278" s="1">
        <v>45656</v>
      </c>
      <c r="S278" t="s">
        <v>33</v>
      </c>
      <c r="T278" t="s">
        <v>34</v>
      </c>
      <c r="W278" t="s">
        <v>35</v>
      </c>
    </row>
    <row r="279" spans="1:23" x14ac:dyDescent="0.3">
      <c r="A279" t="s">
        <v>1204</v>
      </c>
      <c r="B279" s="1">
        <v>45640</v>
      </c>
      <c r="C279" t="s">
        <v>1205</v>
      </c>
      <c r="D279" t="s">
        <v>38</v>
      </c>
      <c r="E279" t="s">
        <v>1206</v>
      </c>
      <c r="F279" t="s">
        <v>61</v>
      </c>
      <c r="G279" t="s">
        <v>1207</v>
      </c>
      <c r="H279">
        <v>4999</v>
      </c>
      <c r="I279">
        <v>1</v>
      </c>
      <c r="J279">
        <v>4999</v>
      </c>
      <c r="L279">
        <v>0</v>
      </c>
      <c r="M279" t="s">
        <v>55</v>
      </c>
      <c r="N279" t="s">
        <v>44</v>
      </c>
      <c r="O279" t="s">
        <v>45</v>
      </c>
      <c r="P279" t="s">
        <v>45</v>
      </c>
      <c r="Q279" t="s">
        <v>45</v>
      </c>
      <c r="R279" s="1">
        <v>45657</v>
      </c>
      <c r="S279" t="s">
        <v>33</v>
      </c>
      <c r="T279" t="s">
        <v>46</v>
      </c>
      <c r="U279" t="s">
        <v>79</v>
      </c>
      <c r="V279" s="1">
        <v>45686</v>
      </c>
      <c r="W279" t="s">
        <v>48</v>
      </c>
    </row>
    <row r="280" spans="1:23" x14ac:dyDescent="0.3">
      <c r="A280" t="s">
        <v>1208</v>
      </c>
      <c r="B280" s="1">
        <v>45640</v>
      </c>
      <c r="C280" t="s">
        <v>1209</v>
      </c>
      <c r="D280" t="s">
        <v>25</v>
      </c>
      <c r="E280" t="s">
        <v>1210</v>
      </c>
      <c r="F280" t="s">
        <v>71</v>
      </c>
      <c r="G280" t="s">
        <v>1211</v>
      </c>
      <c r="H280">
        <v>1699</v>
      </c>
      <c r="I280">
        <v>1</v>
      </c>
      <c r="J280">
        <v>1699</v>
      </c>
      <c r="L280">
        <v>0</v>
      </c>
      <c r="M280" t="s">
        <v>111</v>
      </c>
      <c r="N280" t="s">
        <v>65</v>
      </c>
      <c r="O280" t="s">
        <v>90</v>
      </c>
      <c r="P280" t="s">
        <v>91</v>
      </c>
      <c r="Q280" t="s">
        <v>45</v>
      </c>
      <c r="R280" s="1">
        <v>45656</v>
      </c>
      <c r="S280" t="s">
        <v>33</v>
      </c>
      <c r="T280" t="s">
        <v>46</v>
      </c>
      <c r="U280" t="s">
        <v>68</v>
      </c>
      <c r="V280" s="1">
        <v>45683</v>
      </c>
      <c r="W280" t="s">
        <v>48</v>
      </c>
    </row>
    <row r="281" spans="1:23" x14ac:dyDescent="0.3">
      <c r="A281" t="s">
        <v>1212</v>
      </c>
      <c r="B281" s="1">
        <v>45640</v>
      </c>
      <c r="C281" t="s">
        <v>1213</v>
      </c>
      <c r="D281" t="s">
        <v>25</v>
      </c>
      <c r="E281" t="s">
        <v>1214</v>
      </c>
      <c r="F281" t="s">
        <v>27</v>
      </c>
      <c r="G281" t="s">
        <v>1215</v>
      </c>
      <c r="H281">
        <v>2099</v>
      </c>
      <c r="I281">
        <v>1</v>
      </c>
      <c r="J281">
        <v>2099</v>
      </c>
      <c r="K281" s="2">
        <v>46376</v>
      </c>
      <c r="L281">
        <v>20</v>
      </c>
      <c r="M281" t="s">
        <v>64</v>
      </c>
      <c r="N281" t="s">
        <v>30</v>
      </c>
      <c r="O281" t="s">
        <v>66</v>
      </c>
      <c r="P281" t="s">
        <v>67</v>
      </c>
      <c r="Q281" t="s">
        <v>56</v>
      </c>
      <c r="R281" s="1">
        <v>45657</v>
      </c>
      <c r="S281" t="s">
        <v>33</v>
      </c>
      <c r="T281" t="s">
        <v>34</v>
      </c>
      <c r="W281" t="s">
        <v>35</v>
      </c>
    </row>
    <row r="282" spans="1:23" x14ac:dyDescent="0.3">
      <c r="A282" t="s">
        <v>1216</v>
      </c>
      <c r="B282" s="1">
        <v>45640</v>
      </c>
      <c r="C282" t="s">
        <v>1217</v>
      </c>
      <c r="D282" t="s">
        <v>25</v>
      </c>
      <c r="E282" t="s">
        <v>217</v>
      </c>
      <c r="F282" t="s">
        <v>40</v>
      </c>
      <c r="G282" t="s">
        <v>1218</v>
      </c>
      <c r="H282">
        <v>4599</v>
      </c>
      <c r="I282">
        <v>1</v>
      </c>
      <c r="J282">
        <v>4599</v>
      </c>
      <c r="L282">
        <v>0</v>
      </c>
      <c r="M282" t="s">
        <v>43</v>
      </c>
      <c r="N282" t="s">
        <v>44</v>
      </c>
      <c r="O282" t="s">
        <v>77</v>
      </c>
      <c r="P282" t="s">
        <v>78</v>
      </c>
      <c r="Q282" t="s">
        <v>56</v>
      </c>
      <c r="R282" s="1">
        <v>45659</v>
      </c>
      <c r="S282" t="s">
        <v>33</v>
      </c>
      <c r="T282" t="s">
        <v>46</v>
      </c>
      <c r="U282" t="s">
        <v>47</v>
      </c>
      <c r="V282" s="1">
        <v>45687</v>
      </c>
      <c r="W282" t="s">
        <v>48</v>
      </c>
    </row>
    <row r="283" spans="1:23" x14ac:dyDescent="0.3">
      <c r="A283" t="s">
        <v>1219</v>
      </c>
      <c r="B283" s="1">
        <v>45641</v>
      </c>
      <c r="C283" t="s">
        <v>1220</v>
      </c>
      <c r="D283" t="s">
        <v>25</v>
      </c>
      <c r="E283" t="s">
        <v>1221</v>
      </c>
      <c r="F283" t="s">
        <v>53</v>
      </c>
      <c r="G283" t="s">
        <v>1222</v>
      </c>
      <c r="H283">
        <v>2299</v>
      </c>
      <c r="I283">
        <v>1</v>
      </c>
      <c r="J283">
        <v>2299</v>
      </c>
      <c r="L283">
        <v>0</v>
      </c>
      <c r="M283" t="s">
        <v>29</v>
      </c>
      <c r="N283" t="s">
        <v>65</v>
      </c>
      <c r="O283" t="s">
        <v>84</v>
      </c>
      <c r="P283" t="s">
        <v>32</v>
      </c>
      <c r="Q283" t="s">
        <v>31</v>
      </c>
      <c r="R283" s="1">
        <v>45659</v>
      </c>
      <c r="S283" t="s">
        <v>33</v>
      </c>
      <c r="T283" t="s">
        <v>34</v>
      </c>
      <c r="W283" t="s">
        <v>35</v>
      </c>
    </row>
    <row r="284" spans="1:23" x14ac:dyDescent="0.3">
      <c r="A284" t="s">
        <v>1223</v>
      </c>
      <c r="B284" s="1">
        <v>45641</v>
      </c>
      <c r="C284" t="s">
        <v>1224</v>
      </c>
      <c r="D284" t="s">
        <v>38</v>
      </c>
      <c r="E284" t="s">
        <v>1225</v>
      </c>
      <c r="F284" t="s">
        <v>61</v>
      </c>
      <c r="G284" t="s">
        <v>1226</v>
      </c>
      <c r="H284">
        <v>5799</v>
      </c>
      <c r="I284">
        <v>1</v>
      </c>
      <c r="J284">
        <v>5799</v>
      </c>
      <c r="K284" s="2">
        <v>46376</v>
      </c>
      <c r="L284">
        <v>20</v>
      </c>
      <c r="M284" t="s">
        <v>55</v>
      </c>
      <c r="N284" t="s">
        <v>30</v>
      </c>
      <c r="O284" t="s">
        <v>96</v>
      </c>
      <c r="P284" t="s">
        <v>97</v>
      </c>
      <c r="Q284" t="s">
        <v>31</v>
      </c>
      <c r="R284" s="1">
        <v>45660</v>
      </c>
      <c r="S284" t="s">
        <v>33</v>
      </c>
      <c r="T284" t="s">
        <v>46</v>
      </c>
      <c r="U284" t="s">
        <v>104</v>
      </c>
      <c r="V284" s="1">
        <v>45688</v>
      </c>
      <c r="W284" t="s">
        <v>48</v>
      </c>
    </row>
    <row r="285" spans="1:23" x14ac:dyDescent="0.3">
      <c r="A285" t="s">
        <v>1227</v>
      </c>
      <c r="B285" s="1">
        <v>45641</v>
      </c>
      <c r="C285" t="s">
        <v>1228</v>
      </c>
      <c r="D285" t="s">
        <v>25</v>
      </c>
      <c r="E285" t="s">
        <v>1229</v>
      </c>
      <c r="F285" t="s">
        <v>71</v>
      </c>
      <c r="G285" t="s">
        <v>1230</v>
      </c>
      <c r="H285">
        <v>799</v>
      </c>
      <c r="I285">
        <v>2</v>
      </c>
      <c r="J285">
        <v>1598</v>
      </c>
      <c r="L285">
        <v>0</v>
      </c>
      <c r="M285" t="s">
        <v>111</v>
      </c>
      <c r="N285" t="s">
        <v>44</v>
      </c>
      <c r="O285" t="s">
        <v>102</v>
      </c>
      <c r="P285" t="s">
        <v>103</v>
      </c>
      <c r="Q285" t="s">
        <v>45</v>
      </c>
      <c r="R285" s="1">
        <v>45659</v>
      </c>
      <c r="S285" t="s">
        <v>33</v>
      </c>
      <c r="T285" t="s">
        <v>34</v>
      </c>
      <c r="W285" t="s">
        <v>35</v>
      </c>
    </row>
    <row r="286" spans="1:23" x14ac:dyDescent="0.3">
      <c r="A286" t="s">
        <v>1231</v>
      </c>
      <c r="B286" s="1">
        <v>45641</v>
      </c>
      <c r="C286" t="s">
        <v>1232</v>
      </c>
      <c r="D286" t="s">
        <v>25</v>
      </c>
      <c r="E286" t="s">
        <v>1233</v>
      </c>
      <c r="F286" t="s">
        <v>27</v>
      </c>
      <c r="G286" t="s">
        <v>1234</v>
      </c>
      <c r="H286">
        <v>1999</v>
      </c>
      <c r="I286">
        <v>1</v>
      </c>
      <c r="J286">
        <v>1999</v>
      </c>
      <c r="L286">
        <v>0</v>
      </c>
      <c r="M286" t="s">
        <v>64</v>
      </c>
      <c r="N286" t="s">
        <v>65</v>
      </c>
      <c r="O286" t="s">
        <v>112</v>
      </c>
      <c r="P286" t="s">
        <v>113</v>
      </c>
      <c r="Q286" t="s">
        <v>45</v>
      </c>
      <c r="R286" s="1">
        <v>45660</v>
      </c>
      <c r="S286" t="s">
        <v>33</v>
      </c>
      <c r="T286" t="s">
        <v>46</v>
      </c>
      <c r="U286" t="s">
        <v>138</v>
      </c>
      <c r="V286" s="1">
        <v>45687</v>
      </c>
      <c r="W286" t="s">
        <v>48</v>
      </c>
    </row>
    <row r="287" spans="1:23" x14ac:dyDescent="0.3">
      <c r="A287" t="s">
        <v>1235</v>
      </c>
      <c r="B287" s="1">
        <v>45642</v>
      </c>
      <c r="C287" t="s">
        <v>1236</v>
      </c>
      <c r="D287" t="s">
        <v>25</v>
      </c>
      <c r="E287" t="s">
        <v>1237</v>
      </c>
      <c r="F287" t="s">
        <v>40</v>
      </c>
      <c r="G287" t="s">
        <v>1238</v>
      </c>
      <c r="H287">
        <v>3899</v>
      </c>
      <c r="I287">
        <v>1</v>
      </c>
      <c r="J287">
        <v>3899</v>
      </c>
      <c r="K287" s="2">
        <v>46376</v>
      </c>
      <c r="L287">
        <v>20</v>
      </c>
      <c r="M287" t="s">
        <v>43</v>
      </c>
      <c r="N287" t="s">
        <v>30</v>
      </c>
      <c r="O287" t="s">
        <v>56</v>
      </c>
      <c r="P287" t="s">
        <v>57</v>
      </c>
      <c r="Q287" t="s">
        <v>56</v>
      </c>
      <c r="R287" s="1">
        <v>45661</v>
      </c>
      <c r="S287" t="s">
        <v>33</v>
      </c>
      <c r="T287" t="s">
        <v>46</v>
      </c>
      <c r="U287" t="s">
        <v>47</v>
      </c>
      <c r="V287" s="1">
        <v>45689</v>
      </c>
      <c r="W287" t="s">
        <v>48</v>
      </c>
    </row>
    <row r="288" spans="1:23" x14ac:dyDescent="0.3">
      <c r="A288" t="s">
        <v>1239</v>
      </c>
      <c r="B288" s="1">
        <v>45642</v>
      </c>
      <c r="C288" t="s">
        <v>1240</v>
      </c>
      <c r="D288" t="s">
        <v>25</v>
      </c>
      <c r="E288" t="s">
        <v>1241</v>
      </c>
      <c r="F288" t="s">
        <v>53</v>
      </c>
      <c r="G288" t="s">
        <v>1242</v>
      </c>
      <c r="H288">
        <v>2599</v>
      </c>
      <c r="I288">
        <v>1</v>
      </c>
      <c r="J288">
        <v>2599</v>
      </c>
      <c r="L288">
        <v>0</v>
      </c>
      <c r="M288" t="s">
        <v>29</v>
      </c>
      <c r="N288" t="s">
        <v>44</v>
      </c>
      <c r="O288" t="s">
        <v>31</v>
      </c>
      <c r="P288" t="s">
        <v>32</v>
      </c>
      <c r="Q288" t="s">
        <v>31</v>
      </c>
      <c r="R288" s="1">
        <v>45661</v>
      </c>
      <c r="S288" t="s">
        <v>33</v>
      </c>
      <c r="T288" t="s">
        <v>34</v>
      </c>
      <c r="W288" t="s">
        <v>35</v>
      </c>
    </row>
    <row r="289" spans="1:23" x14ac:dyDescent="0.3">
      <c r="A289" t="s">
        <v>1243</v>
      </c>
      <c r="B289" s="1">
        <v>45642</v>
      </c>
      <c r="C289" t="s">
        <v>1244</v>
      </c>
      <c r="D289" t="s">
        <v>25</v>
      </c>
      <c r="E289" t="s">
        <v>1245</v>
      </c>
      <c r="F289" t="s">
        <v>61</v>
      </c>
      <c r="G289" t="s">
        <v>1246</v>
      </c>
      <c r="H289">
        <v>5299</v>
      </c>
      <c r="I289">
        <v>1</v>
      </c>
      <c r="J289">
        <v>5299</v>
      </c>
      <c r="L289">
        <v>0</v>
      </c>
      <c r="M289" t="s">
        <v>55</v>
      </c>
      <c r="N289" t="s">
        <v>65</v>
      </c>
      <c r="O289" t="s">
        <v>45</v>
      </c>
      <c r="P289" t="s">
        <v>45</v>
      </c>
      <c r="Q289" t="s">
        <v>45</v>
      </c>
      <c r="R289" s="1">
        <v>45662</v>
      </c>
      <c r="S289" t="s">
        <v>33</v>
      </c>
      <c r="T289" t="s">
        <v>46</v>
      </c>
      <c r="U289" t="s">
        <v>79</v>
      </c>
      <c r="V289" s="1">
        <v>45690</v>
      </c>
      <c r="W289" t="s">
        <v>48</v>
      </c>
    </row>
    <row r="290" spans="1:23" x14ac:dyDescent="0.3">
      <c r="A290" t="s">
        <v>1247</v>
      </c>
      <c r="B290" s="1">
        <v>45642</v>
      </c>
      <c r="C290" t="s">
        <v>1248</v>
      </c>
      <c r="D290" t="s">
        <v>38</v>
      </c>
      <c r="E290" t="s">
        <v>1249</v>
      </c>
      <c r="F290" t="s">
        <v>71</v>
      </c>
      <c r="G290" t="s">
        <v>1250</v>
      </c>
      <c r="H290">
        <v>1399</v>
      </c>
      <c r="I290">
        <v>1</v>
      </c>
      <c r="J290">
        <v>1399</v>
      </c>
      <c r="K290" s="2">
        <v>46376</v>
      </c>
      <c r="L290">
        <v>20</v>
      </c>
      <c r="M290" t="s">
        <v>111</v>
      </c>
      <c r="N290" t="s">
        <v>30</v>
      </c>
      <c r="O290" t="s">
        <v>118</v>
      </c>
      <c r="P290" t="s">
        <v>119</v>
      </c>
      <c r="Q290" t="s">
        <v>45</v>
      </c>
      <c r="R290" s="1">
        <v>45661</v>
      </c>
      <c r="S290" t="s">
        <v>33</v>
      </c>
      <c r="T290" t="s">
        <v>34</v>
      </c>
      <c r="W290" t="s">
        <v>35</v>
      </c>
    </row>
    <row r="291" spans="1:23" x14ac:dyDescent="0.3">
      <c r="A291" t="s">
        <v>1251</v>
      </c>
      <c r="B291" s="1">
        <v>45643</v>
      </c>
      <c r="C291" t="s">
        <v>1252</v>
      </c>
      <c r="D291" t="s">
        <v>25</v>
      </c>
      <c r="E291" t="s">
        <v>1253</v>
      </c>
      <c r="F291" t="s">
        <v>27</v>
      </c>
      <c r="G291" t="s">
        <v>1254</v>
      </c>
      <c r="H291">
        <v>1799</v>
      </c>
      <c r="I291">
        <v>1</v>
      </c>
      <c r="J291">
        <v>1799</v>
      </c>
      <c r="L291">
        <v>0</v>
      </c>
      <c r="M291" t="s">
        <v>64</v>
      </c>
      <c r="N291" t="s">
        <v>44</v>
      </c>
      <c r="O291" t="s">
        <v>137</v>
      </c>
      <c r="P291" t="s">
        <v>113</v>
      </c>
      <c r="Q291" t="s">
        <v>45</v>
      </c>
      <c r="R291" s="1">
        <v>45662</v>
      </c>
      <c r="S291" t="s">
        <v>33</v>
      </c>
      <c r="T291" t="s">
        <v>46</v>
      </c>
      <c r="U291" t="s">
        <v>68</v>
      </c>
      <c r="V291" s="1">
        <v>45689</v>
      </c>
      <c r="W291" t="s">
        <v>48</v>
      </c>
    </row>
    <row r="292" spans="1:23" x14ac:dyDescent="0.3">
      <c r="A292" t="s">
        <v>1255</v>
      </c>
      <c r="B292" s="1">
        <v>45643</v>
      </c>
      <c r="C292" t="s">
        <v>1256</v>
      </c>
      <c r="D292" t="s">
        <v>25</v>
      </c>
      <c r="E292" t="s">
        <v>1257</v>
      </c>
      <c r="F292" t="s">
        <v>40</v>
      </c>
      <c r="G292" t="s">
        <v>1258</v>
      </c>
      <c r="H292">
        <v>4199</v>
      </c>
      <c r="I292">
        <v>1</v>
      </c>
      <c r="J292">
        <v>4199</v>
      </c>
      <c r="L292">
        <v>0</v>
      </c>
      <c r="M292" t="s">
        <v>43</v>
      </c>
      <c r="N292" t="s">
        <v>65</v>
      </c>
      <c r="O292" t="s">
        <v>143</v>
      </c>
      <c r="P292" t="s">
        <v>144</v>
      </c>
      <c r="Q292" t="s">
        <v>45</v>
      </c>
      <c r="R292" s="1">
        <v>45663</v>
      </c>
      <c r="S292" t="s">
        <v>33</v>
      </c>
      <c r="T292" t="s">
        <v>46</v>
      </c>
      <c r="U292" t="s">
        <v>47</v>
      </c>
      <c r="V292" s="1">
        <v>45691</v>
      </c>
      <c r="W292" t="s">
        <v>48</v>
      </c>
    </row>
    <row r="293" spans="1:23" x14ac:dyDescent="0.3">
      <c r="A293" t="s">
        <v>1259</v>
      </c>
      <c r="B293" s="1">
        <v>45643</v>
      </c>
      <c r="C293" t="s">
        <v>1260</v>
      </c>
      <c r="D293" t="s">
        <v>25</v>
      </c>
      <c r="E293" t="s">
        <v>1261</v>
      </c>
      <c r="F293" t="s">
        <v>53</v>
      </c>
      <c r="G293" t="s">
        <v>1262</v>
      </c>
      <c r="H293">
        <v>2799</v>
      </c>
      <c r="I293">
        <v>1</v>
      </c>
      <c r="J293">
        <v>2799</v>
      </c>
      <c r="K293" s="2">
        <v>46376</v>
      </c>
      <c r="L293">
        <v>20</v>
      </c>
      <c r="M293" t="s">
        <v>29</v>
      </c>
      <c r="N293" t="s">
        <v>30</v>
      </c>
      <c r="O293" t="s">
        <v>150</v>
      </c>
      <c r="P293" t="s">
        <v>151</v>
      </c>
      <c r="Q293" t="s">
        <v>31</v>
      </c>
      <c r="R293" s="1">
        <v>45663</v>
      </c>
      <c r="S293" t="s">
        <v>33</v>
      </c>
      <c r="T293" t="s">
        <v>34</v>
      </c>
      <c r="W293" t="s">
        <v>35</v>
      </c>
    </row>
    <row r="294" spans="1:23" x14ac:dyDescent="0.3">
      <c r="A294" t="s">
        <v>1263</v>
      </c>
      <c r="B294" s="1">
        <v>45643</v>
      </c>
      <c r="C294" t="s">
        <v>1264</v>
      </c>
      <c r="D294" t="s">
        <v>25</v>
      </c>
      <c r="E294" t="s">
        <v>1265</v>
      </c>
      <c r="F294" t="s">
        <v>61</v>
      </c>
      <c r="G294" t="s">
        <v>1266</v>
      </c>
      <c r="H294">
        <v>5499</v>
      </c>
      <c r="I294">
        <v>1</v>
      </c>
      <c r="J294">
        <v>5499</v>
      </c>
      <c r="L294">
        <v>0</v>
      </c>
      <c r="M294" t="s">
        <v>55</v>
      </c>
      <c r="N294" t="s">
        <v>44</v>
      </c>
      <c r="O294" t="s">
        <v>156</v>
      </c>
      <c r="P294" t="s">
        <v>97</v>
      </c>
      <c r="Q294" t="s">
        <v>31</v>
      </c>
      <c r="R294" s="1">
        <v>45664</v>
      </c>
      <c r="S294" t="s">
        <v>33</v>
      </c>
      <c r="T294" t="s">
        <v>46</v>
      </c>
      <c r="U294" t="s">
        <v>104</v>
      </c>
      <c r="V294" s="1">
        <v>45692</v>
      </c>
      <c r="W294" t="s">
        <v>48</v>
      </c>
    </row>
    <row r="295" spans="1:23" x14ac:dyDescent="0.3">
      <c r="A295" t="s">
        <v>1267</v>
      </c>
      <c r="B295" s="1">
        <v>45644</v>
      </c>
      <c r="C295" t="s">
        <v>1268</v>
      </c>
      <c r="D295" t="s">
        <v>38</v>
      </c>
      <c r="E295" t="s">
        <v>1269</v>
      </c>
      <c r="F295" t="s">
        <v>71</v>
      </c>
      <c r="G295" t="s">
        <v>1270</v>
      </c>
      <c r="H295">
        <v>699</v>
      </c>
      <c r="I295">
        <v>2</v>
      </c>
      <c r="J295">
        <v>1398</v>
      </c>
      <c r="L295">
        <v>0</v>
      </c>
      <c r="M295" t="s">
        <v>111</v>
      </c>
      <c r="N295" t="s">
        <v>65</v>
      </c>
      <c r="O295" t="s">
        <v>161</v>
      </c>
      <c r="P295" t="s">
        <v>162</v>
      </c>
      <c r="Q295" t="s">
        <v>45</v>
      </c>
      <c r="R295" s="1">
        <v>45663</v>
      </c>
      <c r="S295" t="s">
        <v>33</v>
      </c>
      <c r="T295" t="s">
        <v>34</v>
      </c>
      <c r="W295" t="s">
        <v>35</v>
      </c>
    </row>
    <row r="296" spans="1:23" x14ac:dyDescent="0.3">
      <c r="A296" t="s">
        <v>1271</v>
      </c>
      <c r="B296" s="1">
        <v>45644</v>
      </c>
      <c r="C296" t="s">
        <v>1272</v>
      </c>
      <c r="D296" t="s">
        <v>25</v>
      </c>
      <c r="E296" t="s">
        <v>1273</v>
      </c>
      <c r="F296" t="s">
        <v>27</v>
      </c>
      <c r="G296" t="s">
        <v>1274</v>
      </c>
      <c r="H296">
        <v>2299</v>
      </c>
      <c r="I296">
        <v>1</v>
      </c>
      <c r="J296">
        <v>2299</v>
      </c>
      <c r="K296" s="2">
        <v>46376</v>
      </c>
      <c r="L296">
        <v>20</v>
      </c>
      <c r="M296" t="s">
        <v>64</v>
      </c>
      <c r="N296" t="s">
        <v>30</v>
      </c>
      <c r="O296" t="s">
        <v>167</v>
      </c>
      <c r="P296" t="s">
        <v>151</v>
      </c>
      <c r="Q296" t="s">
        <v>31</v>
      </c>
      <c r="R296" s="1">
        <v>45664</v>
      </c>
      <c r="S296" t="s">
        <v>33</v>
      </c>
      <c r="T296" t="s">
        <v>46</v>
      </c>
      <c r="U296" t="s">
        <v>138</v>
      </c>
      <c r="V296" s="1">
        <v>45691</v>
      </c>
      <c r="W296" t="s">
        <v>48</v>
      </c>
    </row>
    <row r="297" spans="1:23" x14ac:dyDescent="0.3">
      <c r="A297" t="s">
        <v>1275</v>
      </c>
      <c r="B297" s="1">
        <v>45644</v>
      </c>
      <c r="C297" t="s">
        <v>1276</v>
      </c>
      <c r="D297" t="s">
        <v>25</v>
      </c>
      <c r="E297" t="s">
        <v>1277</v>
      </c>
      <c r="F297" t="s">
        <v>40</v>
      </c>
      <c r="G297" t="s">
        <v>1278</v>
      </c>
      <c r="H297">
        <v>3599</v>
      </c>
      <c r="I297">
        <v>1</v>
      </c>
      <c r="J297">
        <v>3599</v>
      </c>
      <c r="L297">
        <v>0</v>
      </c>
      <c r="M297" t="s">
        <v>43</v>
      </c>
      <c r="N297" t="s">
        <v>44</v>
      </c>
      <c r="O297" t="s">
        <v>172</v>
      </c>
      <c r="P297" t="s">
        <v>32</v>
      </c>
      <c r="Q297" t="s">
        <v>31</v>
      </c>
      <c r="R297" s="1">
        <v>45665</v>
      </c>
      <c r="S297" t="s">
        <v>33</v>
      </c>
      <c r="T297" t="s">
        <v>34</v>
      </c>
      <c r="W297" t="s">
        <v>35</v>
      </c>
    </row>
    <row r="298" spans="1:23" x14ac:dyDescent="0.3">
      <c r="A298" t="s">
        <v>1279</v>
      </c>
      <c r="B298" s="1">
        <v>45644</v>
      </c>
      <c r="C298" t="s">
        <v>1280</v>
      </c>
      <c r="D298" t="s">
        <v>25</v>
      </c>
      <c r="E298" t="s">
        <v>1281</v>
      </c>
      <c r="F298" t="s">
        <v>53</v>
      </c>
      <c r="G298" t="s">
        <v>1282</v>
      </c>
      <c r="H298">
        <v>2499</v>
      </c>
      <c r="I298">
        <v>1</v>
      </c>
      <c r="J298">
        <v>2499</v>
      </c>
      <c r="L298">
        <v>0</v>
      </c>
      <c r="M298" t="s">
        <v>29</v>
      </c>
      <c r="N298" t="s">
        <v>65</v>
      </c>
      <c r="O298" t="s">
        <v>177</v>
      </c>
      <c r="P298" t="s">
        <v>67</v>
      </c>
      <c r="Q298" t="s">
        <v>56</v>
      </c>
      <c r="R298" s="1">
        <v>45665</v>
      </c>
      <c r="S298" t="s">
        <v>33</v>
      </c>
      <c r="T298" t="s">
        <v>46</v>
      </c>
      <c r="U298" t="s">
        <v>47</v>
      </c>
      <c r="V298" s="1">
        <v>45693</v>
      </c>
      <c r="W298" t="s">
        <v>48</v>
      </c>
    </row>
    <row r="299" spans="1:23" x14ac:dyDescent="0.3">
      <c r="A299" t="s">
        <v>1283</v>
      </c>
      <c r="B299" s="1">
        <v>45645</v>
      </c>
      <c r="C299" t="s">
        <v>1284</v>
      </c>
      <c r="D299" t="s">
        <v>25</v>
      </c>
      <c r="E299" t="s">
        <v>1285</v>
      </c>
      <c r="F299" t="s">
        <v>61</v>
      </c>
      <c r="G299" t="s">
        <v>1286</v>
      </c>
      <c r="H299">
        <v>6799</v>
      </c>
      <c r="I299">
        <v>1</v>
      </c>
      <c r="J299">
        <v>6799</v>
      </c>
      <c r="K299" s="2">
        <v>46376</v>
      </c>
      <c r="L299">
        <v>20</v>
      </c>
      <c r="M299" t="s">
        <v>55</v>
      </c>
      <c r="N299" t="s">
        <v>30</v>
      </c>
      <c r="O299" t="s">
        <v>182</v>
      </c>
      <c r="P299" t="s">
        <v>183</v>
      </c>
      <c r="Q299" t="s">
        <v>56</v>
      </c>
      <c r="R299" s="1">
        <v>45666</v>
      </c>
      <c r="S299" t="s">
        <v>33</v>
      </c>
      <c r="T299" t="s">
        <v>46</v>
      </c>
      <c r="U299" t="s">
        <v>79</v>
      </c>
      <c r="V299" s="1">
        <v>45694</v>
      </c>
      <c r="W299" t="s">
        <v>48</v>
      </c>
    </row>
    <row r="300" spans="1:23" x14ac:dyDescent="0.3">
      <c r="A300" t="s">
        <v>1287</v>
      </c>
      <c r="B300" s="1">
        <v>45645</v>
      </c>
      <c r="C300" t="s">
        <v>1288</v>
      </c>
      <c r="D300" t="s">
        <v>38</v>
      </c>
      <c r="E300" t="s">
        <v>1289</v>
      </c>
      <c r="F300" t="s">
        <v>71</v>
      </c>
      <c r="G300" t="s">
        <v>1290</v>
      </c>
      <c r="H300">
        <v>599</v>
      </c>
      <c r="I300">
        <v>3</v>
      </c>
      <c r="J300">
        <v>1797</v>
      </c>
      <c r="L300">
        <v>0</v>
      </c>
      <c r="M300" t="s">
        <v>111</v>
      </c>
      <c r="N300" t="s">
        <v>44</v>
      </c>
      <c r="O300" t="s">
        <v>188</v>
      </c>
      <c r="P300" t="s">
        <v>189</v>
      </c>
      <c r="Q300" t="s">
        <v>56</v>
      </c>
      <c r="R300" s="1">
        <v>45665</v>
      </c>
      <c r="S300" t="s">
        <v>33</v>
      </c>
      <c r="T300" t="s">
        <v>34</v>
      </c>
      <c r="W300" t="s">
        <v>35</v>
      </c>
    </row>
    <row r="301" spans="1:23" x14ac:dyDescent="0.3">
      <c r="A301" t="s">
        <v>1291</v>
      </c>
      <c r="B301" s="1">
        <v>45645</v>
      </c>
      <c r="C301" t="s">
        <v>1292</v>
      </c>
      <c r="D301" t="s">
        <v>25</v>
      </c>
      <c r="E301" t="s">
        <v>1293</v>
      </c>
      <c r="F301" t="s">
        <v>27</v>
      </c>
      <c r="G301" t="s">
        <v>1294</v>
      </c>
      <c r="H301">
        <v>1899</v>
      </c>
      <c r="I301">
        <v>1</v>
      </c>
      <c r="J301">
        <v>1899</v>
      </c>
      <c r="L301">
        <v>0</v>
      </c>
      <c r="M301" t="s">
        <v>64</v>
      </c>
      <c r="N301" t="s">
        <v>65</v>
      </c>
      <c r="O301" t="s">
        <v>194</v>
      </c>
      <c r="P301" t="s">
        <v>183</v>
      </c>
      <c r="Q301" t="s">
        <v>56</v>
      </c>
      <c r="R301" s="1">
        <v>45666</v>
      </c>
      <c r="S301" t="s">
        <v>33</v>
      </c>
      <c r="T301" t="s">
        <v>46</v>
      </c>
      <c r="U301" t="s">
        <v>68</v>
      </c>
      <c r="V301" s="1">
        <v>45693</v>
      </c>
      <c r="W301" t="s">
        <v>48</v>
      </c>
    </row>
    <row r="302" spans="1:23" x14ac:dyDescent="0.3">
      <c r="A302" t="s">
        <v>1295</v>
      </c>
      <c r="B302" s="1">
        <v>45645</v>
      </c>
      <c r="C302" t="s">
        <v>1296</v>
      </c>
      <c r="D302" t="s">
        <v>25</v>
      </c>
      <c r="E302" t="s">
        <v>1297</v>
      </c>
      <c r="F302" t="s">
        <v>40</v>
      </c>
      <c r="G302" t="s">
        <v>1298</v>
      </c>
      <c r="H302">
        <v>4499</v>
      </c>
      <c r="I302">
        <v>1</v>
      </c>
      <c r="J302">
        <v>4499</v>
      </c>
      <c r="K302" s="2">
        <v>46376</v>
      </c>
      <c r="L302">
        <v>20</v>
      </c>
      <c r="M302" t="s">
        <v>43</v>
      </c>
      <c r="N302" t="s">
        <v>30</v>
      </c>
      <c r="O302" t="s">
        <v>199</v>
      </c>
      <c r="P302" t="s">
        <v>57</v>
      </c>
      <c r="Q302" t="s">
        <v>56</v>
      </c>
      <c r="R302" s="1">
        <v>45667</v>
      </c>
      <c r="S302" t="s">
        <v>33</v>
      </c>
      <c r="T302" t="s">
        <v>46</v>
      </c>
      <c r="U302" t="s">
        <v>47</v>
      </c>
      <c r="V302" s="1">
        <v>45695</v>
      </c>
      <c r="W302" t="s">
        <v>48</v>
      </c>
    </row>
    <row r="303" spans="1:23" x14ac:dyDescent="0.3">
      <c r="A303" t="s">
        <v>1299</v>
      </c>
      <c r="B303" s="1">
        <v>45646</v>
      </c>
      <c r="C303" t="s">
        <v>1300</v>
      </c>
      <c r="D303" t="s">
        <v>25</v>
      </c>
      <c r="E303" t="s">
        <v>1301</v>
      </c>
      <c r="F303" t="s">
        <v>53</v>
      </c>
      <c r="G303" t="s">
        <v>1302</v>
      </c>
      <c r="H303">
        <v>2199</v>
      </c>
      <c r="I303">
        <v>1</v>
      </c>
      <c r="J303">
        <v>2199</v>
      </c>
      <c r="L303">
        <v>0</v>
      </c>
      <c r="M303" t="s">
        <v>29</v>
      </c>
      <c r="N303" t="s">
        <v>44</v>
      </c>
      <c r="O303" t="s">
        <v>204</v>
      </c>
      <c r="P303" t="s">
        <v>97</v>
      </c>
      <c r="Q303" t="s">
        <v>31</v>
      </c>
      <c r="R303" s="1">
        <v>45667</v>
      </c>
      <c r="S303" t="s">
        <v>33</v>
      </c>
      <c r="T303" t="s">
        <v>34</v>
      </c>
      <c r="W303" t="s">
        <v>35</v>
      </c>
    </row>
    <row r="304" spans="1:23" x14ac:dyDescent="0.3">
      <c r="A304" t="s">
        <v>1303</v>
      </c>
      <c r="B304" s="1">
        <v>45646</v>
      </c>
      <c r="C304" t="s">
        <v>1304</v>
      </c>
      <c r="D304" t="s">
        <v>25</v>
      </c>
      <c r="E304" t="s">
        <v>1305</v>
      </c>
      <c r="F304" t="s">
        <v>61</v>
      </c>
      <c r="G304" t="s">
        <v>1306</v>
      </c>
      <c r="H304">
        <v>5199</v>
      </c>
      <c r="I304">
        <v>1</v>
      </c>
      <c r="J304">
        <v>5199</v>
      </c>
      <c r="L304">
        <v>0</v>
      </c>
      <c r="M304" t="s">
        <v>55</v>
      </c>
      <c r="N304" t="s">
        <v>65</v>
      </c>
      <c r="O304" t="s">
        <v>209</v>
      </c>
      <c r="P304" t="s">
        <v>97</v>
      </c>
      <c r="Q304" t="s">
        <v>31</v>
      </c>
      <c r="R304" s="1">
        <v>45668</v>
      </c>
      <c r="S304" t="s">
        <v>33</v>
      </c>
      <c r="T304" t="s">
        <v>46</v>
      </c>
      <c r="U304" t="s">
        <v>104</v>
      </c>
      <c r="V304" s="1">
        <v>45696</v>
      </c>
      <c r="W304" t="s">
        <v>48</v>
      </c>
    </row>
    <row r="305" spans="1:23" x14ac:dyDescent="0.3">
      <c r="A305" t="s">
        <v>1307</v>
      </c>
      <c r="B305" s="1">
        <v>45646</v>
      </c>
      <c r="C305" t="s">
        <v>1308</v>
      </c>
      <c r="D305" t="s">
        <v>38</v>
      </c>
      <c r="E305" t="s">
        <v>1309</v>
      </c>
      <c r="F305" t="s">
        <v>71</v>
      </c>
      <c r="G305" t="s">
        <v>1310</v>
      </c>
      <c r="H305">
        <v>499</v>
      </c>
      <c r="I305">
        <v>2</v>
      </c>
      <c r="J305">
        <v>998</v>
      </c>
      <c r="K305" s="2">
        <v>46376</v>
      </c>
      <c r="L305">
        <v>20</v>
      </c>
      <c r="M305" t="s">
        <v>111</v>
      </c>
      <c r="N305" t="s">
        <v>30</v>
      </c>
      <c r="O305" t="s">
        <v>214</v>
      </c>
      <c r="P305" t="s">
        <v>113</v>
      </c>
      <c r="Q305" t="s">
        <v>45</v>
      </c>
      <c r="R305" s="1">
        <v>45667</v>
      </c>
      <c r="S305" t="s">
        <v>33</v>
      </c>
      <c r="T305" t="s">
        <v>34</v>
      </c>
      <c r="W305" t="s">
        <v>35</v>
      </c>
    </row>
    <row r="306" spans="1:23" x14ac:dyDescent="0.3">
      <c r="A306" t="s">
        <v>1311</v>
      </c>
      <c r="B306" s="1">
        <v>45646</v>
      </c>
      <c r="C306" t="s">
        <v>1312</v>
      </c>
      <c r="D306" t="s">
        <v>25</v>
      </c>
      <c r="E306" t="s">
        <v>1313</v>
      </c>
      <c r="F306" t="s">
        <v>27</v>
      </c>
      <c r="G306" t="s">
        <v>1314</v>
      </c>
      <c r="H306">
        <v>2099</v>
      </c>
      <c r="I306">
        <v>1</v>
      </c>
      <c r="J306">
        <v>2099</v>
      </c>
      <c r="L306">
        <v>0</v>
      </c>
      <c r="M306" t="s">
        <v>64</v>
      </c>
      <c r="N306" t="s">
        <v>44</v>
      </c>
      <c r="O306" t="s">
        <v>31</v>
      </c>
      <c r="P306" t="s">
        <v>32</v>
      </c>
      <c r="Q306" t="s">
        <v>31</v>
      </c>
      <c r="R306" s="1">
        <v>45668</v>
      </c>
      <c r="S306" t="s">
        <v>33</v>
      </c>
      <c r="T306" t="s">
        <v>46</v>
      </c>
      <c r="U306" t="s">
        <v>138</v>
      </c>
      <c r="V306" s="1">
        <v>45695</v>
      </c>
      <c r="W306" t="s">
        <v>48</v>
      </c>
    </row>
    <row r="307" spans="1:23" x14ac:dyDescent="0.3">
      <c r="A307" t="s">
        <v>1315</v>
      </c>
      <c r="B307" s="1">
        <v>45647</v>
      </c>
      <c r="C307" t="s">
        <v>1316</v>
      </c>
      <c r="D307" t="s">
        <v>25</v>
      </c>
      <c r="E307" t="s">
        <v>1317</v>
      </c>
      <c r="F307" t="s">
        <v>40</v>
      </c>
      <c r="G307" t="s">
        <v>1318</v>
      </c>
      <c r="H307">
        <v>3999</v>
      </c>
      <c r="I307">
        <v>1</v>
      </c>
      <c r="J307">
        <v>3999</v>
      </c>
      <c r="L307">
        <v>0</v>
      </c>
      <c r="M307" t="s">
        <v>43</v>
      </c>
      <c r="N307" t="s">
        <v>65</v>
      </c>
      <c r="O307" t="s">
        <v>45</v>
      </c>
      <c r="P307" t="s">
        <v>45</v>
      </c>
      <c r="Q307" t="s">
        <v>45</v>
      </c>
      <c r="R307" s="1">
        <v>45669</v>
      </c>
      <c r="S307" t="s">
        <v>33</v>
      </c>
      <c r="T307" t="s">
        <v>46</v>
      </c>
      <c r="U307" t="s">
        <v>47</v>
      </c>
      <c r="V307" s="1">
        <v>45697</v>
      </c>
      <c r="W307" t="s">
        <v>48</v>
      </c>
    </row>
    <row r="308" spans="1:23" x14ac:dyDescent="0.3">
      <c r="A308" t="s">
        <v>1319</v>
      </c>
      <c r="B308" s="1">
        <v>45647</v>
      </c>
      <c r="C308" t="s">
        <v>1320</v>
      </c>
      <c r="D308" t="s">
        <v>25</v>
      </c>
      <c r="E308" t="s">
        <v>1321</v>
      </c>
      <c r="F308" t="s">
        <v>53</v>
      </c>
      <c r="G308" t="s">
        <v>1322</v>
      </c>
      <c r="H308">
        <v>2399</v>
      </c>
      <c r="I308">
        <v>1</v>
      </c>
      <c r="J308">
        <v>2399</v>
      </c>
      <c r="K308" s="2">
        <v>46376</v>
      </c>
      <c r="L308">
        <v>20</v>
      </c>
      <c r="M308" t="s">
        <v>29</v>
      </c>
      <c r="N308" t="s">
        <v>30</v>
      </c>
      <c r="O308" t="s">
        <v>90</v>
      </c>
      <c r="P308" t="s">
        <v>91</v>
      </c>
      <c r="Q308" t="s">
        <v>45</v>
      </c>
      <c r="R308" s="1">
        <v>45669</v>
      </c>
      <c r="S308" t="s">
        <v>33</v>
      </c>
      <c r="T308" t="s">
        <v>34</v>
      </c>
      <c r="W308" t="s">
        <v>35</v>
      </c>
    </row>
    <row r="309" spans="1:23" x14ac:dyDescent="0.3">
      <c r="A309" t="s">
        <v>1323</v>
      </c>
      <c r="B309" s="1">
        <v>45647</v>
      </c>
      <c r="C309" t="s">
        <v>1324</v>
      </c>
      <c r="D309" t="s">
        <v>25</v>
      </c>
      <c r="E309" t="s">
        <v>1325</v>
      </c>
      <c r="F309" t="s">
        <v>61</v>
      </c>
      <c r="G309" t="s">
        <v>1326</v>
      </c>
      <c r="H309">
        <v>7299</v>
      </c>
      <c r="I309">
        <v>1</v>
      </c>
      <c r="J309">
        <v>7299</v>
      </c>
      <c r="L309">
        <v>0</v>
      </c>
      <c r="M309" t="s">
        <v>55</v>
      </c>
      <c r="N309" t="s">
        <v>44</v>
      </c>
      <c r="O309" t="s">
        <v>66</v>
      </c>
      <c r="P309" t="s">
        <v>67</v>
      </c>
      <c r="Q309" t="s">
        <v>56</v>
      </c>
      <c r="R309" s="1">
        <v>45670</v>
      </c>
      <c r="S309" t="s">
        <v>33</v>
      </c>
      <c r="T309" t="s">
        <v>46</v>
      </c>
      <c r="U309" t="s">
        <v>79</v>
      </c>
      <c r="V309" s="1">
        <v>45698</v>
      </c>
      <c r="W309" t="s">
        <v>48</v>
      </c>
    </row>
    <row r="310" spans="1:23" x14ac:dyDescent="0.3">
      <c r="A310" t="s">
        <v>1327</v>
      </c>
      <c r="B310" s="1">
        <v>45647</v>
      </c>
      <c r="C310" t="s">
        <v>1328</v>
      </c>
      <c r="D310" t="s">
        <v>38</v>
      </c>
      <c r="E310" t="s">
        <v>1329</v>
      </c>
      <c r="F310" t="s">
        <v>71</v>
      </c>
      <c r="G310" t="s">
        <v>1330</v>
      </c>
      <c r="H310">
        <v>899</v>
      </c>
      <c r="I310">
        <v>1</v>
      </c>
      <c r="J310">
        <v>899</v>
      </c>
      <c r="L310">
        <v>0</v>
      </c>
      <c r="M310" t="s">
        <v>111</v>
      </c>
      <c r="N310" t="s">
        <v>65</v>
      </c>
      <c r="O310" t="s">
        <v>77</v>
      </c>
      <c r="P310" t="s">
        <v>78</v>
      </c>
      <c r="Q310" t="s">
        <v>56</v>
      </c>
      <c r="R310" s="1">
        <v>45669</v>
      </c>
      <c r="S310" t="s">
        <v>33</v>
      </c>
      <c r="T310" t="s">
        <v>46</v>
      </c>
      <c r="U310" t="s">
        <v>68</v>
      </c>
      <c r="V310" s="1">
        <v>45696</v>
      </c>
      <c r="W310" t="s">
        <v>48</v>
      </c>
    </row>
    <row r="311" spans="1:23" x14ac:dyDescent="0.3">
      <c r="A311" t="s">
        <v>1331</v>
      </c>
      <c r="B311" s="1">
        <v>45648</v>
      </c>
      <c r="C311" t="s">
        <v>1332</v>
      </c>
      <c r="D311" t="s">
        <v>25</v>
      </c>
      <c r="E311" t="s">
        <v>1333</v>
      </c>
      <c r="F311" t="s">
        <v>27</v>
      </c>
      <c r="G311" t="s">
        <v>1334</v>
      </c>
      <c r="H311">
        <v>1999</v>
      </c>
      <c r="I311">
        <v>1</v>
      </c>
      <c r="J311">
        <v>1999</v>
      </c>
      <c r="K311" s="2">
        <v>46376</v>
      </c>
      <c r="L311">
        <v>20</v>
      </c>
      <c r="M311" t="s">
        <v>64</v>
      </c>
      <c r="N311" t="s">
        <v>30</v>
      </c>
      <c r="O311" t="s">
        <v>84</v>
      </c>
      <c r="P311" t="s">
        <v>32</v>
      </c>
      <c r="Q311" t="s">
        <v>31</v>
      </c>
      <c r="R311" s="1">
        <v>45670</v>
      </c>
      <c r="S311" t="s">
        <v>33</v>
      </c>
      <c r="T311" t="s">
        <v>34</v>
      </c>
      <c r="W311" t="s">
        <v>35</v>
      </c>
    </row>
    <row r="312" spans="1:23" x14ac:dyDescent="0.3">
      <c r="A312" t="s">
        <v>1335</v>
      </c>
      <c r="B312" s="1">
        <v>45648</v>
      </c>
      <c r="C312" t="s">
        <v>1336</v>
      </c>
      <c r="D312" t="s">
        <v>25</v>
      </c>
      <c r="E312" t="s">
        <v>1337</v>
      </c>
      <c r="F312" t="s">
        <v>40</v>
      </c>
      <c r="G312" t="s">
        <v>1338</v>
      </c>
      <c r="H312">
        <v>4699</v>
      </c>
      <c r="I312">
        <v>1</v>
      </c>
      <c r="J312">
        <v>4699</v>
      </c>
      <c r="L312">
        <v>0</v>
      </c>
      <c r="M312" t="s">
        <v>43</v>
      </c>
      <c r="N312" t="s">
        <v>44</v>
      </c>
      <c r="O312" t="s">
        <v>96</v>
      </c>
      <c r="P312" t="s">
        <v>97</v>
      </c>
      <c r="Q312" t="s">
        <v>31</v>
      </c>
      <c r="R312" s="1">
        <v>45671</v>
      </c>
      <c r="S312" t="s">
        <v>33</v>
      </c>
      <c r="T312" t="s">
        <v>46</v>
      </c>
      <c r="U312" t="s">
        <v>47</v>
      </c>
      <c r="V312" s="1">
        <v>45699</v>
      </c>
      <c r="W312" t="s">
        <v>48</v>
      </c>
    </row>
    <row r="313" spans="1:23" x14ac:dyDescent="0.3">
      <c r="A313" t="s">
        <v>1339</v>
      </c>
      <c r="B313" s="1">
        <v>45648</v>
      </c>
      <c r="C313" t="s">
        <v>1340</v>
      </c>
      <c r="D313" t="s">
        <v>25</v>
      </c>
      <c r="E313" t="s">
        <v>1341</v>
      </c>
      <c r="F313" t="s">
        <v>53</v>
      </c>
      <c r="G313" t="s">
        <v>1342</v>
      </c>
      <c r="H313">
        <v>2299</v>
      </c>
      <c r="I313">
        <v>1</v>
      </c>
      <c r="J313">
        <v>2299</v>
      </c>
      <c r="L313">
        <v>0</v>
      </c>
      <c r="M313" t="s">
        <v>29</v>
      </c>
      <c r="N313" t="s">
        <v>65</v>
      </c>
      <c r="O313" t="s">
        <v>102</v>
      </c>
      <c r="P313" t="s">
        <v>103</v>
      </c>
      <c r="Q313" t="s">
        <v>45</v>
      </c>
      <c r="R313" s="1">
        <v>45671</v>
      </c>
      <c r="S313" t="s">
        <v>33</v>
      </c>
      <c r="T313" t="s">
        <v>34</v>
      </c>
      <c r="W313" t="s">
        <v>35</v>
      </c>
    </row>
    <row r="314" spans="1:23" x14ac:dyDescent="0.3">
      <c r="A314" t="s">
        <v>1343</v>
      </c>
      <c r="B314" s="1">
        <v>45648</v>
      </c>
      <c r="C314" t="s">
        <v>1344</v>
      </c>
      <c r="D314" t="s">
        <v>25</v>
      </c>
      <c r="E314" t="s">
        <v>1345</v>
      </c>
      <c r="F314" t="s">
        <v>61</v>
      </c>
      <c r="G314" t="s">
        <v>1346</v>
      </c>
      <c r="H314">
        <v>5399</v>
      </c>
      <c r="I314">
        <v>1</v>
      </c>
      <c r="J314">
        <v>5399</v>
      </c>
      <c r="K314" s="2">
        <v>46376</v>
      </c>
      <c r="L314">
        <v>20</v>
      </c>
      <c r="M314" t="s">
        <v>55</v>
      </c>
      <c r="N314" t="s">
        <v>30</v>
      </c>
      <c r="O314" t="s">
        <v>112</v>
      </c>
      <c r="P314" t="s">
        <v>113</v>
      </c>
      <c r="Q314" t="s">
        <v>45</v>
      </c>
      <c r="R314" s="1">
        <v>45672</v>
      </c>
      <c r="S314" t="s">
        <v>33</v>
      </c>
      <c r="T314" t="s">
        <v>46</v>
      </c>
      <c r="U314" t="s">
        <v>104</v>
      </c>
      <c r="V314" s="1">
        <v>45700</v>
      </c>
      <c r="W314" t="s">
        <v>48</v>
      </c>
    </row>
    <row r="315" spans="1:23" x14ac:dyDescent="0.3">
      <c r="A315" t="s">
        <v>1347</v>
      </c>
      <c r="B315" s="1">
        <v>45649</v>
      </c>
      <c r="C315" t="s">
        <v>1348</v>
      </c>
      <c r="D315" t="s">
        <v>38</v>
      </c>
      <c r="E315" t="s">
        <v>1349</v>
      </c>
      <c r="F315" t="s">
        <v>71</v>
      </c>
      <c r="G315" t="s">
        <v>1350</v>
      </c>
      <c r="H315">
        <v>1199</v>
      </c>
      <c r="I315">
        <v>1</v>
      </c>
      <c r="J315">
        <v>1199</v>
      </c>
      <c r="L315">
        <v>0</v>
      </c>
      <c r="M315" t="s">
        <v>111</v>
      </c>
      <c r="N315" t="s">
        <v>44</v>
      </c>
      <c r="O315" t="s">
        <v>56</v>
      </c>
      <c r="P315" t="s">
        <v>57</v>
      </c>
      <c r="Q315" t="s">
        <v>56</v>
      </c>
      <c r="R315" s="1">
        <v>45671</v>
      </c>
      <c r="S315" t="s">
        <v>33</v>
      </c>
      <c r="T315" t="s">
        <v>34</v>
      </c>
      <c r="W315" t="s">
        <v>35</v>
      </c>
    </row>
    <row r="316" spans="1:23" x14ac:dyDescent="0.3">
      <c r="A316" t="s">
        <v>1351</v>
      </c>
      <c r="B316" s="1">
        <v>45649</v>
      </c>
      <c r="C316" t="s">
        <v>1352</v>
      </c>
      <c r="D316" t="s">
        <v>25</v>
      </c>
      <c r="E316" t="s">
        <v>1353</v>
      </c>
      <c r="F316" t="s">
        <v>27</v>
      </c>
      <c r="G316" t="s">
        <v>1354</v>
      </c>
      <c r="H316">
        <v>2199</v>
      </c>
      <c r="I316">
        <v>1</v>
      </c>
      <c r="J316">
        <v>2199</v>
      </c>
      <c r="L316">
        <v>0</v>
      </c>
      <c r="M316" t="s">
        <v>64</v>
      </c>
      <c r="N316" t="s">
        <v>65</v>
      </c>
      <c r="O316" t="s">
        <v>31</v>
      </c>
      <c r="P316" t="s">
        <v>32</v>
      </c>
      <c r="Q316" t="s">
        <v>31</v>
      </c>
      <c r="R316" s="1">
        <v>45672</v>
      </c>
      <c r="S316" t="s">
        <v>33</v>
      </c>
      <c r="T316" t="s">
        <v>46</v>
      </c>
      <c r="U316" t="s">
        <v>138</v>
      </c>
      <c r="V316" s="1">
        <v>45699</v>
      </c>
      <c r="W316" t="s">
        <v>48</v>
      </c>
    </row>
    <row r="317" spans="1:23" x14ac:dyDescent="0.3">
      <c r="A317" t="s">
        <v>1355</v>
      </c>
      <c r="B317" s="1">
        <v>45649</v>
      </c>
      <c r="C317" t="s">
        <v>1356</v>
      </c>
      <c r="D317" t="s">
        <v>25</v>
      </c>
      <c r="E317" t="s">
        <v>1357</v>
      </c>
      <c r="F317" t="s">
        <v>40</v>
      </c>
      <c r="G317" t="s">
        <v>1358</v>
      </c>
      <c r="H317">
        <v>3799</v>
      </c>
      <c r="I317">
        <v>1</v>
      </c>
      <c r="J317">
        <v>3799</v>
      </c>
      <c r="K317" s="2">
        <v>46376</v>
      </c>
      <c r="L317">
        <v>20</v>
      </c>
      <c r="M317" t="s">
        <v>43</v>
      </c>
      <c r="N317" t="s">
        <v>30</v>
      </c>
      <c r="O317" t="s">
        <v>45</v>
      </c>
      <c r="P317" t="s">
        <v>45</v>
      </c>
      <c r="Q317" t="s">
        <v>45</v>
      </c>
      <c r="R317" s="1">
        <v>45673</v>
      </c>
      <c r="S317" t="s">
        <v>33</v>
      </c>
      <c r="T317" t="s">
        <v>46</v>
      </c>
      <c r="U317" t="s">
        <v>47</v>
      </c>
      <c r="V317" s="1">
        <v>45701</v>
      </c>
      <c r="W317" t="s">
        <v>48</v>
      </c>
    </row>
    <row r="318" spans="1:23" x14ac:dyDescent="0.3">
      <c r="A318" t="s">
        <v>1359</v>
      </c>
      <c r="B318" s="1">
        <v>45649</v>
      </c>
      <c r="C318" t="s">
        <v>1360</v>
      </c>
      <c r="D318" t="s">
        <v>25</v>
      </c>
      <c r="E318" t="s">
        <v>1361</v>
      </c>
      <c r="F318" t="s">
        <v>53</v>
      </c>
      <c r="G318" t="s">
        <v>1362</v>
      </c>
      <c r="H318">
        <v>2499</v>
      </c>
      <c r="I318">
        <v>1</v>
      </c>
      <c r="J318">
        <v>2499</v>
      </c>
      <c r="L318">
        <v>0</v>
      </c>
      <c r="M318" t="s">
        <v>29</v>
      </c>
      <c r="N318" t="s">
        <v>44</v>
      </c>
      <c r="O318" t="s">
        <v>118</v>
      </c>
      <c r="P318" t="s">
        <v>119</v>
      </c>
      <c r="Q318" t="s">
        <v>45</v>
      </c>
      <c r="R318" s="1">
        <v>45673</v>
      </c>
      <c r="S318" t="s">
        <v>33</v>
      </c>
      <c r="T318" t="s">
        <v>34</v>
      </c>
      <c r="W318" t="s">
        <v>35</v>
      </c>
    </row>
    <row r="319" spans="1:23" x14ac:dyDescent="0.3">
      <c r="A319" t="s">
        <v>1363</v>
      </c>
      <c r="B319" s="1">
        <v>45650</v>
      </c>
      <c r="C319" t="s">
        <v>1364</v>
      </c>
      <c r="D319" t="s">
        <v>25</v>
      </c>
      <c r="E319" t="s">
        <v>1365</v>
      </c>
      <c r="F319" t="s">
        <v>61</v>
      </c>
      <c r="G319" t="s">
        <v>1366</v>
      </c>
      <c r="H319">
        <v>6499</v>
      </c>
      <c r="I319">
        <v>1</v>
      </c>
      <c r="J319">
        <v>6499</v>
      </c>
      <c r="L319">
        <v>0</v>
      </c>
      <c r="M319" t="s">
        <v>55</v>
      </c>
      <c r="N319" t="s">
        <v>65</v>
      </c>
      <c r="O319" t="s">
        <v>137</v>
      </c>
      <c r="P319" t="s">
        <v>113</v>
      </c>
      <c r="Q319" t="s">
        <v>45</v>
      </c>
      <c r="R319" s="1">
        <v>45674</v>
      </c>
      <c r="S319" t="s">
        <v>33</v>
      </c>
      <c r="T319" t="s">
        <v>46</v>
      </c>
      <c r="U319" t="s">
        <v>79</v>
      </c>
      <c r="V319" s="1">
        <v>45702</v>
      </c>
      <c r="W319" t="s">
        <v>48</v>
      </c>
    </row>
    <row r="320" spans="1:23" x14ac:dyDescent="0.3">
      <c r="A320" t="s">
        <v>1367</v>
      </c>
      <c r="B320" s="1">
        <v>45650</v>
      </c>
      <c r="C320" t="s">
        <v>1368</v>
      </c>
      <c r="D320" t="s">
        <v>38</v>
      </c>
      <c r="E320" t="s">
        <v>1369</v>
      </c>
      <c r="F320" t="s">
        <v>71</v>
      </c>
      <c r="G320" t="s">
        <v>1370</v>
      </c>
      <c r="H320">
        <v>499</v>
      </c>
      <c r="I320">
        <v>3</v>
      </c>
      <c r="J320">
        <v>1497</v>
      </c>
      <c r="K320" s="2">
        <v>46376</v>
      </c>
      <c r="L320">
        <v>20</v>
      </c>
      <c r="M320" t="s">
        <v>111</v>
      </c>
      <c r="N320" t="s">
        <v>30</v>
      </c>
      <c r="O320" t="s">
        <v>143</v>
      </c>
      <c r="P320" t="s">
        <v>144</v>
      </c>
      <c r="Q320" t="s">
        <v>45</v>
      </c>
      <c r="R320" s="1">
        <v>45673</v>
      </c>
      <c r="S320" t="s">
        <v>33</v>
      </c>
      <c r="T320" t="s">
        <v>34</v>
      </c>
      <c r="W320" t="s">
        <v>35</v>
      </c>
    </row>
    <row r="321" spans="1:23" x14ac:dyDescent="0.3">
      <c r="A321" t="s">
        <v>1371</v>
      </c>
      <c r="B321" s="1">
        <v>45650</v>
      </c>
      <c r="C321" t="s">
        <v>1372</v>
      </c>
      <c r="D321" t="s">
        <v>25</v>
      </c>
      <c r="E321" t="s">
        <v>1373</v>
      </c>
      <c r="F321" t="s">
        <v>27</v>
      </c>
      <c r="G321" t="s">
        <v>1374</v>
      </c>
      <c r="H321">
        <v>1799</v>
      </c>
      <c r="I321">
        <v>1</v>
      </c>
      <c r="J321">
        <v>1799</v>
      </c>
      <c r="L321">
        <v>0</v>
      </c>
      <c r="M321" t="s">
        <v>64</v>
      </c>
      <c r="N321" t="s">
        <v>44</v>
      </c>
      <c r="O321" t="s">
        <v>150</v>
      </c>
      <c r="P321" t="s">
        <v>151</v>
      </c>
      <c r="Q321" t="s">
        <v>31</v>
      </c>
      <c r="R321" s="1">
        <v>45674</v>
      </c>
      <c r="S321" t="s">
        <v>33</v>
      </c>
      <c r="T321" t="s">
        <v>46</v>
      </c>
      <c r="U321" t="s">
        <v>68</v>
      </c>
      <c r="V321" s="1">
        <v>45701</v>
      </c>
      <c r="W321" t="s">
        <v>48</v>
      </c>
    </row>
    <row r="322" spans="1:23" x14ac:dyDescent="0.3">
      <c r="A322" t="s">
        <v>1375</v>
      </c>
      <c r="B322" s="1">
        <v>45650</v>
      </c>
      <c r="C322" t="s">
        <v>1376</v>
      </c>
      <c r="D322" t="s">
        <v>25</v>
      </c>
      <c r="E322" t="s">
        <v>1377</v>
      </c>
      <c r="F322" t="s">
        <v>40</v>
      </c>
      <c r="G322" t="s">
        <v>1378</v>
      </c>
      <c r="H322">
        <v>4299</v>
      </c>
      <c r="I322">
        <v>1</v>
      </c>
      <c r="J322">
        <v>4299</v>
      </c>
      <c r="L322">
        <v>0</v>
      </c>
      <c r="M322" t="s">
        <v>43</v>
      </c>
      <c r="N322" t="s">
        <v>65</v>
      </c>
      <c r="O322" t="s">
        <v>156</v>
      </c>
      <c r="P322" t="s">
        <v>97</v>
      </c>
      <c r="Q322" t="s">
        <v>31</v>
      </c>
      <c r="R322" s="1">
        <v>45675</v>
      </c>
      <c r="S322" t="s">
        <v>33</v>
      </c>
      <c r="T322" t="s">
        <v>46</v>
      </c>
      <c r="U322" t="s">
        <v>47</v>
      </c>
      <c r="V322" s="1">
        <v>45703</v>
      </c>
      <c r="W322" t="s">
        <v>48</v>
      </c>
    </row>
    <row r="323" spans="1:23" x14ac:dyDescent="0.3">
      <c r="A323" t="s">
        <v>1379</v>
      </c>
      <c r="B323" s="1">
        <v>45651</v>
      </c>
      <c r="C323" t="s">
        <v>1380</v>
      </c>
      <c r="D323" t="s">
        <v>25</v>
      </c>
      <c r="E323" t="s">
        <v>1381</v>
      </c>
      <c r="F323" t="s">
        <v>53</v>
      </c>
      <c r="G323" t="s">
        <v>1382</v>
      </c>
      <c r="H323">
        <v>1899</v>
      </c>
      <c r="I323">
        <v>1</v>
      </c>
      <c r="J323">
        <v>1899</v>
      </c>
      <c r="K323" s="2">
        <v>46376</v>
      </c>
      <c r="L323">
        <v>20</v>
      </c>
      <c r="M323" t="s">
        <v>29</v>
      </c>
      <c r="N323" t="s">
        <v>30</v>
      </c>
      <c r="O323" t="s">
        <v>161</v>
      </c>
      <c r="P323" t="s">
        <v>162</v>
      </c>
      <c r="Q323" t="s">
        <v>45</v>
      </c>
      <c r="R323" s="1">
        <v>45675</v>
      </c>
      <c r="S323" t="s">
        <v>33</v>
      </c>
      <c r="T323" t="s">
        <v>34</v>
      </c>
      <c r="W323" t="s">
        <v>35</v>
      </c>
    </row>
    <row r="324" spans="1:23" x14ac:dyDescent="0.3">
      <c r="A324" t="s">
        <v>1383</v>
      </c>
      <c r="B324" s="1">
        <v>45651</v>
      </c>
      <c r="C324" t="s">
        <v>1384</v>
      </c>
      <c r="D324" t="s">
        <v>25</v>
      </c>
      <c r="E324" t="s">
        <v>1385</v>
      </c>
      <c r="F324" t="s">
        <v>61</v>
      </c>
      <c r="G324" t="s">
        <v>1386</v>
      </c>
      <c r="H324">
        <v>4999</v>
      </c>
      <c r="I324">
        <v>1</v>
      </c>
      <c r="J324">
        <v>4999</v>
      </c>
      <c r="L324">
        <v>0</v>
      </c>
      <c r="M324" t="s">
        <v>55</v>
      </c>
      <c r="N324" t="s">
        <v>44</v>
      </c>
      <c r="O324" t="s">
        <v>167</v>
      </c>
      <c r="P324" t="s">
        <v>151</v>
      </c>
      <c r="Q324" t="s">
        <v>31</v>
      </c>
      <c r="R324" s="1">
        <v>45676</v>
      </c>
      <c r="S324" t="s">
        <v>33</v>
      </c>
      <c r="T324" t="s">
        <v>46</v>
      </c>
      <c r="U324" t="s">
        <v>104</v>
      </c>
      <c r="V324" s="1">
        <v>45704</v>
      </c>
      <c r="W324" t="s">
        <v>48</v>
      </c>
    </row>
    <row r="325" spans="1:23" x14ac:dyDescent="0.3">
      <c r="A325" t="s">
        <v>1387</v>
      </c>
      <c r="B325" s="1">
        <v>45651</v>
      </c>
      <c r="C325" t="s">
        <v>1388</v>
      </c>
      <c r="D325" t="s">
        <v>38</v>
      </c>
      <c r="E325" t="s">
        <v>1389</v>
      </c>
      <c r="F325" t="s">
        <v>71</v>
      </c>
      <c r="G325" t="s">
        <v>1390</v>
      </c>
      <c r="H325">
        <v>1399</v>
      </c>
      <c r="I325">
        <v>1</v>
      </c>
      <c r="J325">
        <v>1399</v>
      </c>
      <c r="L325">
        <v>0</v>
      </c>
      <c r="M325" t="s">
        <v>111</v>
      </c>
      <c r="N325" t="s">
        <v>65</v>
      </c>
      <c r="O325" t="s">
        <v>172</v>
      </c>
      <c r="P325" t="s">
        <v>32</v>
      </c>
      <c r="Q325" t="s">
        <v>31</v>
      </c>
      <c r="R325" s="1">
        <v>45675</v>
      </c>
      <c r="S325" t="s">
        <v>33</v>
      </c>
      <c r="T325" t="s">
        <v>34</v>
      </c>
      <c r="W325" t="s">
        <v>35</v>
      </c>
    </row>
    <row r="326" spans="1:23" x14ac:dyDescent="0.3">
      <c r="A326" t="s">
        <v>1391</v>
      </c>
      <c r="B326" s="1">
        <v>45651</v>
      </c>
      <c r="C326" t="s">
        <v>1392</v>
      </c>
      <c r="D326" t="s">
        <v>25</v>
      </c>
      <c r="E326" t="s">
        <v>1393</v>
      </c>
      <c r="F326" t="s">
        <v>27</v>
      </c>
      <c r="G326" t="s">
        <v>1394</v>
      </c>
      <c r="H326">
        <v>2099</v>
      </c>
      <c r="I326">
        <v>1</v>
      </c>
      <c r="J326">
        <v>2099</v>
      </c>
      <c r="K326" s="2">
        <v>46376</v>
      </c>
      <c r="L326">
        <v>20</v>
      </c>
      <c r="M326" t="s">
        <v>64</v>
      </c>
      <c r="N326" t="s">
        <v>30</v>
      </c>
      <c r="O326" t="s">
        <v>177</v>
      </c>
      <c r="P326" t="s">
        <v>67</v>
      </c>
      <c r="Q326" t="s">
        <v>56</v>
      </c>
      <c r="R326" s="1">
        <v>45676</v>
      </c>
      <c r="S326" t="s">
        <v>33</v>
      </c>
      <c r="T326" t="s">
        <v>46</v>
      </c>
      <c r="U326" t="s">
        <v>138</v>
      </c>
      <c r="V326" s="1">
        <v>45703</v>
      </c>
      <c r="W326" t="s">
        <v>48</v>
      </c>
    </row>
    <row r="327" spans="1:23" x14ac:dyDescent="0.3">
      <c r="A327" t="s">
        <v>1395</v>
      </c>
      <c r="B327" s="1">
        <v>45652</v>
      </c>
      <c r="C327" t="s">
        <v>1396</v>
      </c>
      <c r="D327" t="s">
        <v>25</v>
      </c>
      <c r="E327" t="s">
        <v>1397</v>
      </c>
      <c r="F327" t="s">
        <v>40</v>
      </c>
      <c r="G327" t="s">
        <v>1398</v>
      </c>
      <c r="H327">
        <v>2999</v>
      </c>
      <c r="I327">
        <v>1</v>
      </c>
      <c r="J327">
        <v>2999</v>
      </c>
      <c r="L327">
        <v>0</v>
      </c>
      <c r="M327" t="s">
        <v>43</v>
      </c>
      <c r="N327" t="s">
        <v>44</v>
      </c>
      <c r="O327" t="s">
        <v>182</v>
      </c>
      <c r="P327" t="s">
        <v>183</v>
      </c>
      <c r="Q327" t="s">
        <v>56</v>
      </c>
      <c r="R327" s="1">
        <v>45677</v>
      </c>
      <c r="S327" t="s">
        <v>33</v>
      </c>
      <c r="T327" t="s">
        <v>46</v>
      </c>
      <c r="U327" t="s">
        <v>47</v>
      </c>
      <c r="V327" s="1">
        <v>45705</v>
      </c>
      <c r="W327" t="s">
        <v>48</v>
      </c>
    </row>
    <row r="328" spans="1:23" x14ac:dyDescent="0.3">
      <c r="A328" t="s">
        <v>1399</v>
      </c>
      <c r="B328" s="1">
        <v>45652</v>
      </c>
      <c r="C328" t="s">
        <v>1400</v>
      </c>
      <c r="D328" t="s">
        <v>25</v>
      </c>
      <c r="E328" t="s">
        <v>1401</v>
      </c>
      <c r="F328" t="s">
        <v>53</v>
      </c>
      <c r="G328" t="s">
        <v>1402</v>
      </c>
      <c r="H328">
        <v>2199</v>
      </c>
      <c r="I328">
        <v>1</v>
      </c>
      <c r="J328">
        <v>2199</v>
      </c>
      <c r="L328">
        <v>0</v>
      </c>
      <c r="M328" t="s">
        <v>29</v>
      </c>
      <c r="N328" t="s">
        <v>65</v>
      </c>
      <c r="O328" t="s">
        <v>188</v>
      </c>
      <c r="P328" t="s">
        <v>189</v>
      </c>
      <c r="Q328" t="s">
        <v>56</v>
      </c>
      <c r="R328" s="1">
        <v>45677</v>
      </c>
      <c r="S328" t="s">
        <v>33</v>
      </c>
      <c r="T328" t="s">
        <v>34</v>
      </c>
      <c r="W328" t="s">
        <v>35</v>
      </c>
    </row>
    <row r="329" spans="1:23" x14ac:dyDescent="0.3">
      <c r="A329" t="s">
        <v>1403</v>
      </c>
      <c r="B329" s="1">
        <v>45652</v>
      </c>
      <c r="C329" t="s">
        <v>1404</v>
      </c>
      <c r="D329" t="s">
        <v>25</v>
      </c>
      <c r="E329" t="s">
        <v>1405</v>
      </c>
      <c r="F329" t="s">
        <v>61</v>
      </c>
      <c r="G329" t="s">
        <v>1406</v>
      </c>
      <c r="H329">
        <v>5999</v>
      </c>
      <c r="I329">
        <v>1</v>
      </c>
      <c r="J329">
        <v>5999</v>
      </c>
      <c r="K329" s="2">
        <v>46376</v>
      </c>
      <c r="L329">
        <v>20</v>
      </c>
      <c r="M329" t="s">
        <v>55</v>
      </c>
      <c r="N329" t="s">
        <v>30</v>
      </c>
      <c r="O329" t="s">
        <v>194</v>
      </c>
      <c r="P329" t="s">
        <v>183</v>
      </c>
      <c r="Q329" t="s">
        <v>56</v>
      </c>
      <c r="R329" s="1">
        <v>45678</v>
      </c>
      <c r="S329" t="s">
        <v>33</v>
      </c>
      <c r="T329" t="s">
        <v>46</v>
      </c>
      <c r="U329" t="s">
        <v>79</v>
      </c>
      <c r="V329" s="1">
        <v>45706</v>
      </c>
      <c r="W329" t="s">
        <v>48</v>
      </c>
    </row>
    <row r="330" spans="1:23" x14ac:dyDescent="0.3">
      <c r="A330" t="s">
        <v>1407</v>
      </c>
      <c r="B330" s="1">
        <v>45652</v>
      </c>
      <c r="C330" t="s">
        <v>1408</v>
      </c>
      <c r="D330" t="s">
        <v>38</v>
      </c>
      <c r="E330" t="s">
        <v>1409</v>
      </c>
      <c r="F330" t="s">
        <v>71</v>
      </c>
      <c r="G330" t="s">
        <v>1410</v>
      </c>
      <c r="H330">
        <v>1299</v>
      </c>
      <c r="I330">
        <v>1</v>
      </c>
      <c r="J330">
        <v>1299</v>
      </c>
      <c r="L330">
        <v>0</v>
      </c>
      <c r="M330" t="s">
        <v>111</v>
      </c>
      <c r="N330" t="s">
        <v>44</v>
      </c>
      <c r="O330" t="s">
        <v>199</v>
      </c>
      <c r="P330" t="s">
        <v>57</v>
      </c>
      <c r="Q330" t="s">
        <v>56</v>
      </c>
      <c r="R330" s="1">
        <v>45677</v>
      </c>
      <c r="S330" t="s">
        <v>33</v>
      </c>
      <c r="T330" t="s">
        <v>46</v>
      </c>
      <c r="U330" t="s">
        <v>68</v>
      </c>
      <c r="V330" s="1">
        <v>45704</v>
      </c>
      <c r="W330" t="s">
        <v>48</v>
      </c>
    </row>
    <row r="331" spans="1:23" x14ac:dyDescent="0.3">
      <c r="A331" t="s">
        <v>1411</v>
      </c>
      <c r="B331" s="1">
        <v>45653</v>
      </c>
      <c r="C331" t="s">
        <v>1412</v>
      </c>
      <c r="D331" t="s">
        <v>25</v>
      </c>
      <c r="E331" t="s">
        <v>1413</v>
      </c>
      <c r="F331" t="s">
        <v>27</v>
      </c>
      <c r="G331" t="s">
        <v>1414</v>
      </c>
      <c r="H331">
        <v>999</v>
      </c>
      <c r="I331">
        <v>2</v>
      </c>
      <c r="J331">
        <v>1998</v>
      </c>
      <c r="L331">
        <v>0</v>
      </c>
      <c r="M331" t="s">
        <v>64</v>
      </c>
      <c r="N331" t="s">
        <v>65</v>
      </c>
      <c r="O331" t="s">
        <v>204</v>
      </c>
      <c r="P331" t="s">
        <v>97</v>
      </c>
      <c r="Q331" t="s">
        <v>31</v>
      </c>
      <c r="R331" s="1">
        <v>45678</v>
      </c>
      <c r="S331" t="s">
        <v>33</v>
      </c>
      <c r="T331" t="s">
        <v>34</v>
      </c>
      <c r="W331" t="s">
        <v>35</v>
      </c>
    </row>
    <row r="332" spans="1:23" x14ac:dyDescent="0.3">
      <c r="A332" t="s">
        <v>1415</v>
      </c>
      <c r="B332" s="1">
        <v>45653</v>
      </c>
      <c r="C332" t="s">
        <v>1416</v>
      </c>
      <c r="D332" t="s">
        <v>25</v>
      </c>
      <c r="E332" t="s">
        <v>1417</v>
      </c>
      <c r="F332" t="s">
        <v>40</v>
      </c>
      <c r="G332" t="s">
        <v>1418</v>
      </c>
      <c r="H332">
        <v>3499</v>
      </c>
      <c r="I332">
        <v>1</v>
      </c>
      <c r="J332">
        <v>3499</v>
      </c>
      <c r="K332" s="2">
        <v>46376</v>
      </c>
      <c r="L332">
        <v>20</v>
      </c>
      <c r="M332" t="s">
        <v>43</v>
      </c>
      <c r="N332" t="s">
        <v>30</v>
      </c>
      <c r="O332" t="s">
        <v>209</v>
      </c>
      <c r="P332" t="s">
        <v>97</v>
      </c>
      <c r="Q332" t="s">
        <v>31</v>
      </c>
      <c r="R332" s="1">
        <v>45679</v>
      </c>
      <c r="S332" t="s">
        <v>33</v>
      </c>
      <c r="T332" t="s">
        <v>46</v>
      </c>
      <c r="U332" t="s">
        <v>47</v>
      </c>
      <c r="V332" s="1">
        <v>45707</v>
      </c>
      <c r="W332" t="s">
        <v>48</v>
      </c>
    </row>
    <row r="333" spans="1:23" x14ac:dyDescent="0.3">
      <c r="A333" t="s">
        <v>1419</v>
      </c>
      <c r="B333" s="1">
        <v>45653</v>
      </c>
      <c r="C333" t="s">
        <v>1420</v>
      </c>
      <c r="D333" t="s">
        <v>25</v>
      </c>
      <c r="E333" t="s">
        <v>1421</v>
      </c>
      <c r="F333" t="s">
        <v>53</v>
      </c>
      <c r="G333" t="s">
        <v>1422</v>
      </c>
      <c r="H333">
        <v>1799</v>
      </c>
      <c r="I333">
        <v>1</v>
      </c>
      <c r="J333">
        <v>1799</v>
      </c>
      <c r="L333">
        <v>0</v>
      </c>
      <c r="M333" t="s">
        <v>29</v>
      </c>
      <c r="N333" t="s">
        <v>44</v>
      </c>
      <c r="O333" t="s">
        <v>214</v>
      </c>
      <c r="P333" t="s">
        <v>113</v>
      </c>
      <c r="Q333" t="s">
        <v>45</v>
      </c>
      <c r="R333" s="1">
        <v>45679</v>
      </c>
      <c r="S333" t="s">
        <v>33</v>
      </c>
      <c r="T333" t="s">
        <v>34</v>
      </c>
      <c r="W333" t="s">
        <v>35</v>
      </c>
    </row>
    <row r="334" spans="1:23" x14ac:dyDescent="0.3">
      <c r="A334" t="s">
        <v>1423</v>
      </c>
      <c r="B334" s="1">
        <v>45653</v>
      </c>
      <c r="C334" t="s">
        <v>1424</v>
      </c>
      <c r="D334" t="s">
        <v>25</v>
      </c>
      <c r="E334" t="s">
        <v>1425</v>
      </c>
      <c r="F334" t="s">
        <v>61</v>
      </c>
      <c r="G334" t="s">
        <v>1426</v>
      </c>
      <c r="H334">
        <v>4599</v>
      </c>
      <c r="I334">
        <v>1</v>
      </c>
      <c r="J334">
        <v>4599</v>
      </c>
      <c r="L334">
        <v>0</v>
      </c>
      <c r="M334" t="s">
        <v>55</v>
      </c>
      <c r="N334" t="s">
        <v>65</v>
      </c>
      <c r="O334" t="s">
        <v>31</v>
      </c>
      <c r="P334" t="s">
        <v>32</v>
      </c>
      <c r="Q334" t="s">
        <v>31</v>
      </c>
      <c r="R334" s="1">
        <v>45680</v>
      </c>
      <c r="S334" t="s">
        <v>33</v>
      </c>
      <c r="T334" t="s">
        <v>46</v>
      </c>
      <c r="U334" t="s">
        <v>104</v>
      </c>
      <c r="V334" s="1">
        <v>45708</v>
      </c>
      <c r="W334" t="s">
        <v>48</v>
      </c>
    </row>
    <row r="335" spans="1:23" x14ac:dyDescent="0.3">
      <c r="A335" t="s">
        <v>1427</v>
      </c>
      <c r="B335" s="1">
        <v>45654</v>
      </c>
      <c r="C335" t="s">
        <v>1428</v>
      </c>
      <c r="D335" t="s">
        <v>38</v>
      </c>
      <c r="E335" t="s">
        <v>1429</v>
      </c>
      <c r="F335" t="s">
        <v>71</v>
      </c>
      <c r="G335" t="s">
        <v>1430</v>
      </c>
      <c r="H335">
        <v>799</v>
      </c>
      <c r="I335">
        <v>1</v>
      </c>
      <c r="J335">
        <v>799</v>
      </c>
      <c r="K335" s="2">
        <v>46376</v>
      </c>
      <c r="L335">
        <v>20</v>
      </c>
      <c r="M335" t="s">
        <v>111</v>
      </c>
      <c r="N335" t="s">
        <v>30</v>
      </c>
      <c r="O335" t="s">
        <v>45</v>
      </c>
      <c r="P335" t="s">
        <v>45</v>
      </c>
      <c r="Q335" t="s">
        <v>45</v>
      </c>
      <c r="R335" s="1">
        <v>45679</v>
      </c>
      <c r="S335" t="s">
        <v>33</v>
      </c>
      <c r="T335" t="s">
        <v>34</v>
      </c>
      <c r="W335" t="s">
        <v>35</v>
      </c>
    </row>
    <row r="336" spans="1:23" x14ac:dyDescent="0.3">
      <c r="A336" t="s">
        <v>1431</v>
      </c>
      <c r="B336" s="1">
        <v>45654</v>
      </c>
      <c r="C336" t="s">
        <v>1432</v>
      </c>
      <c r="D336" t="s">
        <v>25</v>
      </c>
      <c r="E336" t="s">
        <v>1433</v>
      </c>
      <c r="F336" t="s">
        <v>27</v>
      </c>
      <c r="G336" t="s">
        <v>1434</v>
      </c>
      <c r="H336">
        <v>1899</v>
      </c>
      <c r="I336">
        <v>1</v>
      </c>
      <c r="J336">
        <v>1899</v>
      </c>
      <c r="L336">
        <v>0</v>
      </c>
      <c r="M336" t="s">
        <v>64</v>
      </c>
      <c r="N336" t="s">
        <v>44</v>
      </c>
      <c r="O336" t="s">
        <v>90</v>
      </c>
      <c r="P336" t="s">
        <v>91</v>
      </c>
      <c r="Q336" t="s">
        <v>45</v>
      </c>
      <c r="R336" s="1">
        <v>45680</v>
      </c>
      <c r="S336" t="s">
        <v>33</v>
      </c>
      <c r="T336" t="s">
        <v>46</v>
      </c>
      <c r="U336" t="s">
        <v>138</v>
      </c>
      <c r="V336" s="1">
        <v>45707</v>
      </c>
      <c r="W336" t="s">
        <v>48</v>
      </c>
    </row>
    <row r="337" spans="1:23" x14ac:dyDescent="0.3">
      <c r="A337" t="s">
        <v>1435</v>
      </c>
      <c r="B337" s="1">
        <v>45654</v>
      </c>
      <c r="C337" t="s">
        <v>1436</v>
      </c>
      <c r="D337" t="s">
        <v>25</v>
      </c>
      <c r="E337" t="s">
        <v>1437</v>
      </c>
      <c r="F337" t="s">
        <v>40</v>
      </c>
      <c r="G337" t="s">
        <v>1438</v>
      </c>
      <c r="H337">
        <v>4099</v>
      </c>
      <c r="I337">
        <v>1</v>
      </c>
      <c r="J337">
        <v>4099</v>
      </c>
      <c r="L337">
        <v>0</v>
      </c>
      <c r="M337" t="s">
        <v>43</v>
      </c>
      <c r="N337" t="s">
        <v>65</v>
      </c>
      <c r="O337" t="s">
        <v>66</v>
      </c>
      <c r="P337" t="s">
        <v>67</v>
      </c>
      <c r="Q337" t="s">
        <v>56</v>
      </c>
      <c r="R337" s="1">
        <v>45681</v>
      </c>
      <c r="S337" t="s">
        <v>33</v>
      </c>
      <c r="T337" t="s">
        <v>46</v>
      </c>
      <c r="U337" t="s">
        <v>47</v>
      </c>
      <c r="V337" s="1">
        <v>45709</v>
      </c>
      <c r="W337" t="s">
        <v>48</v>
      </c>
    </row>
    <row r="338" spans="1:23" x14ac:dyDescent="0.3">
      <c r="A338" t="s">
        <v>1439</v>
      </c>
      <c r="B338" s="1">
        <v>45654</v>
      </c>
      <c r="C338" t="s">
        <v>1440</v>
      </c>
      <c r="D338" t="s">
        <v>25</v>
      </c>
      <c r="E338" t="s">
        <v>1441</v>
      </c>
      <c r="F338" t="s">
        <v>53</v>
      </c>
      <c r="G338" t="s">
        <v>1442</v>
      </c>
      <c r="H338">
        <v>2299</v>
      </c>
      <c r="I338">
        <v>1</v>
      </c>
      <c r="J338">
        <v>2299</v>
      </c>
      <c r="K338" s="2">
        <v>46376</v>
      </c>
      <c r="L338">
        <v>20</v>
      </c>
      <c r="M338" t="s">
        <v>29</v>
      </c>
      <c r="N338" t="s">
        <v>30</v>
      </c>
      <c r="O338" t="s">
        <v>77</v>
      </c>
      <c r="P338" t="s">
        <v>78</v>
      </c>
      <c r="Q338" t="s">
        <v>56</v>
      </c>
      <c r="R338" s="1">
        <v>45681</v>
      </c>
      <c r="S338" t="s">
        <v>33</v>
      </c>
      <c r="T338" t="s">
        <v>34</v>
      </c>
      <c r="W338" t="s">
        <v>35</v>
      </c>
    </row>
    <row r="339" spans="1:23" x14ac:dyDescent="0.3">
      <c r="A339" t="s">
        <v>1443</v>
      </c>
      <c r="B339" s="1">
        <v>45655</v>
      </c>
      <c r="C339" t="s">
        <v>1444</v>
      </c>
      <c r="D339" t="s">
        <v>25</v>
      </c>
      <c r="E339" t="s">
        <v>1445</v>
      </c>
      <c r="F339" t="s">
        <v>61</v>
      </c>
      <c r="G339" t="s">
        <v>1446</v>
      </c>
      <c r="H339">
        <v>5799</v>
      </c>
      <c r="I339">
        <v>1</v>
      </c>
      <c r="J339">
        <v>5799</v>
      </c>
      <c r="L339">
        <v>0</v>
      </c>
      <c r="M339" t="s">
        <v>55</v>
      </c>
      <c r="N339" t="s">
        <v>44</v>
      </c>
      <c r="O339" t="s">
        <v>84</v>
      </c>
      <c r="P339" t="s">
        <v>32</v>
      </c>
      <c r="Q339" t="s">
        <v>31</v>
      </c>
      <c r="R339" s="1">
        <v>45682</v>
      </c>
      <c r="S339" t="s">
        <v>33</v>
      </c>
      <c r="T339" t="s">
        <v>46</v>
      </c>
      <c r="U339" t="s">
        <v>79</v>
      </c>
      <c r="V339" s="1">
        <v>45710</v>
      </c>
      <c r="W339" t="s">
        <v>48</v>
      </c>
    </row>
    <row r="340" spans="1:23" x14ac:dyDescent="0.3">
      <c r="A340" t="s">
        <v>1447</v>
      </c>
      <c r="B340" s="1">
        <v>45655</v>
      </c>
      <c r="C340" t="s">
        <v>1448</v>
      </c>
      <c r="D340" t="s">
        <v>38</v>
      </c>
      <c r="E340" t="s">
        <v>1449</v>
      </c>
      <c r="F340" t="s">
        <v>71</v>
      </c>
      <c r="G340" t="s">
        <v>1450</v>
      </c>
      <c r="H340">
        <v>699</v>
      </c>
      <c r="I340">
        <v>2</v>
      </c>
      <c r="J340">
        <v>1398</v>
      </c>
      <c r="L340">
        <v>0</v>
      </c>
      <c r="M340" t="s">
        <v>111</v>
      </c>
      <c r="N340" t="s">
        <v>65</v>
      </c>
      <c r="O340" t="s">
        <v>96</v>
      </c>
      <c r="P340" t="s">
        <v>97</v>
      </c>
      <c r="Q340" t="s">
        <v>31</v>
      </c>
      <c r="R340" s="1">
        <v>45681</v>
      </c>
      <c r="S340" t="s">
        <v>33</v>
      </c>
      <c r="T340" t="s">
        <v>46</v>
      </c>
      <c r="U340" t="s">
        <v>68</v>
      </c>
      <c r="V340" s="1">
        <v>45708</v>
      </c>
      <c r="W340" t="s">
        <v>48</v>
      </c>
    </row>
    <row r="341" spans="1:23" x14ac:dyDescent="0.3">
      <c r="A341" t="s">
        <v>1451</v>
      </c>
      <c r="B341" s="1">
        <v>45655</v>
      </c>
      <c r="C341" t="s">
        <v>1452</v>
      </c>
      <c r="D341" t="s">
        <v>25</v>
      </c>
      <c r="E341" t="s">
        <v>1453</v>
      </c>
      <c r="F341" t="s">
        <v>27</v>
      </c>
      <c r="G341" t="s">
        <v>1454</v>
      </c>
      <c r="H341">
        <v>1999</v>
      </c>
      <c r="I341">
        <v>1</v>
      </c>
      <c r="J341">
        <v>1999</v>
      </c>
      <c r="K341" s="2">
        <v>46376</v>
      </c>
      <c r="L341">
        <v>20</v>
      </c>
      <c r="M341" t="s">
        <v>64</v>
      </c>
      <c r="N341" t="s">
        <v>30</v>
      </c>
      <c r="O341" t="s">
        <v>102</v>
      </c>
      <c r="P341" t="s">
        <v>103</v>
      </c>
      <c r="Q341" t="s">
        <v>45</v>
      </c>
      <c r="R341" s="1">
        <v>45682</v>
      </c>
      <c r="S341" t="s">
        <v>33</v>
      </c>
      <c r="T341" t="s">
        <v>34</v>
      </c>
      <c r="W341" t="s">
        <v>35</v>
      </c>
    </row>
    <row r="342" spans="1:23" x14ac:dyDescent="0.3">
      <c r="A342" t="s">
        <v>1455</v>
      </c>
      <c r="B342" s="1">
        <v>45655</v>
      </c>
      <c r="C342" t="s">
        <v>1452</v>
      </c>
      <c r="D342" t="s">
        <v>25</v>
      </c>
      <c r="E342" t="s">
        <v>1456</v>
      </c>
      <c r="F342" t="s">
        <v>40</v>
      </c>
      <c r="G342" t="s">
        <v>1457</v>
      </c>
      <c r="H342">
        <v>3899</v>
      </c>
      <c r="I342">
        <v>1</v>
      </c>
      <c r="J342">
        <v>3899</v>
      </c>
      <c r="L342">
        <v>0</v>
      </c>
      <c r="M342" t="s">
        <v>43</v>
      </c>
      <c r="N342" t="s">
        <v>44</v>
      </c>
      <c r="O342" t="s">
        <v>112</v>
      </c>
      <c r="P342" t="s">
        <v>113</v>
      </c>
      <c r="Q342" t="s">
        <v>45</v>
      </c>
      <c r="R342" s="1">
        <v>45683</v>
      </c>
      <c r="S342" t="s">
        <v>33</v>
      </c>
      <c r="T342" t="s">
        <v>46</v>
      </c>
      <c r="U342" t="s">
        <v>47</v>
      </c>
      <c r="V342" s="1">
        <v>45711</v>
      </c>
      <c r="W342" t="s">
        <v>48</v>
      </c>
    </row>
    <row r="343" spans="1:23" x14ac:dyDescent="0.3">
      <c r="A343" t="s">
        <v>1458</v>
      </c>
      <c r="B343" s="1">
        <v>45656</v>
      </c>
      <c r="C343" t="s">
        <v>1459</v>
      </c>
      <c r="D343" t="s">
        <v>25</v>
      </c>
      <c r="E343" t="s">
        <v>1460</v>
      </c>
      <c r="F343" t="s">
        <v>53</v>
      </c>
      <c r="G343" t="s">
        <v>1461</v>
      </c>
      <c r="H343">
        <v>2099</v>
      </c>
      <c r="I343">
        <v>1</v>
      </c>
      <c r="J343">
        <v>2099</v>
      </c>
      <c r="L343">
        <v>0</v>
      </c>
      <c r="M343" t="s">
        <v>29</v>
      </c>
      <c r="N343" t="s">
        <v>65</v>
      </c>
      <c r="O343" t="s">
        <v>56</v>
      </c>
      <c r="P343" t="s">
        <v>57</v>
      </c>
      <c r="Q343" t="s">
        <v>56</v>
      </c>
      <c r="R343" s="1">
        <v>45683</v>
      </c>
      <c r="S343" t="s">
        <v>33</v>
      </c>
      <c r="T343" t="s">
        <v>34</v>
      </c>
      <c r="W343" t="s">
        <v>35</v>
      </c>
    </row>
    <row r="344" spans="1:23" x14ac:dyDescent="0.3">
      <c r="A344" t="s">
        <v>1462</v>
      </c>
      <c r="B344" s="1">
        <v>45656</v>
      </c>
      <c r="C344" t="s">
        <v>1463</v>
      </c>
      <c r="D344" t="s">
        <v>25</v>
      </c>
      <c r="E344" t="s">
        <v>1464</v>
      </c>
      <c r="F344" t="s">
        <v>61</v>
      </c>
      <c r="G344" t="s">
        <v>1465</v>
      </c>
      <c r="H344">
        <v>4899</v>
      </c>
      <c r="I344">
        <v>1</v>
      </c>
      <c r="J344">
        <v>4899</v>
      </c>
      <c r="K344" s="2">
        <v>46376</v>
      </c>
      <c r="L344">
        <v>20</v>
      </c>
      <c r="M344" t="s">
        <v>55</v>
      </c>
      <c r="N344" t="s">
        <v>30</v>
      </c>
      <c r="O344" t="s">
        <v>31</v>
      </c>
      <c r="P344" t="s">
        <v>32</v>
      </c>
      <c r="Q344" t="s">
        <v>31</v>
      </c>
      <c r="R344" s="1">
        <v>45684</v>
      </c>
      <c r="S344" t="s">
        <v>33</v>
      </c>
      <c r="T344" t="s">
        <v>46</v>
      </c>
      <c r="U344" t="s">
        <v>104</v>
      </c>
      <c r="V344" s="1">
        <v>45712</v>
      </c>
      <c r="W344" t="s">
        <v>48</v>
      </c>
    </row>
    <row r="345" spans="1:23" x14ac:dyDescent="0.3">
      <c r="A345" t="s">
        <v>1466</v>
      </c>
      <c r="B345" s="1">
        <v>45656</v>
      </c>
      <c r="C345" t="s">
        <v>1467</v>
      </c>
      <c r="D345" t="s">
        <v>38</v>
      </c>
      <c r="E345" t="s">
        <v>1468</v>
      </c>
      <c r="F345" t="s">
        <v>71</v>
      </c>
      <c r="G345" t="s">
        <v>1469</v>
      </c>
      <c r="H345">
        <v>599</v>
      </c>
      <c r="I345">
        <v>3</v>
      </c>
      <c r="J345">
        <v>1797</v>
      </c>
      <c r="L345">
        <v>0</v>
      </c>
      <c r="M345" t="s">
        <v>111</v>
      </c>
      <c r="N345" t="s">
        <v>44</v>
      </c>
      <c r="O345" t="s">
        <v>45</v>
      </c>
      <c r="P345" t="s">
        <v>45</v>
      </c>
      <c r="Q345" t="s">
        <v>45</v>
      </c>
      <c r="R345" s="1">
        <v>45683</v>
      </c>
      <c r="S345" t="s">
        <v>33</v>
      </c>
      <c r="T345" t="s">
        <v>34</v>
      </c>
      <c r="W345" t="s">
        <v>35</v>
      </c>
    </row>
    <row r="346" spans="1:23" x14ac:dyDescent="0.3">
      <c r="A346" t="s">
        <v>1470</v>
      </c>
      <c r="B346" s="1">
        <v>45656</v>
      </c>
      <c r="C346" t="s">
        <v>1471</v>
      </c>
      <c r="D346" t="s">
        <v>25</v>
      </c>
      <c r="E346" t="s">
        <v>1472</v>
      </c>
      <c r="F346" t="s">
        <v>27</v>
      </c>
      <c r="G346" t="s">
        <v>1473</v>
      </c>
      <c r="H346">
        <v>2199</v>
      </c>
      <c r="I346">
        <v>1</v>
      </c>
      <c r="J346">
        <v>2199</v>
      </c>
      <c r="L346">
        <v>0</v>
      </c>
      <c r="M346" t="s">
        <v>64</v>
      </c>
      <c r="N346" t="s">
        <v>65</v>
      </c>
      <c r="O346" t="s">
        <v>118</v>
      </c>
      <c r="P346" t="s">
        <v>119</v>
      </c>
      <c r="Q346" t="s">
        <v>45</v>
      </c>
      <c r="R346" s="1">
        <v>45684</v>
      </c>
      <c r="S346" t="s">
        <v>33</v>
      </c>
      <c r="T346" t="s">
        <v>46</v>
      </c>
      <c r="U346" t="s">
        <v>138</v>
      </c>
      <c r="V346" s="1">
        <v>45711</v>
      </c>
      <c r="W346" t="s">
        <v>48</v>
      </c>
    </row>
    <row r="347" spans="1:23" x14ac:dyDescent="0.3">
      <c r="A347" t="s">
        <v>1474</v>
      </c>
      <c r="B347" s="1">
        <v>45657</v>
      </c>
      <c r="C347" t="s">
        <v>1475</v>
      </c>
      <c r="D347" t="s">
        <v>25</v>
      </c>
      <c r="E347" t="s">
        <v>1476</v>
      </c>
      <c r="F347" t="s">
        <v>40</v>
      </c>
      <c r="G347" t="s">
        <v>1159</v>
      </c>
      <c r="H347">
        <v>4499</v>
      </c>
      <c r="I347">
        <v>1</v>
      </c>
      <c r="J347">
        <v>4499</v>
      </c>
      <c r="K347" s="2">
        <v>46376</v>
      </c>
      <c r="L347">
        <v>20</v>
      </c>
      <c r="M347" t="s">
        <v>43</v>
      </c>
      <c r="N347" t="s">
        <v>30</v>
      </c>
      <c r="O347" t="s">
        <v>137</v>
      </c>
      <c r="P347" t="s">
        <v>113</v>
      </c>
      <c r="Q347" t="s">
        <v>45</v>
      </c>
      <c r="R347" s="1">
        <v>45685</v>
      </c>
      <c r="S347" t="s">
        <v>33</v>
      </c>
      <c r="T347" t="s">
        <v>46</v>
      </c>
      <c r="U347" t="s">
        <v>47</v>
      </c>
      <c r="V347" s="1">
        <v>45713</v>
      </c>
      <c r="W34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19FD-6EE8-421F-86FE-081E3EE34913}">
  <dimension ref="A1:XFB347"/>
  <sheetViews>
    <sheetView topLeftCell="Y1" zoomScale="70" zoomScaleNormal="67" workbookViewId="0">
      <selection activeCell="AL11" sqref="AL11"/>
    </sheetView>
  </sheetViews>
  <sheetFormatPr defaultRowHeight="14.4" x14ac:dyDescent="0.3"/>
  <cols>
    <col min="1" max="1" width="21.88671875" customWidth="1"/>
    <col min="2" max="2" width="12.33203125" bestFit="1" customWidth="1"/>
    <col min="3" max="3" width="19" customWidth="1"/>
    <col min="4" max="4" width="8.77734375" bestFit="1" customWidth="1"/>
    <col min="5" max="5" width="19.21875" customWidth="1"/>
    <col min="6" max="6" width="10.77734375" bestFit="1" customWidth="1"/>
    <col min="7" max="7" width="21.6640625" bestFit="1" customWidth="1"/>
    <col min="8" max="8" width="11.33203125" bestFit="1" customWidth="1"/>
    <col min="9" max="9" width="6.21875" bestFit="1" customWidth="1"/>
    <col min="10" max="10" width="7.44140625" bestFit="1" customWidth="1"/>
    <col min="11" max="11" width="15.44140625" bestFit="1" customWidth="1"/>
    <col min="12" max="12" width="8.44140625" bestFit="1" customWidth="1"/>
    <col min="13" max="13" width="10.77734375" bestFit="1" customWidth="1"/>
    <col min="14" max="14" width="13.6640625" bestFit="1" customWidth="1"/>
    <col min="15" max="15" width="18.109375" bestFit="1" customWidth="1"/>
    <col min="16" max="16" width="15.5546875" bestFit="1" customWidth="1"/>
    <col min="17" max="17" width="12.77734375" bestFit="1" customWidth="1"/>
    <col min="18" max="18" width="15.33203125" customWidth="1"/>
    <col min="19" max="19" width="15.6640625" customWidth="1"/>
    <col min="20" max="20" width="18" bestFit="1" customWidth="1"/>
    <col min="21" max="21" width="17.77734375" bestFit="1" customWidth="1"/>
    <col min="22" max="22" width="19.6640625" customWidth="1"/>
    <col min="23" max="23" width="17.6640625" customWidth="1"/>
    <col min="24" max="24" width="16.88671875" customWidth="1"/>
    <col min="25" max="25" width="23.33203125" customWidth="1"/>
    <col min="26" max="26" width="28.88671875" bestFit="1" customWidth="1"/>
    <col min="27" max="27" width="26.44140625" customWidth="1"/>
    <col min="28" max="28" width="20.88671875" customWidth="1"/>
    <col min="29" max="29" width="21.5546875" customWidth="1"/>
    <col min="30" max="30" width="26.21875" customWidth="1"/>
    <col min="31" max="31" width="11" bestFit="1" customWidth="1"/>
    <col min="32" max="32" width="23.5546875" customWidth="1"/>
    <col min="33" max="33" width="16.77734375" style="20" customWidth="1"/>
    <col min="34" max="34" width="13.77734375" customWidth="1"/>
    <col min="35" max="35" width="17" customWidth="1"/>
    <col min="36" max="36" width="16.21875" customWidth="1"/>
  </cols>
  <sheetData>
    <row r="1" spans="1:16382" ht="15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17848</v>
      </c>
      <c r="U1" s="17" t="s">
        <v>17849</v>
      </c>
      <c r="V1" s="17" t="s">
        <v>17847</v>
      </c>
      <c r="W1" s="17" t="s">
        <v>22</v>
      </c>
      <c r="X1" s="8" t="s">
        <v>17861</v>
      </c>
      <c r="Y1" s="14" t="s">
        <v>17865</v>
      </c>
      <c r="Z1" s="15" t="s">
        <v>17873</v>
      </c>
      <c r="AA1" s="15" t="s">
        <v>17878</v>
      </c>
      <c r="AB1" s="14" t="s">
        <v>17879</v>
      </c>
      <c r="AC1" s="16" t="s">
        <v>17956</v>
      </c>
      <c r="AD1" s="18" t="s">
        <v>17957</v>
      </c>
      <c r="AE1" s="16" t="s">
        <v>17972</v>
      </c>
      <c r="AF1" s="16" t="s">
        <v>17964</v>
      </c>
      <c r="AG1" s="19" t="s">
        <v>17969</v>
      </c>
      <c r="AH1" s="16" t="s">
        <v>17980</v>
      </c>
      <c r="AI1" s="16" t="s">
        <v>17988</v>
      </c>
      <c r="AJ1" s="16" t="s">
        <v>18026</v>
      </c>
      <c r="AK1" s="16" t="s">
        <v>1478</v>
      </c>
      <c r="AL1" s="16" t="s">
        <v>1479</v>
      </c>
      <c r="AM1" s="16" t="s">
        <v>1480</v>
      </c>
      <c r="AN1" s="16" t="s">
        <v>1481</v>
      </c>
      <c r="AO1" s="16" t="s">
        <v>1482</v>
      </c>
      <c r="AP1" s="16" t="s">
        <v>1483</v>
      </c>
      <c r="AQ1" s="16" t="s">
        <v>1484</v>
      </c>
      <c r="AR1" s="16" t="s">
        <v>1485</v>
      </c>
      <c r="AS1" s="16" t="s">
        <v>1486</v>
      </c>
      <c r="AT1" s="16" t="s">
        <v>1487</v>
      </c>
      <c r="AU1" s="16" t="s">
        <v>1488</v>
      </c>
      <c r="AV1" s="16" t="s">
        <v>1489</v>
      </c>
      <c r="AW1" s="16" t="s">
        <v>1490</v>
      </c>
      <c r="AX1" s="16" t="s">
        <v>1491</v>
      </c>
      <c r="AY1" s="16" t="s">
        <v>1502</v>
      </c>
      <c r="AZ1" s="16" t="s">
        <v>1503</v>
      </c>
      <c r="BA1" s="16" t="s">
        <v>1504</v>
      </c>
      <c r="BB1" s="16" t="s">
        <v>1505</v>
      </c>
      <c r="BC1" s="16" t="s">
        <v>1506</v>
      </c>
      <c r="BD1" s="16" t="s">
        <v>1507</v>
      </c>
      <c r="BE1" s="16" t="s">
        <v>1508</v>
      </c>
      <c r="BF1" s="16" t="s">
        <v>1509</v>
      </c>
      <c r="BG1" s="16" t="s">
        <v>1510</v>
      </c>
      <c r="BH1" s="16" t="s">
        <v>1511</v>
      </c>
      <c r="BI1" s="16" t="s">
        <v>1512</v>
      </c>
      <c r="BJ1" s="16" t="s">
        <v>1513</v>
      </c>
      <c r="BK1" s="16" t="s">
        <v>1514</v>
      </c>
      <c r="BL1" s="16" t="s">
        <v>1515</v>
      </c>
      <c r="BM1" s="16" t="s">
        <v>1516</v>
      </c>
      <c r="BN1" s="16" t="s">
        <v>1517</v>
      </c>
      <c r="BO1" s="16" t="s">
        <v>1518</v>
      </c>
      <c r="BP1" s="16" t="s">
        <v>1519</v>
      </c>
      <c r="BQ1" s="16" t="s">
        <v>1520</v>
      </c>
      <c r="BR1" s="16" t="s">
        <v>1521</v>
      </c>
      <c r="BS1" s="16" t="s">
        <v>1522</v>
      </c>
      <c r="BT1" s="16" t="s">
        <v>1523</v>
      </c>
      <c r="BU1" s="16" t="s">
        <v>1524</v>
      </c>
      <c r="BV1" s="16" t="s">
        <v>1525</v>
      </c>
      <c r="BW1" s="16" t="s">
        <v>1526</v>
      </c>
      <c r="BX1" s="16" t="s">
        <v>1527</v>
      </c>
      <c r="BY1" s="16" t="s">
        <v>1528</v>
      </c>
      <c r="BZ1" s="16" t="s">
        <v>1529</v>
      </c>
      <c r="CA1" s="16" t="s">
        <v>1530</v>
      </c>
      <c r="CB1" s="16" t="s">
        <v>1531</v>
      </c>
      <c r="CC1" s="16" t="s">
        <v>1532</v>
      </c>
      <c r="CD1" s="16" t="s">
        <v>1533</v>
      </c>
      <c r="CE1" s="16" t="s">
        <v>1534</v>
      </c>
      <c r="CF1" s="16" t="s">
        <v>1535</v>
      </c>
      <c r="CG1" s="16" t="s">
        <v>1536</v>
      </c>
      <c r="CH1" s="16" t="s">
        <v>1537</v>
      </c>
      <c r="CI1" s="16" t="s">
        <v>1538</v>
      </c>
      <c r="CJ1" s="16" t="s">
        <v>1539</v>
      </c>
      <c r="CK1" s="16" t="s">
        <v>1540</v>
      </c>
      <c r="CL1" s="16" t="s">
        <v>1541</v>
      </c>
      <c r="CM1" s="16" t="s">
        <v>1542</v>
      </c>
      <c r="CN1" s="16" t="s">
        <v>1543</v>
      </c>
      <c r="CO1" s="16" t="s">
        <v>1544</v>
      </c>
      <c r="CP1" s="16" t="s">
        <v>1545</v>
      </c>
      <c r="CQ1" s="16" t="s">
        <v>1546</v>
      </c>
      <c r="CR1" s="16" t="s">
        <v>1547</v>
      </c>
      <c r="CS1" s="16" t="s">
        <v>1548</v>
      </c>
      <c r="CT1" s="16" t="s">
        <v>1549</v>
      </c>
      <c r="CU1" s="16" t="s">
        <v>1550</v>
      </c>
      <c r="CV1" s="16" t="s">
        <v>1551</v>
      </c>
      <c r="CW1" s="16" t="s">
        <v>1552</v>
      </c>
      <c r="CX1" s="16" t="s">
        <v>1553</v>
      </c>
      <c r="CY1" s="16" t="s">
        <v>1554</v>
      </c>
      <c r="CZ1" s="16" t="s">
        <v>1555</v>
      </c>
      <c r="DA1" s="16" t="s">
        <v>1556</v>
      </c>
      <c r="DB1" s="16" t="s">
        <v>1557</v>
      </c>
      <c r="DC1" s="16" t="s">
        <v>1558</v>
      </c>
      <c r="DD1" s="16" t="s">
        <v>1559</v>
      </c>
      <c r="DE1" s="16" t="s">
        <v>1560</v>
      </c>
      <c r="DF1" s="16" t="s">
        <v>1561</v>
      </c>
      <c r="DG1" s="16" t="s">
        <v>1562</v>
      </c>
      <c r="DH1" s="16" t="s">
        <v>1563</v>
      </c>
      <c r="DI1" s="16" t="s">
        <v>1564</v>
      </c>
      <c r="DJ1" s="16" t="s">
        <v>1565</v>
      </c>
      <c r="DK1" s="16" t="s">
        <v>1566</v>
      </c>
      <c r="DL1" s="16" t="s">
        <v>1567</v>
      </c>
      <c r="DM1" s="16" t="s">
        <v>1568</v>
      </c>
      <c r="DN1" s="16" t="s">
        <v>1569</v>
      </c>
      <c r="DO1" s="16" t="s">
        <v>1570</v>
      </c>
      <c r="DP1" s="16" t="s">
        <v>1571</v>
      </c>
      <c r="DQ1" s="16" t="s">
        <v>1572</v>
      </c>
      <c r="DR1" s="16" t="s">
        <v>1573</v>
      </c>
      <c r="DS1" s="16" t="s">
        <v>1574</v>
      </c>
      <c r="DT1" s="16" t="s">
        <v>1575</v>
      </c>
      <c r="DU1" s="16" t="s">
        <v>1576</v>
      </c>
      <c r="DV1" s="16" t="s">
        <v>1577</v>
      </c>
      <c r="DW1" s="16" t="s">
        <v>1578</v>
      </c>
      <c r="DX1" s="16" t="s">
        <v>1579</v>
      </c>
      <c r="DY1" s="16" t="s">
        <v>1580</v>
      </c>
      <c r="DZ1" s="16" t="s">
        <v>1581</v>
      </c>
      <c r="EA1" s="16" t="s">
        <v>1582</v>
      </c>
      <c r="EB1" s="16" t="s">
        <v>1583</v>
      </c>
      <c r="EC1" s="16" t="s">
        <v>1584</v>
      </c>
      <c r="ED1" s="16" t="s">
        <v>1585</v>
      </c>
      <c r="EE1" s="16" t="s">
        <v>1586</v>
      </c>
      <c r="EF1" s="16" t="s">
        <v>1587</v>
      </c>
      <c r="EG1" s="16" t="s">
        <v>1588</v>
      </c>
      <c r="EH1" s="16" t="s">
        <v>1589</v>
      </c>
      <c r="EI1" s="16" t="s">
        <v>1590</v>
      </c>
      <c r="EJ1" s="16" t="s">
        <v>1591</v>
      </c>
      <c r="EK1" s="16" t="s">
        <v>1592</v>
      </c>
      <c r="EL1" s="16" t="s">
        <v>1593</v>
      </c>
      <c r="EM1" s="16" t="s">
        <v>1594</v>
      </c>
      <c r="EN1" s="16" t="s">
        <v>1595</v>
      </c>
      <c r="EO1" s="16" t="s">
        <v>1596</v>
      </c>
      <c r="EP1" s="16" t="s">
        <v>1597</v>
      </c>
      <c r="EQ1" s="16" t="s">
        <v>1598</v>
      </c>
      <c r="ER1" s="16" t="s">
        <v>1599</v>
      </c>
      <c r="ES1" s="16" t="s">
        <v>1600</v>
      </c>
      <c r="ET1" s="16" t="s">
        <v>1601</v>
      </c>
      <c r="EU1" s="16" t="s">
        <v>1602</v>
      </c>
      <c r="EV1" s="16" t="s">
        <v>1603</v>
      </c>
      <c r="EW1" s="16" t="s">
        <v>1604</v>
      </c>
      <c r="EX1" s="16" t="s">
        <v>1605</v>
      </c>
      <c r="EY1" s="16" t="s">
        <v>1606</v>
      </c>
      <c r="EZ1" s="16" t="s">
        <v>1607</v>
      </c>
      <c r="FA1" s="16" t="s">
        <v>1608</v>
      </c>
      <c r="FB1" s="16" t="s">
        <v>1609</v>
      </c>
      <c r="FC1" s="16" t="s">
        <v>1610</v>
      </c>
      <c r="FD1" s="16" t="s">
        <v>1611</v>
      </c>
      <c r="FE1" s="16" t="s">
        <v>1612</v>
      </c>
      <c r="FF1" s="16" t="s">
        <v>1613</v>
      </c>
      <c r="FG1" s="16" t="s">
        <v>1614</v>
      </c>
      <c r="FH1" s="16" t="s">
        <v>1615</v>
      </c>
      <c r="FI1" s="16" t="s">
        <v>1616</v>
      </c>
      <c r="FJ1" s="16" t="s">
        <v>1617</v>
      </c>
      <c r="FK1" s="16" t="s">
        <v>1618</v>
      </c>
      <c r="FL1" s="16" t="s">
        <v>1619</v>
      </c>
      <c r="FM1" s="16" t="s">
        <v>1620</v>
      </c>
      <c r="FN1" s="16" t="s">
        <v>1621</v>
      </c>
      <c r="FO1" s="16" t="s">
        <v>1622</v>
      </c>
      <c r="FP1" s="16" t="s">
        <v>1623</v>
      </c>
      <c r="FQ1" s="16" t="s">
        <v>1624</v>
      </c>
      <c r="FR1" s="16" t="s">
        <v>1625</v>
      </c>
      <c r="FS1" s="16" t="s">
        <v>1626</v>
      </c>
      <c r="FT1" s="16" t="s">
        <v>1627</v>
      </c>
      <c r="FU1" s="16" t="s">
        <v>1628</v>
      </c>
      <c r="FV1" s="16" t="s">
        <v>1629</v>
      </c>
      <c r="FW1" s="16" t="s">
        <v>1630</v>
      </c>
      <c r="FX1" s="16" t="s">
        <v>1631</v>
      </c>
      <c r="FY1" s="16" t="s">
        <v>1632</v>
      </c>
      <c r="FZ1" s="16" t="s">
        <v>1633</v>
      </c>
      <c r="GA1" s="16" t="s">
        <v>1634</v>
      </c>
      <c r="GB1" s="16" t="s">
        <v>1635</v>
      </c>
      <c r="GC1" s="16" t="s">
        <v>1636</v>
      </c>
      <c r="GD1" s="16" t="s">
        <v>1637</v>
      </c>
      <c r="GE1" s="16" t="s">
        <v>1638</v>
      </c>
      <c r="GF1" s="16" t="s">
        <v>1639</v>
      </c>
      <c r="GG1" s="16" t="s">
        <v>1640</v>
      </c>
      <c r="GH1" s="16" t="s">
        <v>1641</v>
      </c>
      <c r="GI1" s="16" t="s">
        <v>1642</v>
      </c>
      <c r="GJ1" s="16" t="s">
        <v>1643</v>
      </c>
      <c r="GK1" s="16" t="s">
        <v>1644</v>
      </c>
      <c r="GL1" s="16" t="s">
        <v>1645</v>
      </c>
      <c r="GM1" s="16" t="s">
        <v>1646</v>
      </c>
      <c r="GN1" s="16" t="s">
        <v>1647</v>
      </c>
      <c r="GO1" s="16" t="s">
        <v>1648</v>
      </c>
      <c r="GP1" s="16" t="s">
        <v>1649</v>
      </c>
      <c r="GQ1" s="16" t="s">
        <v>1650</v>
      </c>
      <c r="GR1" s="16" t="s">
        <v>1651</v>
      </c>
      <c r="GS1" s="16" t="s">
        <v>1652</v>
      </c>
      <c r="GT1" s="16" t="s">
        <v>1653</v>
      </c>
      <c r="GU1" s="16" t="s">
        <v>1654</v>
      </c>
      <c r="GV1" s="16" t="s">
        <v>1655</v>
      </c>
      <c r="GW1" s="16" t="s">
        <v>1656</v>
      </c>
      <c r="GX1" s="16" t="s">
        <v>1657</v>
      </c>
      <c r="GY1" s="16" t="s">
        <v>1658</v>
      </c>
      <c r="GZ1" s="16" t="s">
        <v>1659</v>
      </c>
      <c r="HA1" s="16" t="s">
        <v>1660</v>
      </c>
      <c r="HB1" s="16" t="s">
        <v>1661</v>
      </c>
      <c r="HC1" s="16" t="s">
        <v>1662</v>
      </c>
      <c r="HD1" s="16" t="s">
        <v>1663</v>
      </c>
      <c r="HE1" s="16" t="s">
        <v>1664</v>
      </c>
      <c r="HF1" s="16" t="s">
        <v>1665</v>
      </c>
      <c r="HG1" s="16" t="s">
        <v>1666</v>
      </c>
      <c r="HH1" s="16" t="s">
        <v>1667</v>
      </c>
      <c r="HI1" s="16" t="s">
        <v>1668</v>
      </c>
      <c r="HJ1" s="16" t="s">
        <v>1669</v>
      </c>
      <c r="HK1" s="16" t="s">
        <v>1670</v>
      </c>
      <c r="HL1" s="16" t="s">
        <v>1671</v>
      </c>
      <c r="HM1" s="16" t="s">
        <v>1672</v>
      </c>
      <c r="HN1" s="16" t="s">
        <v>1673</v>
      </c>
      <c r="HO1" s="16" t="s">
        <v>1674</v>
      </c>
      <c r="HP1" s="16" t="s">
        <v>1675</v>
      </c>
      <c r="HQ1" s="16" t="s">
        <v>1676</v>
      </c>
      <c r="HR1" s="16" t="s">
        <v>1677</v>
      </c>
      <c r="HS1" s="16" t="s">
        <v>1678</v>
      </c>
      <c r="HT1" s="16" t="s">
        <v>1679</v>
      </c>
      <c r="HU1" s="16" t="s">
        <v>1680</v>
      </c>
      <c r="HV1" s="16" t="s">
        <v>1681</v>
      </c>
      <c r="HW1" s="16" t="s">
        <v>1682</v>
      </c>
      <c r="HX1" s="16" t="s">
        <v>1683</v>
      </c>
      <c r="HY1" s="16" t="s">
        <v>1684</v>
      </c>
      <c r="HZ1" s="16" t="s">
        <v>1685</v>
      </c>
      <c r="IA1" s="16" t="s">
        <v>1686</v>
      </c>
      <c r="IB1" s="16" t="s">
        <v>1687</v>
      </c>
      <c r="IC1" s="16" t="s">
        <v>1688</v>
      </c>
      <c r="ID1" s="16" t="s">
        <v>1689</v>
      </c>
      <c r="IE1" s="16" t="s">
        <v>1690</v>
      </c>
      <c r="IF1" s="16" t="s">
        <v>1691</v>
      </c>
      <c r="IG1" s="16" t="s">
        <v>1692</v>
      </c>
      <c r="IH1" s="16" t="s">
        <v>1693</v>
      </c>
      <c r="II1" s="16" t="s">
        <v>1694</v>
      </c>
      <c r="IJ1" s="16" t="s">
        <v>1695</v>
      </c>
      <c r="IK1" s="16" t="s">
        <v>1696</v>
      </c>
      <c r="IL1" s="16" t="s">
        <v>1697</v>
      </c>
      <c r="IM1" s="16" t="s">
        <v>1698</v>
      </c>
      <c r="IN1" s="16" t="s">
        <v>1699</v>
      </c>
      <c r="IO1" s="16" t="s">
        <v>1700</v>
      </c>
      <c r="IP1" s="16" t="s">
        <v>1701</v>
      </c>
      <c r="IQ1" s="16" t="s">
        <v>1702</v>
      </c>
      <c r="IR1" s="16" t="s">
        <v>1703</v>
      </c>
      <c r="IS1" s="16" t="s">
        <v>1704</v>
      </c>
      <c r="IT1" s="16" t="s">
        <v>1705</v>
      </c>
      <c r="IU1" s="16" t="s">
        <v>1706</v>
      </c>
      <c r="IV1" s="16" t="s">
        <v>1707</v>
      </c>
      <c r="IW1" s="16" t="s">
        <v>1708</v>
      </c>
      <c r="IX1" s="16" t="s">
        <v>1709</v>
      </c>
      <c r="IY1" s="16" t="s">
        <v>1710</v>
      </c>
      <c r="IZ1" s="16" t="s">
        <v>1711</v>
      </c>
      <c r="JA1" s="16" t="s">
        <v>1712</v>
      </c>
      <c r="JB1" s="16" t="s">
        <v>1713</v>
      </c>
      <c r="JC1" s="16" t="s">
        <v>1714</v>
      </c>
      <c r="JD1" s="16" t="s">
        <v>1715</v>
      </c>
      <c r="JE1" s="16" t="s">
        <v>1716</v>
      </c>
      <c r="JF1" s="16" t="s">
        <v>1717</v>
      </c>
      <c r="JG1" s="16" t="s">
        <v>1718</v>
      </c>
      <c r="JH1" s="16" t="s">
        <v>1719</v>
      </c>
      <c r="JI1" s="16" t="s">
        <v>1720</v>
      </c>
      <c r="JJ1" s="16" t="s">
        <v>1721</v>
      </c>
      <c r="JK1" s="16" t="s">
        <v>1722</v>
      </c>
      <c r="JL1" s="16" t="s">
        <v>1723</v>
      </c>
      <c r="JM1" s="16" t="s">
        <v>1724</v>
      </c>
      <c r="JN1" s="16" t="s">
        <v>1725</v>
      </c>
      <c r="JO1" s="16" t="s">
        <v>1726</v>
      </c>
      <c r="JP1" s="16" t="s">
        <v>1727</v>
      </c>
      <c r="JQ1" s="16" t="s">
        <v>1728</v>
      </c>
      <c r="JR1" s="16" t="s">
        <v>1729</v>
      </c>
      <c r="JS1" s="16" t="s">
        <v>1730</v>
      </c>
      <c r="JT1" s="16" t="s">
        <v>1731</v>
      </c>
      <c r="JU1" s="16" t="s">
        <v>1732</v>
      </c>
      <c r="JV1" s="16" t="s">
        <v>1733</v>
      </c>
      <c r="JW1" s="16" t="s">
        <v>1734</v>
      </c>
      <c r="JX1" s="16" t="s">
        <v>1735</v>
      </c>
      <c r="JY1" s="16" t="s">
        <v>1736</v>
      </c>
      <c r="JZ1" s="16" t="s">
        <v>1737</v>
      </c>
      <c r="KA1" s="16" t="s">
        <v>1738</v>
      </c>
      <c r="KB1" s="16" t="s">
        <v>1739</v>
      </c>
      <c r="KC1" s="16" t="s">
        <v>1740</v>
      </c>
      <c r="KD1" s="16" t="s">
        <v>1741</v>
      </c>
      <c r="KE1" s="16" t="s">
        <v>1742</v>
      </c>
      <c r="KF1" s="16" t="s">
        <v>1743</v>
      </c>
      <c r="KG1" s="16" t="s">
        <v>1744</v>
      </c>
      <c r="KH1" s="16" t="s">
        <v>1745</v>
      </c>
      <c r="KI1" s="16" t="s">
        <v>1746</v>
      </c>
      <c r="KJ1" s="16" t="s">
        <v>1747</v>
      </c>
      <c r="KK1" s="16" t="s">
        <v>1748</v>
      </c>
      <c r="KL1" s="16" t="s">
        <v>1749</v>
      </c>
      <c r="KM1" s="16" t="s">
        <v>1750</v>
      </c>
      <c r="KN1" s="16" t="s">
        <v>1751</v>
      </c>
      <c r="KO1" s="16" t="s">
        <v>1752</v>
      </c>
      <c r="KP1" s="16" t="s">
        <v>1753</v>
      </c>
      <c r="KQ1" s="16" t="s">
        <v>1754</v>
      </c>
      <c r="KR1" s="16" t="s">
        <v>1755</v>
      </c>
      <c r="KS1" s="16" t="s">
        <v>1756</v>
      </c>
      <c r="KT1" s="16" t="s">
        <v>1757</v>
      </c>
      <c r="KU1" s="16" t="s">
        <v>1758</v>
      </c>
      <c r="KV1" s="16" t="s">
        <v>1759</v>
      </c>
      <c r="KW1" s="16" t="s">
        <v>1760</v>
      </c>
      <c r="KX1" s="16" t="s">
        <v>1761</v>
      </c>
      <c r="KY1" s="16" t="s">
        <v>1762</v>
      </c>
      <c r="KZ1" s="16" t="s">
        <v>1763</v>
      </c>
      <c r="LA1" s="16" t="s">
        <v>1764</v>
      </c>
      <c r="LB1" s="16" t="s">
        <v>1765</v>
      </c>
      <c r="LC1" s="16" t="s">
        <v>1766</v>
      </c>
      <c r="LD1" s="16" t="s">
        <v>1767</v>
      </c>
      <c r="LE1" s="16" t="s">
        <v>1768</v>
      </c>
      <c r="LF1" s="16" t="s">
        <v>1769</v>
      </c>
      <c r="LG1" s="16" t="s">
        <v>1770</v>
      </c>
      <c r="LH1" s="16" t="s">
        <v>1771</v>
      </c>
      <c r="LI1" s="16" t="s">
        <v>1772</v>
      </c>
      <c r="LJ1" s="16" t="s">
        <v>1773</v>
      </c>
      <c r="LK1" s="16" t="s">
        <v>1774</v>
      </c>
      <c r="LL1" s="16" t="s">
        <v>1775</v>
      </c>
      <c r="LM1" s="16" t="s">
        <v>1776</v>
      </c>
      <c r="LN1" s="16" t="s">
        <v>1777</v>
      </c>
      <c r="LO1" s="16" t="s">
        <v>1778</v>
      </c>
      <c r="LP1" s="16" t="s">
        <v>1779</v>
      </c>
      <c r="LQ1" s="16" t="s">
        <v>1780</v>
      </c>
      <c r="LR1" s="16" t="s">
        <v>1781</v>
      </c>
      <c r="LS1" s="16" t="s">
        <v>1782</v>
      </c>
      <c r="LT1" s="16" t="s">
        <v>1783</v>
      </c>
      <c r="LU1" s="16" t="s">
        <v>1784</v>
      </c>
      <c r="LV1" s="16" t="s">
        <v>1785</v>
      </c>
      <c r="LW1" s="16" t="s">
        <v>1786</v>
      </c>
      <c r="LX1" s="16" t="s">
        <v>1787</v>
      </c>
      <c r="LY1" s="16" t="s">
        <v>1788</v>
      </c>
      <c r="LZ1" s="16" t="s">
        <v>1789</v>
      </c>
      <c r="MA1" s="16" t="s">
        <v>1790</v>
      </c>
      <c r="MB1" s="16" t="s">
        <v>1791</v>
      </c>
      <c r="MC1" s="16" t="s">
        <v>1792</v>
      </c>
      <c r="MD1" s="16" t="s">
        <v>1793</v>
      </c>
      <c r="ME1" s="16" t="s">
        <v>1794</v>
      </c>
      <c r="MF1" s="16" t="s">
        <v>1795</v>
      </c>
      <c r="MG1" s="16" t="s">
        <v>1796</v>
      </c>
      <c r="MH1" s="16" t="s">
        <v>1797</v>
      </c>
      <c r="MI1" s="16" t="s">
        <v>1798</v>
      </c>
      <c r="MJ1" s="16" t="s">
        <v>1799</v>
      </c>
      <c r="MK1" s="16" t="s">
        <v>1800</v>
      </c>
      <c r="ML1" s="16" t="s">
        <v>1801</v>
      </c>
      <c r="MM1" s="16" t="s">
        <v>1802</v>
      </c>
      <c r="MN1" s="16" t="s">
        <v>1803</v>
      </c>
      <c r="MO1" s="16" t="s">
        <v>1804</v>
      </c>
      <c r="MP1" s="16" t="s">
        <v>1805</v>
      </c>
      <c r="MQ1" s="16" t="s">
        <v>1806</v>
      </c>
      <c r="MR1" s="16" t="s">
        <v>1807</v>
      </c>
      <c r="MS1" s="16" t="s">
        <v>1808</v>
      </c>
      <c r="MT1" s="16" t="s">
        <v>1809</v>
      </c>
      <c r="MU1" s="16" t="s">
        <v>1810</v>
      </c>
      <c r="MV1" s="16" t="s">
        <v>1811</v>
      </c>
      <c r="MW1" s="16" t="s">
        <v>1812</v>
      </c>
      <c r="MX1" s="16" t="s">
        <v>1813</v>
      </c>
      <c r="MY1" s="16" t="s">
        <v>1814</v>
      </c>
      <c r="MZ1" s="16" t="s">
        <v>1815</v>
      </c>
      <c r="NA1" s="16" t="s">
        <v>1816</v>
      </c>
      <c r="NB1" s="16" t="s">
        <v>1817</v>
      </c>
      <c r="NC1" s="16" t="s">
        <v>1818</v>
      </c>
      <c r="ND1" s="16" t="s">
        <v>1819</v>
      </c>
      <c r="NE1" s="16" t="s">
        <v>1820</v>
      </c>
      <c r="NF1" s="16" t="s">
        <v>1821</v>
      </c>
      <c r="NG1" s="16" t="s">
        <v>1822</v>
      </c>
      <c r="NH1" s="16" t="s">
        <v>1823</v>
      </c>
      <c r="NI1" s="16" t="s">
        <v>1824</v>
      </c>
      <c r="NJ1" s="16" t="s">
        <v>1825</v>
      </c>
      <c r="NK1" s="16" t="s">
        <v>1826</v>
      </c>
      <c r="NL1" s="16" t="s">
        <v>1827</v>
      </c>
      <c r="NM1" s="16" t="s">
        <v>1828</v>
      </c>
      <c r="NN1" s="16" t="s">
        <v>1829</v>
      </c>
      <c r="NO1" s="16" t="s">
        <v>1830</v>
      </c>
      <c r="NP1" s="16" t="s">
        <v>1831</v>
      </c>
      <c r="NQ1" s="16" t="s">
        <v>1832</v>
      </c>
      <c r="NR1" s="16" t="s">
        <v>1833</v>
      </c>
      <c r="NS1" s="16" t="s">
        <v>1834</v>
      </c>
      <c r="NT1" s="16" t="s">
        <v>1835</v>
      </c>
      <c r="NU1" s="16" t="s">
        <v>1836</v>
      </c>
      <c r="NV1" s="16" t="s">
        <v>1837</v>
      </c>
      <c r="NW1" s="16" t="s">
        <v>1838</v>
      </c>
      <c r="NX1" s="16" t="s">
        <v>1839</v>
      </c>
      <c r="NY1" s="16" t="s">
        <v>1840</v>
      </c>
      <c r="NZ1" s="16" t="s">
        <v>1841</v>
      </c>
      <c r="OA1" s="16" t="s">
        <v>1842</v>
      </c>
      <c r="OB1" s="16" t="s">
        <v>1843</v>
      </c>
      <c r="OC1" s="16" t="s">
        <v>1844</v>
      </c>
      <c r="OD1" s="16" t="s">
        <v>1845</v>
      </c>
      <c r="OE1" s="16" t="s">
        <v>1846</v>
      </c>
      <c r="OF1" s="16" t="s">
        <v>1847</v>
      </c>
      <c r="OG1" s="16" t="s">
        <v>1848</v>
      </c>
      <c r="OH1" s="16" t="s">
        <v>1849</v>
      </c>
      <c r="OI1" s="16" t="s">
        <v>1850</v>
      </c>
      <c r="OJ1" s="16" t="s">
        <v>1851</v>
      </c>
      <c r="OK1" s="16" t="s">
        <v>1852</v>
      </c>
      <c r="OL1" s="16" t="s">
        <v>1853</v>
      </c>
      <c r="OM1" s="16" t="s">
        <v>1854</v>
      </c>
      <c r="ON1" s="16" t="s">
        <v>1855</v>
      </c>
      <c r="OO1" s="16" t="s">
        <v>1856</v>
      </c>
      <c r="OP1" s="16" t="s">
        <v>1857</v>
      </c>
      <c r="OQ1" s="16" t="s">
        <v>1858</v>
      </c>
      <c r="OR1" s="16" t="s">
        <v>1859</v>
      </c>
      <c r="OS1" s="16" t="s">
        <v>1860</v>
      </c>
      <c r="OT1" s="16" t="s">
        <v>1861</v>
      </c>
      <c r="OU1" s="16" t="s">
        <v>1862</v>
      </c>
      <c r="OV1" s="16" t="s">
        <v>1863</v>
      </c>
      <c r="OW1" s="16" t="s">
        <v>1864</v>
      </c>
      <c r="OX1" s="16" t="s">
        <v>1865</v>
      </c>
      <c r="OY1" s="16" t="s">
        <v>1866</v>
      </c>
      <c r="OZ1" s="16" t="s">
        <v>1867</v>
      </c>
      <c r="PA1" s="16" t="s">
        <v>1868</v>
      </c>
      <c r="PB1" s="16" t="s">
        <v>1869</v>
      </c>
      <c r="PC1" s="16" t="s">
        <v>1870</v>
      </c>
      <c r="PD1" s="16" t="s">
        <v>1871</v>
      </c>
      <c r="PE1" s="16" t="s">
        <v>1872</v>
      </c>
      <c r="PF1" s="16" t="s">
        <v>1873</v>
      </c>
      <c r="PG1" s="16" t="s">
        <v>1874</v>
      </c>
      <c r="PH1" s="16" t="s">
        <v>1875</v>
      </c>
      <c r="PI1" s="16" t="s">
        <v>1876</v>
      </c>
      <c r="PJ1" s="16" t="s">
        <v>1877</v>
      </c>
      <c r="PK1" s="16" t="s">
        <v>1878</v>
      </c>
      <c r="PL1" s="16" t="s">
        <v>1879</v>
      </c>
      <c r="PM1" s="16" t="s">
        <v>1880</v>
      </c>
      <c r="PN1" s="16" t="s">
        <v>1881</v>
      </c>
      <c r="PO1" s="16" t="s">
        <v>1882</v>
      </c>
      <c r="PP1" s="16" t="s">
        <v>1883</v>
      </c>
      <c r="PQ1" s="16" t="s">
        <v>1884</v>
      </c>
      <c r="PR1" s="16" t="s">
        <v>1885</v>
      </c>
      <c r="PS1" s="16" t="s">
        <v>1886</v>
      </c>
      <c r="PT1" s="16" t="s">
        <v>1887</v>
      </c>
      <c r="PU1" s="16" t="s">
        <v>1888</v>
      </c>
      <c r="PV1" s="16" t="s">
        <v>1889</v>
      </c>
      <c r="PW1" s="16" t="s">
        <v>1890</v>
      </c>
      <c r="PX1" s="16" t="s">
        <v>1891</v>
      </c>
      <c r="PY1" s="16" t="s">
        <v>1892</v>
      </c>
      <c r="PZ1" s="16" t="s">
        <v>1893</v>
      </c>
      <c r="QA1" s="16" t="s">
        <v>1894</v>
      </c>
      <c r="QB1" s="16" t="s">
        <v>1895</v>
      </c>
      <c r="QC1" s="16" t="s">
        <v>1896</v>
      </c>
      <c r="QD1" s="16" t="s">
        <v>1897</v>
      </c>
      <c r="QE1" s="16" t="s">
        <v>1898</v>
      </c>
      <c r="QF1" s="16" t="s">
        <v>1899</v>
      </c>
      <c r="QG1" s="16" t="s">
        <v>1900</v>
      </c>
      <c r="QH1" s="16" t="s">
        <v>1901</v>
      </c>
      <c r="QI1" s="16" t="s">
        <v>1902</v>
      </c>
      <c r="QJ1" s="16" t="s">
        <v>1903</v>
      </c>
      <c r="QK1" s="16" t="s">
        <v>1904</v>
      </c>
      <c r="QL1" s="16" t="s">
        <v>1905</v>
      </c>
      <c r="QM1" s="16" t="s">
        <v>1906</v>
      </c>
      <c r="QN1" s="16" t="s">
        <v>1907</v>
      </c>
      <c r="QO1" s="16" t="s">
        <v>1908</v>
      </c>
      <c r="QP1" s="16" t="s">
        <v>1909</v>
      </c>
      <c r="QQ1" s="16" t="s">
        <v>1910</v>
      </c>
      <c r="QR1" s="16" t="s">
        <v>1911</v>
      </c>
      <c r="QS1" s="16" t="s">
        <v>1912</v>
      </c>
      <c r="QT1" s="16" t="s">
        <v>1913</v>
      </c>
      <c r="QU1" s="16" t="s">
        <v>1914</v>
      </c>
      <c r="QV1" s="16" t="s">
        <v>1915</v>
      </c>
      <c r="QW1" s="16" t="s">
        <v>1916</v>
      </c>
      <c r="QX1" s="16" t="s">
        <v>1917</v>
      </c>
      <c r="QY1" s="16" t="s">
        <v>1918</v>
      </c>
      <c r="QZ1" s="16" t="s">
        <v>1919</v>
      </c>
      <c r="RA1" s="16" t="s">
        <v>1920</v>
      </c>
      <c r="RB1" s="16" t="s">
        <v>1921</v>
      </c>
      <c r="RC1" s="16" t="s">
        <v>1922</v>
      </c>
      <c r="RD1" s="16" t="s">
        <v>1923</v>
      </c>
      <c r="RE1" s="16" t="s">
        <v>1924</v>
      </c>
      <c r="RF1" s="16" t="s">
        <v>1925</v>
      </c>
      <c r="RG1" s="16" t="s">
        <v>1926</v>
      </c>
      <c r="RH1" s="16" t="s">
        <v>1927</v>
      </c>
      <c r="RI1" s="16" t="s">
        <v>1928</v>
      </c>
      <c r="RJ1" s="16" t="s">
        <v>1929</v>
      </c>
      <c r="RK1" s="16" t="s">
        <v>1930</v>
      </c>
      <c r="RL1" s="16" t="s">
        <v>1931</v>
      </c>
      <c r="RM1" s="16" t="s">
        <v>1932</v>
      </c>
      <c r="RN1" s="16" t="s">
        <v>1933</v>
      </c>
      <c r="RO1" s="16" t="s">
        <v>1934</v>
      </c>
      <c r="RP1" s="16" t="s">
        <v>1935</v>
      </c>
      <c r="RQ1" s="16" t="s">
        <v>1936</v>
      </c>
      <c r="RR1" s="16" t="s">
        <v>1937</v>
      </c>
      <c r="RS1" s="16" t="s">
        <v>1938</v>
      </c>
      <c r="RT1" s="16" t="s">
        <v>1939</v>
      </c>
      <c r="RU1" s="16" t="s">
        <v>1940</v>
      </c>
      <c r="RV1" s="16" t="s">
        <v>1941</v>
      </c>
      <c r="RW1" s="16" t="s">
        <v>1942</v>
      </c>
      <c r="RX1" s="16" t="s">
        <v>1943</v>
      </c>
      <c r="RY1" s="16" t="s">
        <v>1944</v>
      </c>
      <c r="RZ1" s="16" t="s">
        <v>1945</v>
      </c>
      <c r="SA1" s="16" t="s">
        <v>1946</v>
      </c>
      <c r="SB1" s="16" t="s">
        <v>1947</v>
      </c>
      <c r="SC1" s="16" t="s">
        <v>1948</v>
      </c>
      <c r="SD1" s="16" t="s">
        <v>1949</v>
      </c>
      <c r="SE1" s="16" t="s">
        <v>1950</v>
      </c>
      <c r="SF1" s="16" t="s">
        <v>1951</v>
      </c>
      <c r="SG1" s="16" t="s">
        <v>1952</v>
      </c>
      <c r="SH1" s="16" t="s">
        <v>1953</v>
      </c>
      <c r="SI1" s="16" t="s">
        <v>1954</v>
      </c>
      <c r="SJ1" s="16" t="s">
        <v>1955</v>
      </c>
      <c r="SK1" s="16" t="s">
        <v>1956</v>
      </c>
      <c r="SL1" s="16" t="s">
        <v>1957</v>
      </c>
      <c r="SM1" s="16" t="s">
        <v>1958</v>
      </c>
      <c r="SN1" s="16" t="s">
        <v>1959</v>
      </c>
      <c r="SO1" s="16" t="s">
        <v>1960</v>
      </c>
      <c r="SP1" s="16" t="s">
        <v>1961</v>
      </c>
      <c r="SQ1" s="16" t="s">
        <v>1962</v>
      </c>
      <c r="SR1" s="16" t="s">
        <v>1963</v>
      </c>
      <c r="SS1" s="16" t="s">
        <v>1964</v>
      </c>
      <c r="ST1" s="16" t="s">
        <v>1965</v>
      </c>
      <c r="SU1" s="16" t="s">
        <v>1966</v>
      </c>
      <c r="SV1" s="16" t="s">
        <v>1967</v>
      </c>
      <c r="SW1" s="16" t="s">
        <v>1968</v>
      </c>
      <c r="SX1" s="16" t="s">
        <v>1969</v>
      </c>
      <c r="SY1" s="16" t="s">
        <v>1970</v>
      </c>
      <c r="SZ1" s="16" t="s">
        <v>1971</v>
      </c>
      <c r="TA1" s="16" t="s">
        <v>1972</v>
      </c>
      <c r="TB1" s="16" t="s">
        <v>1973</v>
      </c>
      <c r="TC1" s="16" t="s">
        <v>1974</v>
      </c>
      <c r="TD1" s="16" t="s">
        <v>1975</v>
      </c>
      <c r="TE1" s="16" t="s">
        <v>1976</v>
      </c>
      <c r="TF1" s="16" t="s">
        <v>1977</v>
      </c>
      <c r="TG1" s="16" t="s">
        <v>1978</v>
      </c>
      <c r="TH1" s="16" t="s">
        <v>1979</v>
      </c>
      <c r="TI1" s="16" t="s">
        <v>1980</v>
      </c>
      <c r="TJ1" s="16" t="s">
        <v>1981</v>
      </c>
      <c r="TK1" s="16" t="s">
        <v>1982</v>
      </c>
      <c r="TL1" s="16" t="s">
        <v>1983</v>
      </c>
      <c r="TM1" s="16" t="s">
        <v>1984</v>
      </c>
      <c r="TN1" s="16" t="s">
        <v>1985</v>
      </c>
      <c r="TO1" s="16" t="s">
        <v>1986</v>
      </c>
      <c r="TP1" s="16" t="s">
        <v>1987</v>
      </c>
      <c r="TQ1" s="16" t="s">
        <v>1988</v>
      </c>
      <c r="TR1" s="16" t="s">
        <v>1989</v>
      </c>
      <c r="TS1" s="16" t="s">
        <v>1990</v>
      </c>
      <c r="TT1" s="16" t="s">
        <v>1991</v>
      </c>
      <c r="TU1" s="16" t="s">
        <v>1992</v>
      </c>
      <c r="TV1" s="16" t="s">
        <v>1993</v>
      </c>
      <c r="TW1" s="16" t="s">
        <v>1994</v>
      </c>
      <c r="TX1" s="16" t="s">
        <v>1995</v>
      </c>
      <c r="TY1" s="16" t="s">
        <v>1996</v>
      </c>
      <c r="TZ1" s="16" t="s">
        <v>1997</v>
      </c>
      <c r="UA1" s="16" t="s">
        <v>1998</v>
      </c>
      <c r="UB1" s="16" t="s">
        <v>1999</v>
      </c>
      <c r="UC1" s="16" t="s">
        <v>2000</v>
      </c>
      <c r="UD1" s="16" t="s">
        <v>2001</v>
      </c>
      <c r="UE1" s="16" t="s">
        <v>2002</v>
      </c>
      <c r="UF1" s="16" t="s">
        <v>2003</v>
      </c>
      <c r="UG1" s="16" t="s">
        <v>2004</v>
      </c>
      <c r="UH1" s="16" t="s">
        <v>2005</v>
      </c>
      <c r="UI1" s="16" t="s">
        <v>2006</v>
      </c>
      <c r="UJ1" s="16" t="s">
        <v>2007</v>
      </c>
      <c r="UK1" s="16" t="s">
        <v>2008</v>
      </c>
      <c r="UL1" s="16" t="s">
        <v>2009</v>
      </c>
      <c r="UM1" s="16" t="s">
        <v>2010</v>
      </c>
      <c r="UN1" s="16" t="s">
        <v>2011</v>
      </c>
      <c r="UO1" s="16" t="s">
        <v>2012</v>
      </c>
      <c r="UP1" s="16" t="s">
        <v>2013</v>
      </c>
      <c r="UQ1" s="16" t="s">
        <v>2014</v>
      </c>
      <c r="UR1" s="16" t="s">
        <v>2015</v>
      </c>
      <c r="US1" s="16" t="s">
        <v>2016</v>
      </c>
      <c r="UT1" s="16" t="s">
        <v>2017</v>
      </c>
      <c r="UU1" s="16" t="s">
        <v>2018</v>
      </c>
      <c r="UV1" s="16" t="s">
        <v>2019</v>
      </c>
      <c r="UW1" s="16" t="s">
        <v>2020</v>
      </c>
      <c r="UX1" s="16" t="s">
        <v>2021</v>
      </c>
      <c r="UY1" s="16" t="s">
        <v>2022</v>
      </c>
      <c r="UZ1" s="16" t="s">
        <v>2023</v>
      </c>
      <c r="VA1" s="16" t="s">
        <v>2024</v>
      </c>
      <c r="VB1" s="16" t="s">
        <v>2025</v>
      </c>
      <c r="VC1" s="16" t="s">
        <v>2026</v>
      </c>
      <c r="VD1" s="16" t="s">
        <v>2027</v>
      </c>
      <c r="VE1" s="16" t="s">
        <v>2028</v>
      </c>
      <c r="VF1" s="16" t="s">
        <v>2029</v>
      </c>
      <c r="VG1" s="16" t="s">
        <v>2030</v>
      </c>
      <c r="VH1" s="16" t="s">
        <v>2031</v>
      </c>
      <c r="VI1" s="16" t="s">
        <v>2032</v>
      </c>
      <c r="VJ1" s="16" t="s">
        <v>2033</v>
      </c>
      <c r="VK1" s="16" t="s">
        <v>2034</v>
      </c>
      <c r="VL1" s="16" t="s">
        <v>2035</v>
      </c>
      <c r="VM1" s="16" t="s">
        <v>2036</v>
      </c>
      <c r="VN1" s="16" t="s">
        <v>2037</v>
      </c>
      <c r="VO1" s="16" t="s">
        <v>2038</v>
      </c>
      <c r="VP1" s="16" t="s">
        <v>2039</v>
      </c>
      <c r="VQ1" s="16" t="s">
        <v>2040</v>
      </c>
      <c r="VR1" s="16" t="s">
        <v>2041</v>
      </c>
      <c r="VS1" s="16" t="s">
        <v>2042</v>
      </c>
      <c r="VT1" s="16" t="s">
        <v>2043</v>
      </c>
      <c r="VU1" s="16" t="s">
        <v>2044</v>
      </c>
      <c r="VV1" s="16" t="s">
        <v>2045</v>
      </c>
      <c r="VW1" s="16" t="s">
        <v>2046</v>
      </c>
      <c r="VX1" s="16" t="s">
        <v>2047</v>
      </c>
      <c r="VY1" s="16" t="s">
        <v>2048</v>
      </c>
      <c r="VZ1" s="16" t="s">
        <v>2049</v>
      </c>
      <c r="WA1" s="16" t="s">
        <v>2050</v>
      </c>
      <c r="WB1" s="16" t="s">
        <v>2051</v>
      </c>
      <c r="WC1" s="16" t="s">
        <v>2052</v>
      </c>
      <c r="WD1" s="16" t="s">
        <v>2053</v>
      </c>
      <c r="WE1" s="16" t="s">
        <v>2054</v>
      </c>
      <c r="WF1" s="16" t="s">
        <v>2055</v>
      </c>
      <c r="WG1" s="16" t="s">
        <v>2056</v>
      </c>
      <c r="WH1" s="16" t="s">
        <v>2057</v>
      </c>
      <c r="WI1" s="16" t="s">
        <v>2058</v>
      </c>
      <c r="WJ1" s="16" t="s">
        <v>2059</v>
      </c>
      <c r="WK1" s="16" t="s">
        <v>2060</v>
      </c>
      <c r="WL1" s="16" t="s">
        <v>2061</v>
      </c>
      <c r="WM1" s="16" t="s">
        <v>2062</v>
      </c>
      <c r="WN1" s="16" t="s">
        <v>2063</v>
      </c>
      <c r="WO1" s="16" t="s">
        <v>2064</v>
      </c>
      <c r="WP1" s="16" t="s">
        <v>2065</v>
      </c>
      <c r="WQ1" s="16" t="s">
        <v>2066</v>
      </c>
      <c r="WR1" s="16" t="s">
        <v>2067</v>
      </c>
      <c r="WS1" s="16" t="s">
        <v>2068</v>
      </c>
      <c r="WT1" s="16" t="s">
        <v>2069</v>
      </c>
      <c r="WU1" s="16" t="s">
        <v>2070</v>
      </c>
      <c r="WV1" s="16" t="s">
        <v>2071</v>
      </c>
      <c r="WW1" s="16" t="s">
        <v>2072</v>
      </c>
      <c r="WX1" s="16" t="s">
        <v>2073</v>
      </c>
      <c r="WY1" s="16" t="s">
        <v>2074</v>
      </c>
      <c r="WZ1" s="16" t="s">
        <v>2075</v>
      </c>
      <c r="XA1" s="16" t="s">
        <v>2076</v>
      </c>
      <c r="XB1" s="16" t="s">
        <v>2077</v>
      </c>
      <c r="XC1" s="16" t="s">
        <v>2078</v>
      </c>
      <c r="XD1" s="16" t="s">
        <v>2079</v>
      </c>
      <c r="XE1" s="16" t="s">
        <v>2080</v>
      </c>
      <c r="XF1" s="16" t="s">
        <v>2081</v>
      </c>
      <c r="XG1" s="16" t="s">
        <v>2082</v>
      </c>
      <c r="XH1" s="16" t="s">
        <v>2083</v>
      </c>
      <c r="XI1" s="16" t="s">
        <v>2084</v>
      </c>
      <c r="XJ1" s="16" t="s">
        <v>2085</v>
      </c>
      <c r="XK1" s="16" t="s">
        <v>2086</v>
      </c>
      <c r="XL1" s="16" t="s">
        <v>2087</v>
      </c>
      <c r="XM1" s="16" t="s">
        <v>2088</v>
      </c>
      <c r="XN1" s="16" t="s">
        <v>2089</v>
      </c>
      <c r="XO1" s="16" t="s">
        <v>2090</v>
      </c>
      <c r="XP1" s="16" t="s">
        <v>2091</v>
      </c>
      <c r="XQ1" s="16" t="s">
        <v>2092</v>
      </c>
      <c r="XR1" s="16" t="s">
        <v>2093</v>
      </c>
      <c r="XS1" s="16" t="s">
        <v>2094</v>
      </c>
      <c r="XT1" s="16" t="s">
        <v>2095</v>
      </c>
      <c r="XU1" s="16" t="s">
        <v>2096</v>
      </c>
      <c r="XV1" s="16" t="s">
        <v>2097</v>
      </c>
      <c r="XW1" s="16" t="s">
        <v>2098</v>
      </c>
      <c r="XX1" s="16" t="s">
        <v>2099</v>
      </c>
      <c r="XY1" s="16" t="s">
        <v>2100</v>
      </c>
      <c r="XZ1" s="16" t="s">
        <v>2101</v>
      </c>
      <c r="YA1" s="16" t="s">
        <v>2102</v>
      </c>
      <c r="YB1" s="16" t="s">
        <v>2103</v>
      </c>
      <c r="YC1" s="16" t="s">
        <v>2104</v>
      </c>
      <c r="YD1" s="16" t="s">
        <v>2105</v>
      </c>
      <c r="YE1" s="16" t="s">
        <v>2106</v>
      </c>
      <c r="YF1" s="16" t="s">
        <v>2107</v>
      </c>
      <c r="YG1" s="16" t="s">
        <v>2108</v>
      </c>
      <c r="YH1" s="16" t="s">
        <v>2109</v>
      </c>
      <c r="YI1" s="16" t="s">
        <v>2110</v>
      </c>
      <c r="YJ1" s="16" t="s">
        <v>2111</v>
      </c>
      <c r="YK1" s="16" t="s">
        <v>2112</v>
      </c>
      <c r="YL1" s="16" t="s">
        <v>2113</v>
      </c>
      <c r="YM1" s="16" t="s">
        <v>2114</v>
      </c>
      <c r="YN1" s="16" t="s">
        <v>2115</v>
      </c>
      <c r="YO1" s="16" t="s">
        <v>2116</v>
      </c>
      <c r="YP1" s="16" t="s">
        <v>2117</v>
      </c>
      <c r="YQ1" s="16" t="s">
        <v>2118</v>
      </c>
      <c r="YR1" s="16" t="s">
        <v>2119</v>
      </c>
      <c r="YS1" s="16" t="s">
        <v>2120</v>
      </c>
      <c r="YT1" s="16" t="s">
        <v>2121</v>
      </c>
      <c r="YU1" s="16" t="s">
        <v>2122</v>
      </c>
      <c r="YV1" s="16" t="s">
        <v>2123</v>
      </c>
      <c r="YW1" s="16" t="s">
        <v>2124</v>
      </c>
      <c r="YX1" s="16" t="s">
        <v>2125</v>
      </c>
      <c r="YY1" s="16" t="s">
        <v>2126</v>
      </c>
      <c r="YZ1" s="16" t="s">
        <v>2127</v>
      </c>
      <c r="ZA1" s="16" t="s">
        <v>2128</v>
      </c>
      <c r="ZB1" s="16" t="s">
        <v>2129</v>
      </c>
      <c r="ZC1" s="16" t="s">
        <v>2130</v>
      </c>
      <c r="ZD1" s="16" t="s">
        <v>2131</v>
      </c>
      <c r="ZE1" s="16" t="s">
        <v>2132</v>
      </c>
      <c r="ZF1" s="16" t="s">
        <v>2133</v>
      </c>
      <c r="ZG1" s="16" t="s">
        <v>2134</v>
      </c>
      <c r="ZH1" s="16" t="s">
        <v>2135</v>
      </c>
      <c r="ZI1" s="16" t="s">
        <v>2136</v>
      </c>
      <c r="ZJ1" s="16" t="s">
        <v>2137</v>
      </c>
      <c r="ZK1" s="16" t="s">
        <v>2138</v>
      </c>
      <c r="ZL1" s="16" t="s">
        <v>2139</v>
      </c>
      <c r="ZM1" s="16" t="s">
        <v>2140</v>
      </c>
      <c r="ZN1" s="16" t="s">
        <v>2141</v>
      </c>
      <c r="ZO1" s="16" t="s">
        <v>2142</v>
      </c>
      <c r="ZP1" s="16" t="s">
        <v>2143</v>
      </c>
      <c r="ZQ1" s="16" t="s">
        <v>2144</v>
      </c>
      <c r="ZR1" s="16" t="s">
        <v>2145</v>
      </c>
      <c r="ZS1" s="16" t="s">
        <v>2146</v>
      </c>
      <c r="ZT1" s="16" t="s">
        <v>2147</v>
      </c>
      <c r="ZU1" s="16" t="s">
        <v>2148</v>
      </c>
      <c r="ZV1" s="16" t="s">
        <v>2149</v>
      </c>
      <c r="ZW1" s="16" t="s">
        <v>2150</v>
      </c>
      <c r="ZX1" s="16" t="s">
        <v>2151</v>
      </c>
      <c r="ZY1" s="16" t="s">
        <v>2152</v>
      </c>
      <c r="ZZ1" s="16" t="s">
        <v>2153</v>
      </c>
      <c r="AAA1" s="16" t="s">
        <v>2154</v>
      </c>
      <c r="AAB1" s="16" t="s">
        <v>2155</v>
      </c>
      <c r="AAC1" s="16" t="s">
        <v>2156</v>
      </c>
      <c r="AAD1" s="16" t="s">
        <v>2157</v>
      </c>
      <c r="AAE1" s="16" t="s">
        <v>2158</v>
      </c>
      <c r="AAF1" s="16" t="s">
        <v>2159</v>
      </c>
      <c r="AAG1" s="16" t="s">
        <v>2160</v>
      </c>
      <c r="AAH1" s="16" t="s">
        <v>2161</v>
      </c>
      <c r="AAI1" s="16" t="s">
        <v>2162</v>
      </c>
      <c r="AAJ1" s="16" t="s">
        <v>2163</v>
      </c>
      <c r="AAK1" s="16" t="s">
        <v>2164</v>
      </c>
      <c r="AAL1" s="16" t="s">
        <v>2165</v>
      </c>
      <c r="AAM1" s="16" t="s">
        <v>2166</v>
      </c>
      <c r="AAN1" s="16" t="s">
        <v>2167</v>
      </c>
      <c r="AAO1" s="16" t="s">
        <v>2168</v>
      </c>
      <c r="AAP1" s="16" t="s">
        <v>2169</v>
      </c>
      <c r="AAQ1" s="16" t="s">
        <v>2170</v>
      </c>
      <c r="AAR1" s="16" t="s">
        <v>2171</v>
      </c>
      <c r="AAS1" s="16" t="s">
        <v>2172</v>
      </c>
      <c r="AAT1" s="16" t="s">
        <v>2173</v>
      </c>
      <c r="AAU1" s="16" t="s">
        <v>2174</v>
      </c>
      <c r="AAV1" s="16" t="s">
        <v>2175</v>
      </c>
      <c r="AAW1" s="16" t="s">
        <v>2176</v>
      </c>
      <c r="AAX1" s="16" t="s">
        <v>2177</v>
      </c>
      <c r="AAY1" s="16" t="s">
        <v>2178</v>
      </c>
      <c r="AAZ1" s="16" t="s">
        <v>2179</v>
      </c>
      <c r="ABA1" s="16" t="s">
        <v>2180</v>
      </c>
      <c r="ABB1" s="16" t="s">
        <v>2181</v>
      </c>
      <c r="ABC1" s="16" t="s">
        <v>2182</v>
      </c>
      <c r="ABD1" s="16" t="s">
        <v>2183</v>
      </c>
      <c r="ABE1" s="16" t="s">
        <v>2184</v>
      </c>
      <c r="ABF1" s="16" t="s">
        <v>2185</v>
      </c>
      <c r="ABG1" s="16" t="s">
        <v>2186</v>
      </c>
      <c r="ABH1" s="16" t="s">
        <v>2187</v>
      </c>
      <c r="ABI1" s="16" t="s">
        <v>2188</v>
      </c>
      <c r="ABJ1" s="16" t="s">
        <v>2189</v>
      </c>
      <c r="ABK1" s="16" t="s">
        <v>2190</v>
      </c>
      <c r="ABL1" s="16" t="s">
        <v>2191</v>
      </c>
      <c r="ABM1" s="16" t="s">
        <v>2192</v>
      </c>
      <c r="ABN1" s="16" t="s">
        <v>2193</v>
      </c>
      <c r="ABO1" s="16" t="s">
        <v>2194</v>
      </c>
      <c r="ABP1" s="16" t="s">
        <v>2195</v>
      </c>
      <c r="ABQ1" s="16" t="s">
        <v>2196</v>
      </c>
      <c r="ABR1" s="16" t="s">
        <v>2197</v>
      </c>
      <c r="ABS1" s="16" t="s">
        <v>2198</v>
      </c>
      <c r="ABT1" s="16" t="s">
        <v>2199</v>
      </c>
      <c r="ABU1" s="16" t="s">
        <v>2200</v>
      </c>
      <c r="ABV1" s="16" t="s">
        <v>2201</v>
      </c>
      <c r="ABW1" s="16" t="s">
        <v>2202</v>
      </c>
      <c r="ABX1" s="16" t="s">
        <v>2203</v>
      </c>
      <c r="ABY1" s="16" t="s">
        <v>2204</v>
      </c>
      <c r="ABZ1" s="16" t="s">
        <v>2205</v>
      </c>
      <c r="ACA1" s="16" t="s">
        <v>2206</v>
      </c>
      <c r="ACB1" s="16" t="s">
        <v>2207</v>
      </c>
      <c r="ACC1" s="16" t="s">
        <v>2208</v>
      </c>
      <c r="ACD1" s="16" t="s">
        <v>2209</v>
      </c>
      <c r="ACE1" s="16" t="s">
        <v>2210</v>
      </c>
      <c r="ACF1" s="16" t="s">
        <v>2211</v>
      </c>
      <c r="ACG1" s="16" t="s">
        <v>2212</v>
      </c>
      <c r="ACH1" s="16" t="s">
        <v>2213</v>
      </c>
      <c r="ACI1" s="16" t="s">
        <v>2214</v>
      </c>
      <c r="ACJ1" s="16" t="s">
        <v>2215</v>
      </c>
      <c r="ACK1" s="16" t="s">
        <v>2216</v>
      </c>
      <c r="ACL1" s="16" t="s">
        <v>2217</v>
      </c>
      <c r="ACM1" s="16" t="s">
        <v>2218</v>
      </c>
      <c r="ACN1" s="16" t="s">
        <v>2219</v>
      </c>
      <c r="ACO1" s="16" t="s">
        <v>2220</v>
      </c>
      <c r="ACP1" s="16" t="s">
        <v>2221</v>
      </c>
      <c r="ACQ1" s="16" t="s">
        <v>2222</v>
      </c>
      <c r="ACR1" s="16" t="s">
        <v>2223</v>
      </c>
      <c r="ACS1" s="16" t="s">
        <v>2224</v>
      </c>
      <c r="ACT1" s="16" t="s">
        <v>2225</v>
      </c>
      <c r="ACU1" s="16" t="s">
        <v>2226</v>
      </c>
      <c r="ACV1" s="16" t="s">
        <v>2227</v>
      </c>
      <c r="ACW1" s="16" t="s">
        <v>2228</v>
      </c>
      <c r="ACX1" s="16" t="s">
        <v>2229</v>
      </c>
      <c r="ACY1" s="16" t="s">
        <v>2230</v>
      </c>
      <c r="ACZ1" s="16" t="s">
        <v>2231</v>
      </c>
      <c r="ADA1" s="16" t="s">
        <v>2232</v>
      </c>
      <c r="ADB1" s="16" t="s">
        <v>2233</v>
      </c>
      <c r="ADC1" s="16" t="s">
        <v>2234</v>
      </c>
      <c r="ADD1" s="16" t="s">
        <v>2235</v>
      </c>
      <c r="ADE1" s="16" t="s">
        <v>2236</v>
      </c>
      <c r="ADF1" s="16" t="s">
        <v>2237</v>
      </c>
      <c r="ADG1" s="16" t="s">
        <v>2238</v>
      </c>
      <c r="ADH1" s="16" t="s">
        <v>2239</v>
      </c>
      <c r="ADI1" s="16" t="s">
        <v>2240</v>
      </c>
      <c r="ADJ1" s="16" t="s">
        <v>2241</v>
      </c>
      <c r="ADK1" s="16" t="s">
        <v>2242</v>
      </c>
      <c r="ADL1" s="16" t="s">
        <v>2243</v>
      </c>
      <c r="ADM1" s="16" t="s">
        <v>2244</v>
      </c>
      <c r="ADN1" s="16" t="s">
        <v>2245</v>
      </c>
      <c r="ADO1" s="16" t="s">
        <v>2246</v>
      </c>
      <c r="ADP1" s="16" t="s">
        <v>2247</v>
      </c>
      <c r="ADQ1" s="16" t="s">
        <v>2248</v>
      </c>
      <c r="ADR1" s="16" t="s">
        <v>2249</v>
      </c>
      <c r="ADS1" s="16" t="s">
        <v>2250</v>
      </c>
      <c r="ADT1" s="16" t="s">
        <v>2251</v>
      </c>
      <c r="ADU1" s="16" t="s">
        <v>2252</v>
      </c>
      <c r="ADV1" s="16" t="s">
        <v>2253</v>
      </c>
      <c r="ADW1" s="16" t="s">
        <v>2254</v>
      </c>
      <c r="ADX1" s="16" t="s">
        <v>2255</v>
      </c>
      <c r="ADY1" s="16" t="s">
        <v>2256</v>
      </c>
      <c r="ADZ1" s="16" t="s">
        <v>2257</v>
      </c>
      <c r="AEA1" s="16" t="s">
        <v>2258</v>
      </c>
      <c r="AEB1" s="16" t="s">
        <v>2259</v>
      </c>
      <c r="AEC1" s="16" t="s">
        <v>2260</v>
      </c>
      <c r="AED1" s="16" t="s">
        <v>2261</v>
      </c>
      <c r="AEE1" s="16" t="s">
        <v>2262</v>
      </c>
      <c r="AEF1" s="16" t="s">
        <v>2263</v>
      </c>
      <c r="AEG1" s="16" t="s">
        <v>2264</v>
      </c>
      <c r="AEH1" s="16" t="s">
        <v>2265</v>
      </c>
      <c r="AEI1" s="16" t="s">
        <v>2266</v>
      </c>
      <c r="AEJ1" s="16" t="s">
        <v>2267</v>
      </c>
      <c r="AEK1" s="16" t="s">
        <v>2268</v>
      </c>
      <c r="AEL1" s="16" t="s">
        <v>2269</v>
      </c>
      <c r="AEM1" s="16" t="s">
        <v>2270</v>
      </c>
      <c r="AEN1" s="16" t="s">
        <v>2271</v>
      </c>
      <c r="AEO1" s="16" t="s">
        <v>2272</v>
      </c>
      <c r="AEP1" s="16" t="s">
        <v>2273</v>
      </c>
      <c r="AEQ1" s="16" t="s">
        <v>2274</v>
      </c>
      <c r="AER1" s="16" t="s">
        <v>2275</v>
      </c>
      <c r="AES1" s="16" t="s">
        <v>2276</v>
      </c>
      <c r="AET1" s="16" t="s">
        <v>2277</v>
      </c>
      <c r="AEU1" s="16" t="s">
        <v>2278</v>
      </c>
      <c r="AEV1" s="16" t="s">
        <v>2279</v>
      </c>
      <c r="AEW1" s="16" t="s">
        <v>2280</v>
      </c>
      <c r="AEX1" s="16" t="s">
        <v>2281</v>
      </c>
      <c r="AEY1" s="16" t="s">
        <v>2282</v>
      </c>
      <c r="AEZ1" s="16" t="s">
        <v>2283</v>
      </c>
      <c r="AFA1" s="16" t="s">
        <v>2284</v>
      </c>
      <c r="AFB1" s="16" t="s">
        <v>2285</v>
      </c>
      <c r="AFC1" s="16" t="s">
        <v>2286</v>
      </c>
      <c r="AFD1" s="16" t="s">
        <v>2287</v>
      </c>
      <c r="AFE1" s="16" t="s">
        <v>2288</v>
      </c>
      <c r="AFF1" s="16" t="s">
        <v>2289</v>
      </c>
      <c r="AFG1" s="16" t="s">
        <v>2290</v>
      </c>
      <c r="AFH1" s="16" t="s">
        <v>2291</v>
      </c>
      <c r="AFI1" s="16" t="s">
        <v>2292</v>
      </c>
      <c r="AFJ1" s="16" t="s">
        <v>2293</v>
      </c>
      <c r="AFK1" s="16" t="s">
        <v>2294</v>
      </c>
      <c r="AFL1" s="16" t="s">
        <v>2295</v>
      </c>
      <c r="AFM1" s="16" t="s">
        <v>2296</v>
      </c>
      <c r="AFN1" s="16" t="s">
        <v>2297</v>
      </c>
      <c r="AFO1" s="16" t="s">
        <v>2298</v>
      </c>
      <c r="AFP1" s="16" t="s">
        <v>2299</v>
      </c>
      <c r="AFQ1" s="16" t="s">
        <v>2300</v>
      </c>
      <c r="AFR1" s="16" t="s">
        <v>2301</v>
      </c>
      <c r="AFS1" s="16" t="s">
        <v>2302</v>
      </c>
      <c r="AFT1" s="16" t="s">
        <v>2303</v>
      </c>
      <c r="AFU1" s="16" t="s">
        <v>2304</v>
      </c>
      <c r="AFV1" s="16" t="s">
        <v>2305</v>
      </c>
      <c r="AFW1" s="16" t="s">
        <v>2306</v>
      </c>
      <c r="AFX1" s="16" t="s">
        <v>2307</v>
      </c>
      <c r="AFY1" s="16" t="s">
        <v>2308</v>
      </c>
      <c r="AFZ1" s="16" t="s">
        <v>2309</v>
      </c>
      <c r="AGA1" s="16" t="s">
        <v>2310</v>
      </c>
      <c r="AGB1" s="16" t="s">
        <v>2311</v>
      </c>
      <c r="AGC1" s="16" t="s">
        <v>2312</v>
      </c>
      <c r="AGD1" s="16" t="s">
        <v>2313</v>
      </c>
      <c r="AGE1" s="16" t="s">
        <v>2314</v>
      </c>
      <c r="AGF1" s="16" t="s">
        <v>2315</v>
      </c>
      <c r="AGG1" s="16" t="s">
        <v>2316</v>
      </c>
      <c r="AGH1" s="16" t="s">
        <v>2317</v>
      </c>
      <c r="AGI1" s="16" t="s">
        <v>2318</v>
      </c>
      <c r="AGJ1" s="16" t="s">
        <v>2319</v>
      </c>
      <c r="AGK1" s="16" t="s">
        <v>2320</v>
      </c>
      <c r="AGL1" s="16" t="s">
        <v>2321</v>
      </c>
      <c r="AGM1" s="16" t="s">
        <v>2322</v>
      </c>
      <c r="AGN1" s="16" t="s">
        <v>2323</v>
      </c>
      <c r="AGO1" s="16" t="s">
        <v>2324</v>
      </c>
      <c r="AGP1" s="16" t="s">
        <v>2325</v>
      </c>
      <c r="AGQ1" s="16" t="s">
        <v>2326</v>
      </c>
      <c r="AGR1" s="16" t="s">
        <v>2327</v>
      </c>
      <c r="AGS1" s="16" t="s">
        <v>2328</v>
      </c>
      <c r="AGT1" s="16" t="s">
        <v>2329</v>
      </c>
      <c r="AGU1" s="16" t="s">
        <v>2330</v>
      </c>
      <c r="AGV1" s="16" t="s">
        <v>2331</v>
      </c>
      <c r="AGW1" s="16" t="s">
        <v>2332</v>
      </c>
      <c r="AGX1" s="16" t="s">
        <v>2333</v>
      </c>
      <c r="AGY1" s="16" t="s">
        <v>2334</v>
      </c>
      <c r="AGZ1" s="16" t="s">
        <v>2335</v>
      </c>
      <c r="AHA1" s="16" t="s">
        <v>2336</v>
      </c>
      <c r="AHB1" s="16" t="s">
        <v>2337</v>
      </c>
      <c r="AHC1" s="16" t="s">
        <v>2338</v>
      </c>
      <c r="AHD1" s="16" t="s">
        <v>2339</v>
      </c>
      <c r="AHE1" s="16" t="s">
        <v>2340</v>
      </c>
      <c r="AHF1" s="16" t="s">
        <v>2341</v>
      </c>
      <c r="AHG1" s="16" t="s">
        <v>2342</v>
      </c>
      <c r="AHH1" s="16" t="s">
        <v>2343</v>
      </c>
      <c r="AHI1" s="16" t="s">
        <v>2344</v>
      </c>
      <c r="AHJ1" s="16" t="s">
        <v>2345</v>
      </c>
      <c r="AHK1" s="16" t="s">
        <v>2346</v>
      </c>
      <c r="AHL1" s="16" t="s">
        <v>2347</v>
      </c>
      <c r="AHM1" s="16" t="s">
        <v>2348</v>
      </c>
      <c r="AHN1" s="16" t="s">
        <v>2349</v>
      </c>
      <c r="AHO1" s="16" t="s">
        <v>2350</v>
      </c>
      <c r="AHP1" s="16" t="s">
        <v>2351</v>
      </c>
      <c r="AHQ1" s="16" t="s">
        <v>2352</v>
      </c>
      <c r="AHR1" s="16" t="s">
        <v>2353</v>
      </c>
      <c r="AHS1" s="16" t="s">
        <v>2354</v>
      </c>
      <c r="AHT1" s="16" t="s">
        <v>2355</v>
      </c>
      <c r="AHU1" s="16" t="s">
        <v>2356</v>
      </c>
      <c r="AHV1" s="16" t="s">
        <v>2357</v>
      </c>
      <c r="AHW1" s="16" t="s">
        <v>2358</v>
      </c>
      <c r="AHX1" s="16" t="s">
        <v>2359</v>
      </c>
      <c r="AHY1" s="16" t="s">
        <v>2360</v>
      </c>
      <c r="AHZ1" s="16" t="s">
        <v>2361</v>
      </c>
      <c r="AIA1" s="16" t="s">
        <v>2362</v>
      </c>
      <c r="AIB1" s="16" t="s">
        <v>2363</v>
      </c>
      <c r="AIC1" s="16" t="s">
        <v>2364</v>
      </c>
      <c r="AID1" s="16" t="s">
        <v>2365</v>
      </c>
      <c r="AIE1" s="16" t="s">
        <v>2366</v>
      </c>
      <c r="AIF1" s="16" t="s">
        <v>2367</v>
      </c>
      <c r="AIG1" s="16" t="s">
        <v>2368</v>
      </c>
      <c r="AIH1" s="16" t="s">
        <v>2369</v>
      </c>
      <c r="AII1" s="16" t="s">
        <v>2370</v>
      </c>
      <c r="AIJ1" s="16" t="s">
        <v>2371</v>
      </c>
      <c r="AIK1" s="16" t="s">
        <v>2372</v>
      </c>
      <c r="AIL1" s="16" t="s">
        <v>2373</v>
      </c>
      <c r="AIM1" s="16" t="s">
        <v>2374</v>
      </c>
      <c r="AIN1" s="16" t="s">
        <v>2375</v>
      </c>
      <c r="AIO1" s="16" t="s">
        <v>2376</v>
      </c>
      <c r="AIP1" s="16" t="s">
        <v>2377</v>
      </c>
      <c r="AIQ1" s="16" t="s">
        <v>2378</v>
      </c>
      <c r="AIR1" s="16" t="s">
        <v>2379</v>
      </c>
      <c r="AIS1" s="16" t="s">
        <v>2380</v>
      </c>
      <c r="AIT1" s="16" t="s">
        <v>2381</v>
      </c>
      <c r="AIU1" s="16" t="s">
        <v>2382</v>
      </c>
      <c r="AIV1" s="16" t="s">
        <v>2383</v>
      </c>
      <c r="AIW1" s="16" t="s">
        <v>2384</v>
      </c>
      <c r="AIX1" s="16" t="s">
        <v>2385</v>
      </c>
      <c r="AIY1" s="16" t="s">
        <v>2386</v>
      </c>
      <c r="AIZ1" s="16" t="s">
        <v>2387</v>
      </c>
      <c r="AJA1" s="16" t="s">
        <v>2388</v>
      </c>
      <c r="AJB1" s="16" t="s">
        <v>2389</v>
      </c>
      <c r="AJC1" s="16" t="s">
        <v>2390</v>
      </c>
      <c r="AJD1" s="16" t="s">
        <v>2391</v>
      </c>
      <c r="AJE1" s="16" t="s">
        <v>2392</v>
      </c>
      <c r="AJF1" s="16" t="s">
        <v>2393</v>
      </c>
      <c r="AJG1" s="16" t="s">
        <v>2394</v>
      </c>
      <c r="AJH1" s="16" t="s">
        <v>2395</v>
      </c>
      <c r="AJI1" s="16" t="s">
        <v>2396</v>
      </c>
      <c r="AJJ1" s="16" t="s">
        <v>2397</v>
      </c>
      <c r="AJK1" s="16" t="s">
        <v>2398</v>
      </c>
      <c r="AJL1" s="16" t="s">
        <v>2399</v>
      </c>
      <c r="AJM1" s="16" t="s">
        <v>2400</v>
      </c>
      <c r="AJN1" s="16" t="s">
        <v>2401</v>
      </c>
      <c r="AJO1" s="16" t="s">
        <v>2402</v>
      </c>
      <c r="AJP1" s="16" t="s">
        <v>2403</v>
      </c>
      <c r="AJQ1" s="16" t="s">
        <v>2404</v>
      </c>
      <c r="AJR1" s="16" t="s">
        <v>2405</v>
      </c>
      <c r="AJS1" s="16" t="s">
        <v>2406</v>
      </c>
      <c r="AJT1" s="16" t="s">
        <v>2407</v>
      </c>
      <c r="AJU1" s="16" t="s">
        <v>2408</v>
      </c>
      <c r="AJV1" s="16" t="s">
        <v>2409</v>
      </c>
      <c r="AJW1" s="16" t="s">
        <v>2410</v>
      </c>
      <c r="AJX1" s="16" t="s">
        <v>2411</v>
      </c>
      <c r="AJY1" s="16" t="s">
        <v>2412</v>
      </c>
      <c r="AJZ1" s="16" t="s">
        <v>2413</v>
      </c>
      <c r="AKA1" s="16" t="s">
        <v>2414</v>
      </c>
      <c r="AKB1" s="16" t="s">
        <v>2415</v>
      </c>
      <c r="AKC1" s="16" t="s">
        <v>2416</v>
      </c>
      <c r="AKD1" s="16" t="s">
        <v>2417</v>
      </c>
      <c r="AKE1" s="16" t="s">
        <v>2418</v>
      </c>
      <c r="AKF1" s="16" t="s">
        <v>2419</v>
      </c>
      <c r="AKG1" s="16" t="s">
        <v>2420</v>
      </c>
      <c r="AKH1" s="16" t="s">
        <v>2421</v>
      </c>
      <c r="AKI1" s="16" t="s">
        <v>2422</v>
      </c>
      <c r="AKJ1" s="16" t="s">
        <v>2423</v>
      </c>
      <c r="AKK1" s="16" t="s">
        <v>2424</v>
      </c>
      <c r="AKL1" s="16" t="s">
        <v>2425</v>
      </c>
      <c r="AKM1" s="16" t="s">
        <v>2426</v>
      </c>
      <c r="AKN1" s="16" t="s">
        <v>2427</v>
      </c>
      <c r="AKO1" s="16" t="s">
        <v>2428</v>
      </c>
      <c r="AKP1" s="16" t="s">
        <v>2429</v>
      </c>
      <c r="AKQ1" s="16" t="s">
        <v>2430</v>
      </c>
      <c r="AKR1" s="16" t="s">
        <v>2431</v>
      </c>
      <c r="AKS1" s="16" t="s">
        <v>2432</v>
      </c>
      <c r="AKT1" s="16" t="s">
        <v>2433</v>
      </c>
      <c r="AKU1" s="16" t="s">
        <v>2434</v>
      </c>
      <c r="AKV1" s="16" t="s">
        <v>2435</v>
      </c>
      <c r="AKW1" s="16" t="s">
        <v>2436</v>
      </c>
      <c r="AKX1" s="16" t="s">
        <v>2437</v>
      </c>
      <c r="AKY1" s="16" t="s">
        <v>2438</v>
      </c>
      <c r="AKZ1" s="16" t="s">
        <v>2439</v>
      </c>
      <c r="ALA1" s="16" t="s">
        <v>2440</v>
      </c>
      <c r="ALB1" s="16" t="s">
        <v>2441</v>
      </c>
      <c r="ALC1" s="16" t="s">
        <v>2442</v>
      </c>
      <c r="ALD1" s="16" t="s">
        <v>2443</v>
      </c>
      <c r="ALE1" s="16" t="s">
        <v>2444</v>
      </c>
      <c r="ALF1" s="16" t="s">
        <v>2445</v>
      </c>
      <c r="ALG1" s="16" t="s">
        <v>2446</v>
      </c>
      <c r="ALH1" s="16" t="s">
        <v>2447</v>
      </c>
      <c r="ALI1" s="16" t="s">
        <v>2448</v>
      </c>
      <c r="ALJ1" s="16" t="s">
        <v>2449</v>
      </c>
      <c r="ALK1" s="16" t="s">
        <v>2450</v>
      </c>
      <c r="ALL1" s="16" t="s">
        <v>2451</v>
      </c>
      <c r="ALM1" s="16" t="s">
        <v>2452</v>
      </c>
      <c r="ALN1" s="16" t="s">
        <v>2453</v>
      </c>
      <c r="ALO1" s="16" t="s">
        <v>2454</v>
      </c>
      <c r="ALP1" s="16" t="s">
        <v>2455</v>
      </c>
      <c r="ALQ1" s="16" t="s">
        <v>2456</v>
      </c>
      <c r="ALR1" s="16" t="s">
        <v>2457</v>
      </c>
      <c r="ALS1" s="16" t="s">
        <v>2458</v>
      </c>
      <c r="ALT1" s="16" t="s">
        <v>2459</v>
      </c>
      <c r="ALU1" s="16" t="s">
        <v>2460</v>
      </c>
      <c r="ALV1" s="16" t="s">
        <v>2461</v>
      </c>
      <c r="ALW1" s="16" t="s">
        <v>2462</v>
      </c>
      <c r="ALX1" s="16" t="s">
        <v>2463</v>
      </c>
      <c r="ALY1" s="16" t="s">
        <v>2464</v>
      </c>
      <c r="ALZ1" s="16" t="s">
        <v>2465</v>
      </c>
      <c r="AMA1" s="16" t="s">
        <v>2466</v>
      </c>
      <c r="AMB1" s="16" t="s">
        <v>2467</v>
      </c>
      <c r="AMC1" s="16" t="s">
        <v>2468</v>
      </c>
      <c r="AMD1" s="16" t="s">
        <v>2469</v>
      </c>
      <c r="AME1" s="16" t="s">
        <v>2470</v>
      </c>
      <c r="AMF1" s="16" t="s">
        <v>2471</v>
      </c>
      <c r="AMG1" s="16" t="s">
        <v>2472</v>
      </c>
      <c r="AMH1" s="16" t="s">
        <v>2473</v>
      </c>
      <c r="AMI1" s="16" t="s">
        <v>2474</v>
      </c>
      <c r="AMJ1" s="16" t="s">
        <v>2475</v>
      </c>
      <c r="AMK1" s="16" t="s">
        <v>2476</v>
      </c>
      <c r="AML1" s="16" t="s">
        <v>2477</v>
      </c>
      <c r="AMM1" s="16" t="s">
        <v>2478</v>
      </c>
      <c r="AMN1" s="16" t="s">
        <v>2479</v>
      </c>
      <c r="AMO1" s="16" t="s">
        <v>2480</v>
      </c>
      <c r="AMP1" s="16" t="s">
        <v>2481</v>
      </c>
      <c r="AMQ1" s="16" t="s">
        <v>2482</v>
      </c>
      <c r="AMR1" s="16" t="s">
        <v>2483</v>
      </c>
      <c r="AMS1" s="16" t="s">
        <v>2484</v>
      </c>
      <c r="AMT1" s="16" t="s">
        <v>2485</v>
      </c>
      <c r="AMU1" s="16" t="s">
        <v>2486</v>
      </c>
      <c r="AMV1" s="16" t="s">
        <v>2487</v>
      </c>
      <c r="AMW1" s="16" t="s">
        <v>2488</v>
      </c>
      <c r="AMX1" s="16" t="s">
        <v>2489</v>
      </c>
      <c r="AMY1" s="16" t="s">
        <v>2490</v>
      </c>
      <c r="AMZ1" s="16" t="s">
        <v>2491</v>
      </c>
      <c r="ANA1" s="16" t="s">
        <v>2492</v>
      </c>
      <c r="ANB1" s="16" t="s">
        <v>2493</v>
      </c>
      <c r="ANC1" s="16" t="s">
        <v>2494</v>
      </c>
      <c r="AND1" s="16" t="s">
        <v>2495</v>
      </c>
      <c r="ANE1" s="16" t="s">
        <v>2496</v>
      </c>
      <c r="ANF1" s="16" t="s">
        <v>2497</v>
      </c>
      <c r="ANG1" s="16" t="s">
        <v>2498</v>
      </c>
      <c r="ANH1" s="16" t="s">
        <v>2499</v>
      </c>
      <c r="ANI1" s="16" t="s">
        <v>2500</v>
      </c>
      <c r="ANJ1" s="16" t="s">
        <v>2501</v>
      </c>
      <c r="ANK1" s="16" t="s">
        <v>2502</v>
      </c>
      <c r="ANL1" s="16" t="s">
        <v>2503</v>
      </c>
      <c r="ANM1" s="16" t="s">
        <v>2504</v>
      </c>
      <c r="ANN1" s="16" t="s">
        <v>2505</v>
      </c>
      <c r="ANO1" s="16" t="s">
        <v>2506</v>
      </c>
      <c r="ANP1" s="16" t="s">
        <v>2507</v>
      </c>
      <c r="ANQ1" s="16" t="s">
        <v>2508</v>
      </c>
      <c r="ANR1" s="16" t="s">
        <v>2509</v>
      </c>
      <c r="ANS1" s="16" t="s">
        <v>2510</v>
      </c>
      <c r="ANT1" s="16" t="s">
        <v>2511</v>
      </c>
      <c r="ANU1" s="16" t="s">
        <v>2512</v>
      </c>
      <c r="ANV1" s="16" t="s">
        <v>2513</v>
      </c>
      <c r="ANW1" s="16" t="s">
        <v>2514</v>
      </c>
      <c r="ANX1" s="16" t="s">
        <v>2515</v>
      </c>
      <c r="ANY1" s="16" t="s">
        <v>2516</v>
      </c>
      <c r="ANZ1" s="16" t="s">
        <v>2517</v>
      </c>
      <c r="AOA1" s="16" t="s">
        <v>2518</v>
      </c>
      <c r="AOB1" s="16" t="s">
        <v>2519</v>
      </c>
      <c r="AOC1" s="16" t="s">
        <v>2520</v>
      </c>
      <c r="AOD1" s="16" t="s">
        <v>2521</v>
      </c>
      <c r="AOE1" s="16" t="s">
        <v>2522</v>
      </c>
      <c r="AOF1" s="16" t="s">
        <v>2523</v>
      </c>
      <c r="AOG1" s="16" t="s">
        <v>2524</v>
      </c>
      <c r="AOH1" s="16" t="s">
        <v>2525</v>
      </c>
      <c r="AOI1" s="16" t="s">
        <v>2526</v>
      </c>
      <c r="AOJ1" s="16" t="s">
        <v>2527</v>
      </c>
      <c r="AOK1" s="16" t="s">
        <v>2528</v>
      </c>
      <c r="AOL1" s="16" t="s">
        <v>2529</v>
      </c>
      <c r="AOM1" s="16" t="s">
        <v>2530</v>
      </c>
      <c r="AON1" s="16" t="s">
        <v>2531</v>
      </c>
      <c r="AOO1" s="16" t="s">
        <v>2532</v>
      </c>
      <c r="AOP1" s="16" t="s">
        <v>2533</v>
      </c>
      <c r="AOQ1" s="16" t="s">
        <v>2534</v>
      </c>
      <c r="AOR1" s="16" t="s">
        <v>2535</v>
      </c>
      <c r="AOS1" s="16" t="s">
        <v>2536</v>
      </c>
      <c r="AOT1" s="16" t="s">
        <v>2537</v>
      </c>
      <c r="AOU1" s="16" t="s">
        <v>2538</v>
      </c>
      <c r="AOV1" s="16" t="s">
        <v>2539</v>
      </c>
      <c r="AOW1" s="16" t="s">
        <v>2540</v>
      </c>
      <c r="AOX1" s="16" t="s">
        <v>2541</v>
      </c>
      <c r="AOY1" s="16" t="s">
        <v>2542</v>
      </c>
      <c r="AOZ1" s="16" t="s">
        <v>2543</v>
      </c>
      <c r="APA1" s="16" t="s">
        <v>2544</v>
      </c>
      <c r="APB1" s="16" t="s">
        <v>2545</v>
      </c>
      <c r="APC1" s="16" t="s">
        <v>2546</v>
      </c>
      <c r="APD1" s="16" t="s">
        <v>2547</v>
      </c>
      <c r="APE1" s="16" t="s">
        <v>2548</v>
      </c>
      <c r="APF1" s="16" t="s">
        <v>2549</v>
      </c>
      <c r="APG1" s="16" t="s">
        <v>2550</v>
      </c>
      <c r="APH1" s="16" t="s">
        <v>2551</v>
      </c>
      <c r="API1" s="16" t="s">
        <v>2552</v>
      </c>
      <c r="APJ1" s="16" t="s">
        <v>2553</v>
      </c>
      <c r="APK1" s="16" t="s">
        <v>2554</v>
      </c>
      <c r="APL1" s="16" t="s">
        <v>2555</v>
      </c>
      <c r="APM1" s="16" t="s">
        <v>2556</v>
      </c>
      <c r="APN1" s="16" t="s">
        <v>2557</v>
      </c>
      <c r="APO1" s="16" t="s">
        <v>2558</v>
      </c>
      <c r="APP1" s="16" t="s">
        <v>2559</v>
      </c>
      <c r="APQ1" s="16" t="s">
        <v>2560</v>
      </c>
      <c r="APR1" s="16" t="s">
        <v>2561</v>
      </c>
      <c r="APS1" s="16" t="s">
        <v>2562</v>
      </c>
      <c r="APT1" s="16" t="s">
        <v>2563</v>
      </c>
      <c r="APU1" s="16" t="s">
        <v>2564</v>
      </c>
      <c r="APV1" s="16" t="s">
        <v>2565</v>
      </c>
      <c r="APW1" s="16" t="s">
        <v>2566</v>
      </c>
      <c r="APX1" s="16" t="s">
        <v>2567</v>
      </c>
      <c r="APY1" s="16" t="s">
        <v>2568</v>
      </c>
      <c r="APZ1" s="16" t="s">
        <v>2569</v>
      </c>
      <c r="AQA1" s="16" t="s">
        <v>2570</v>
      </c>
      <c r="AQB1" s="16" t="s">
        <v>2571</v>
      </c>
      <c r="AQC1" s="16" t="s">
        <v>2572</v>
      </c>
      <c r="AQD1" s="16" t="s">
        <v>2573</v>
      </c>
      <c r="AQE1" s="16" t="s">
        <v>2574</v>
      </c>
      <c r="AQF1" s="16" t="s">
        <v>2575</v>
      </c>
      <c r="AQG1" s="16" t="s">
        <v>2576</v>
      </c>
      <c r="AQH1" s="16" t="s">
        <v>2577</v>
      </c>
      <c r="AQI1" s="16" t="s">
        <v>2578</v>
      </c>
      <c r="AQJ1" s="16" t="s">
        <v>2579</v>
      </c>
      <c r="AQK1" s="16" t="s">
        <v>2580</v>
      </c>
      <c r="AQL1" s="16" t="s">
        <v>2581</v>
      </c>
      <c r="AQM1" s="16" t="s">
        <v>2582</v>
      </c>
      <c r="AQN1" s="16" t="s">
        <v>2583</v>
      </c>
      <c r="AQO1" s="16" t="s">
        <v>2584</v>
      </c>
      <c r="AQP1" s="16" t="s">
        <v>2585</v>
      </c>
      <c r="AQQ1" s="16" t="s">
        <v>2586</v>
      </c>
      <c r="AQR1" s="16" t="s">
        <v>2587</v>
      </c>
      <c r="AQS1" s="16" t="s">
        <v>2588</v>
      </c>
      <c r="AQT1" s="16" t="s">
        <v>2589</v>
      </c>
      <c r="AQU1" s="16" t="s">
        <v>2590</v>
      </c>
      <c r="AQV1" s="16" t="s">
        <v>2591</v>
      </c>
      <c r="AQW1" s="16" t="s">
        <v>2592</v>
      </c>
      <c r="AQX1" s="16" t="s">
        <v>2593</v>
      </c>
      <c r="AQY1" s="16" t="s">
        <v>2594</v>
      </c>
      <c r="AQZ1" s="16" t="s">
        <v>2595</v>
      </c>
      <c r="ARA1" s="16" t="s">
        <v>2596</v>
      </c>
      <c r="ARB1" s="16" t="s">
        <v>2597</v>
      </c>
      <c r="ARC1" s="16" t="s">
        <v>2598</v>
      </c>
      <c r="ARD1" s="16" t="s">
        <v>2599</v>
      </c>
      <c r="ARE1" s="16" t="s">
        <v>2600</v>
      </c>
      <c r="ARF1" s="16" t="s">
        <v>2601</v>
      </c>
      <c r="ARG1" s="16" t="s">
        <v>2602</v>
      </c>
      <c r="ARH1" s="16" t="s">
        <v>2603</v>
      </c>
      <c r="ARI1" s="16" t="s">
        <v>2604</v>
      </c>
      <c r="ARJ1" s="16" t="s">
        <v>2605</v>
      </c>
      <c r="ARK1" s="16" t="s">
        <v>2606</v>
      </c>
      <c r="ARL1" s="16" t="s">
        <v>2607</v>
      </c>
      <c r="ARM1" s="16" t="s">
        <v>2608</v>
      </c>
      <c r="ARN1" s="16" t="s">
        <v>2609</v>
      </c>
      <c r="ARO1" s="16" t="s">
        <v>2610</v>
      </c>
      <c r="ARP1" s="16" t="s">
        <v>2611</v>
      </c>
      <c r="ARQ1" s="16" t="s">
        <v>2612</v>
      </c>
      <c r="ARR1" s="16" t="s">
        <v>2613</v>
      </c>
      <c r="ARS1" s="16" t="s">
        <v>2614</v>
      </c>
      <c r="ART1" s="16" t="s">
        <v>2615</v>
      </c>
      <c r="ARU1" s="16" t="s">
        <v>2616</v>
      </c>
      <c r="ARV1" s="16" t="s">
        <v>2617</v>
      </c>
      <c r="ARW1" s="16" t="s">
        <v>2618</v>
      </c>
      <c r="ARX1" s="16" t="s">
        <v>2619</v>
      </c>
      <c r="ARY1" s="16" t="s">
        <v>2620</v>
      </c>
      <c r="ARZ1" s="16" t="s">
        <v>2621</v>
      </c>
      <c r="ASA1" s="16" t="s">
        <v>2622</v>
      </c>
      <c r="ASB1" s="16" t="s">
        <v>2623</v>
      </c>
      <c r="ASC1" s="16" t="s">
        <v>2624</v>
      </c>
      <c r="ASD1" s="16" t="s">
        <v>2625</v>
      </c>
      <c r="ASE1" s="16" t="s">
        <v>2626</v>
      </c>
      <c r="ASF1" s="16" t="s">
        <v>2627</v>
      </c>
      <c r="ASG1" s="16" t="s">
        <v>2628</v>
      </c>
      <c r="ASH1" s="16" t="s">
        <v>2629</v>
      </c>
      <c r="ASI1" s="16" t="s">
        <v>2630</v>
      </c>
      <c r="ASJ1" s="16" t="s">
        <v>2631</v>
      </c>
      <c r="ASK1" s="16" t="s">
        <v>2632</v>
      </c>
      <c r="ASL1" s="16" t="s">
        <v>2633</v>
      </c>
      <c r="ASM1" s="16" t="s">
        <v>2634</v>
      </c>
      <c r="ASN1" s="16" t="s">
        <v>2635</v>
      </c>
      <c r="ASO1" s="16" t="s">
        <v>2636</v>
      </c>
      <c r="ASP1" s="16" t="s">
        <v>2637</v>
      </c>
      <c r="ASQ1" s="16" t="s">
        <v>2638</v>
      </c>
      <c r="ASR1" s="16" t="s">
        <v>2639</v>
      </c>
      <c r="ASS1" s="16" t="s">
        <v>2640</v>
      </c>
      <c r="AST1" s="16" t="s">
        <v>2641</v>
      </c>
      <c r="ASU1" s="16" t="s">
        <v>2642</v>
      </c>
      <c r="ASV1" s="16" t="s">
        <v>2643</v>
      </c>
      <c r="ASW1" s="16" t="s">
        <v>2644</v>
      </c>
      <c r="ASX1" s="16" t="s">
        <v>2645</v>
      </c>
      <c r="ASY1" s="16" t="s">
        <v>2646</v>
      </c>
      <c r="ASZ1" s="16" t="s">
        <v>2647</v>
      </c>
      <c r="ATA1" s="16" t="s">
        <v>2648</v>
      </c>
      <c r="ATB1" s="16" t="s">
        <v>2649</v>
      </c>
      <c r="ATC1" s="16" t="s">
        <v>2650</v>
      </c>
      <c r="ATD1" s="16" t="s">
        <v>2651</v>
      </c>
      <c r="ATE1" s="16" t="s">
        <v>2652</v>
      </c>
      <c r="ATF1" s="16" t="s">
        <v>2653</v>
      </c>
      <c r="ATG1" s="16" t="s">
        <v>2654</v>
      </c>
      <c r="ATH1" s="16" t="s">
        <v>2655</v>
      </c>
      <c r="ATI1" s="16" t="s">
        <v>2656</v>
      </c>
      <c r="ATJ1" s="16" t="s">
        <v>2657</v>
      </c>
      <c r="ATK1" s="16" t="s">
        <v>2658</v>
      </c>
      <c r="ATL1" s="16" t="s">
        <v>2659</v>
      </c>
      <c r="ATM1" s="16" t="s">
        <v>2660</v>
      </c>
      <c r="ATN1" s="16" t="s">
        <v>2661</v>
      </c>
      <c r="ATO1" s="16" t="s">
        <v>2662</v>
      </c>
      <c r="ATP1" s="16" t="s">
        <v>2663</v>
      </c>
      <c r="ATQ1" s="16" t="s">
        <v>2664</v>
      </c>
      <c r="ATR1" s="16" t="s">
        <v>2665</v>
      </c>
      <c r="ATS1" s="16" t="s">
        <v>2666</v>
      </c>
      <c r="ATT1" s="16" t="s">
        <v>2667</v>
      </c>
      <c r="ATU1" s="16" t="s">
        <v>2668</v>
      </c>
      <c r="ATV1" s="16" t="s">
        <v>2669</v>
      </c>
      <c r="ATW1" s="16" t="s">
        <v>2670</v>
      </c>
      <c r="ATX1" s="16" t="s">
        <v>2671</v>
      </c>
      <c r="ATY1" s="16" t="s">
        <v>2672</v>
      </c>
      <c r="ATZ1" s="16" t="s">
        <v>2673</v>
      </c>
      <c r="AUA1" s="16" t="s">
        <v>2674</v>
      </c>
      <c r="AUB1" s="16" t="s">
        <v>2675</v>
      </c>
      <c r="AUC1" s="16" t="s">
        <v>2676</v>
      </c>
      <c r="AUD1" s="16" t="s">
        <v>2677</v>
      </c>
      <c r="AUE1" s="16" t="s">
        <v>2678</v>
      </c>
      <c r="AUF1" s="16" t="s">
        <v>2679</v>
      </c>
      <c r="AUG1" s="16" t="s">
        <v>2680</v>
      </c>
      <c r="AUH1" s="16" t="s">
        <v>2681</v>
      </c>
      <c r="AUI1" s="16" t="s">
        <v>2682</v>
      </c>
      <c r="AUJ1" s="16" t="s">
        <v>2683</v>
      </c>
      <c r="AUK1" s="16" t="s">
        <v>2684</v>
      </c>
      <c r="AUL1" s="16" t="s">
        <v>2685</v>
      </c>
      <c r="AUM1" s="16" t="s">
        <v>2686</v>
      </c>
      <c r="AUN1" s="16" t="s">
        <v>2687</v>
      </c>
      <c r="AUO1" s="16" t="s">
        <v>2688</v>
      </c>
      <c r="AUP1" s="16" t="s">
        <v>2689</v>
      </c>
      <c r="AUQ1" s="16" t="s">
        <v>2690</v>
      </c>
      <c r="AUR1" s="16" t="s">
        <v>2691</v>
      </c>
      <c r="AUS1" s="16" t="s">
        <v>2692</v>
      </c>
      <c r="AUT1" s="16" t="s">
        <v>2693</v>
      </c>
      <c r="AUU1" s="16" t="s">
        <v>2694</v>
      </c>
      <c r="AUV1" s="16" t="s">
        <v>2695</v>
      </c>
      <c r="AUW1" s="16" t="s">
        <v>2696</v>
      </c>
      <c r="AUX1" s="16" t="s">
        <v>2697</v>
      </c>
      <c r="AUY1" s="16" t="s">
        <v>2698</v>
      </c>
      <c r="AUZ1" s="16" t="s">
        <v>2699</v>
      </c>
      <c r="AVA1" s="16" t="s">
        <v>2700</v>
      </c>
      <c r="AVB1" s="16" t="s">
        <v>2701</v>
      </c>
      <c r="AVC1" s="16" t="s">
        <v>2702</v>
      </c>
      <c r="AVD1" s="16" t="s">
        <v>2703</v>
      </c>
      <c r="AVE1" s="16" t="s">
        <v>2704</v>
      </c>
      <c r="AVF1" s="16" t="s">
        <v>2705</v>
      </c>
      <c r="AVG1" s="16" t="s">
        <v>2706</v>
      </c>
      <c r="AVH1" s="16" t="s">
        <v>2707</v>
      </c>
      <c r="AVI1" s="16" t="s">
        <v>2708</v>
      </c>
      <c r="AVJ1" s="16" t="s">
        <v>2709</v>
      </c>
      <c r="AVK1" s="16" t="s">
        <v>2710</v>
      </c>
      <c r="AVL1" s="16" t="s">
        <v>2711</v>
      </c>
      <c r="AVM1" s="16" t="s">
        <v>2712</v>
      </c>
      <c r="AVN1" s="16" t="s">
        <v>2713</v>
      </c>
      <c r="AVO1" s="16" t="s">
        <v>2714</v>
      </c>
      <c r="AVP1" s="16" t="s">
        <v>2715</v>
      </c>
      <c r="AVQ1" s="16" t="s">
        <v>2716</v>
      </c>
      <c r="AVR1" s="16" t="s">
        <v>2717</v>
      </c>
      <c r="AVS1" s="16" t="s">
        <v>2718</v>
      </c>
      <c r="AVT1" s="16" t="s">
        <v>2719</v>
      </c>
      <c r="AVU1" s="16" t="s">
        <v>2720</v>
      </c>
      <c r="AVV1" s="16" t="s">
        <v>2721</v>
      </c>
      <c r="AVW1" s="16" t="s">
        <v>2722</v>
      </c>
      <c r="AVX1" s="16" t="s">
        <v>2723</v>
      </c>
      <c r="AVY1" s="16" t="s">
        <v>2724</v>
      </c>
      <c r="AVZ1" s="16" t="s">
        <v>2725</v>
      </c>
      <c r="AWA1" s="16" t="s">
        <v>2726</v>
      </c>
      <c r="AWB1" s="16" t="s">
        <v>2727</v>
      </c>
      <c r="AWC1" s="16" t="s">
        <v>2728</v>
      </c>
      <c r="AWD1" s="16" t="s">
        <v>2729</v>
      </c>
      <c r="AWE1" s="16" t="s">
        <v>2730</v>
      </c>
      <c r="AWF1" s="16" t="s">
        <v>2731</v>
      </c>
      <c r="AWG1" s="16" t="s">
        <v>2732</v>
      </c>
      <c r="AWH1" s="16" t="s">
        <v>2733</v>
      </c>
      <c r="AWI1" s="16" t="s">
        <v>2734</v>
      </c>
      <c r="AWJ1" s="16" t="s">
        <v>2735</v>
      </c>
      <c r="AWK1" s="16" t="s">
        <v>2736</v>
      </c>
      <c r="AWL1" s="16" t="s">
        <v>2737</v>
      </c>
      <c r="AWM1" s="16" t="s">
        <v>2738</v>
      </c>
      <c r="AWN1" s="16" t="s">
        <v>2739</v>
      </c>
      <c r="AWO1" s="16" t="s">
        <v>2740</v>
      </c>
      <c r="AWP1" s="16" t="s">
        <v>2741</v>
      </c>
      <c r="AWQ1" s="16" t="s">
        <v>2742</v>
      </c>
      <c r="AWR1" s="16" t="s">
        <v>2743</v>
      </c>
      <c r="AWS1" s="16" t="s">
        <v>2744</v>
      </c>
      <c r="AWT1" s="16" t="s">
        <v>2745</v>
      </c>
      <c r="AWU1" s="16" t="s">
        <v>2746</v>
      </c>
      <c r="AWV1" s="16" t="s">
        <v>2747</v>
      </c>
      <c r="AWW1" s="16" t="s">
        <v>2748</v>
      </c>
      <c r="AWX1" s="16" t="s">
        <v>2749</v>
      </c>
      <c r="AWY1" s="16" t="s">
        <v>2750</v>
      </c>
      <c r="AWZ1" s="16" t="s">
        <v>2751</v>
      </c>
      <c r="AXA1" s="16" t="s">
        <v>2752</v>
      </c>
      <c r="AXB1" s="16" t="s">
        <v>2753</v>
      </c>
      <c r="AXC1" s="16" t="s">
        <v>2754</v>
      </c>
      <c r="AXD1" s="16" t="s">
        <v>2755</v>
      </c>
      <c r="AXE1" s="16" t="s">
        <v>2756</v>
      </c>
      <c r="AXF1" s="16" t="s">
        <v>2757</v>
      </c>
      <c r="AXG1" s="16" t="s">
        <v>2758</v>
      </c>
      <c r="AXH1" s="16" t="s">
        <v>2759</v>
      </c>
      <c r="AXI1" s="16" t="s">
        <v>2760</v>
      </c>
      <c r="AXJ1" s="16" t="s">
        <v>2761</v>
      </c>
      <c r="AXK1" s="16" t="s">
        <v>2762</v>
      </c>
      <c r="AXL1" s="16" t="s">
        <v>2763</v>
      </c>
      <c r="AXM1" s="16" t="s">
        <v>2764</v>
      </c>
      <c r="AXN1" s="16" t="s">
        <v>2765</v>
      </c>
      <c r="AXO1" s="16" t="s">
        <v>2766</v>
      </c>
      <c r="AXP1" s="16" t="s">
        <v>2767</v>
      </c>
      <c r="AXQ1" s="16" t="s">
        <v>2768</v>
      </c>
      <c r="AXR1" s="16" t="s">
        <v>2769</v>
      </c>
      <c r="AXS1" s="16" t="s">
        <v>2770</v>
      </c>
      <c r="AXT1" s="16" t="s">
        <v>2771</v>
      </c>
      <c r="AXU1" s="16" t="s">
        <v>2772</v>
      </c>
      <c r="AXV1" s="16" t="s">
        <v>2773</v>
      </c>
      <c r="AXW1" s="16" t="s">
        <v>2774</v>
      </c>
      <c r="AXX1" s="16" t="s">
        <v>2775</v>
      </c>
      <c r="AXY1" s="16" t="s">
        <v>2776</v>
      </c>
      <c r="AXZ1" s="16" t="s">
        <v>2777</v>
      </c>
      <c r="AYA1" s="16" t="s">
        <v>2778</v>
      </c>
      <c r="AYB1" s="16" t="s">
        <v>2779</v>
      </c>
      <c r="AYC1" s="16" t="s">
        <v>2780</v>
      </c>
      <c r="AYD1" s="16" t="s">
        <v>2781</v>
      </c>
      <c r="AYE1" s="16" t="s">
        <v>2782</v>
      </c>
      <c r="AYF1" s="16" t="s">
        <v>2783</v>
      </c>
      <c r="AYG1" s="16" t="s">
        <v>2784</v>
      </c>
      <c r="AYH1" s="16" t="s">
        <v>2785</v>
      </c>
      <c r="AYI1" s="16" t="s">
        <v>2786</v>
      </c>
      <c r="AYJ1" s="16" t="s">
        <v>2787</v>
      </c>
      <c r="AYK1" s="16" t="s">
        <v>2788</v>
      </c>
      <c r="AYL1" s="16" t="s">
        <v>2789</v>
      </c>
      <c r="AYM1" s="16" t="s">
        <v>2790</v>
      </c>
      <c r="AYN1" s="16" t="s">
        <v>2791</v>
      </c>
      <c r="AYO1" s="16" t="s">
        <v>2792</v>
      </c>
      <c r="AYP1" s="16" t="s">
        <v>2793</v>
      </c>
      <c r="AYQ1" s="16" t="s">
        <v>2794</v>
      </c>
      <c r="AYR1" s="16" t="s">
        <v>2795</v>
      </c>
      <c r="AYS1" s="16" t="s">
        <v>2796</v>
      </c>
      <c r="AYT1" s="16" t="s">
        <v>2797</v>
      </c>
      <c r="AYU1" s="16" t="s">
        <v>2798</v>
      </c>
      <c r="AYV1" s="16" t="s">
        <v>2799</v>
      </c>
      <c r="AYW1" s="16" t="s">
        <v>2800</v>
      </c>
      <c r="AYX1" s="16" t="s">
        <v>2801</v>
      </c>
      <c r="AYY1" s="16" t="s">
        <v>2802</v>
      </c>
      <c r="AYZ1" s="16" t="s">
        <v>2803</v>
      </c>
      <c r="AZA1" s="16" t="s">
        <v>2804</v>
      </c>
      <c r="AZB1" s="16" t="s">
        <v>2805</v>
      </c>
      <c r="AZC1" s="16" t="s">
        <v>2806</v>
      </c>
      <c r="AZD1" s="16" t="s">
        <v>2807</v>
      </c>
      <c r="AZE1" s="16" t="s">
        <v>2808</v>
      </c>
      <c r="AZF1" s="16" t="s">
        <v>2809</v>
      </c>
      <c r="AZG1" s="16" t="s">
        <v>2810</v>
      </c>
      <c r="AZH1" s="16" t="s">
        <v>2811</v>
      </c>
      <c r="AZI1" s="16" t="s">
        <v>2812</v>
      </c>
      <c r="AZJ1" s="16" t="s">
        <v>2813</v>
      </c>
      <c r="AZK1" s="16" t="s">
        <v>2814</v>
      </c>
      <c r="AZL1" s="16" t="s">
        <v>2815</v>
      </c>
      <c r="AZM1" s="16" t="s">
        <v>2816</v>
      </c>
      <c r="AZN1" s="16" t="s">
        <v>2817</v>
      </c>
      <c r="AZO1" s="16" t="s">
        <v>2818</v>
      </c>
      <c r="AZP1" s="16" t="s">
        <v>2819</v>
      </c>
      <c r="AZQ1" s="16" t="s">
        <v>2820</v>
      </c>
      <c r="AZR1" s="16" t="s">
        <v>2821</v>
      </c>
      <c r="AZS1" s="16" t="s">
        <v>2822</v>
      </c>
      <c r="AZT1" s="16" t="s">
        <v>2823</v>
      </c>
      <c r="AZU1" s="16" t="s">
        <v>2824</v>
      </c>
      <c r="AZV1" s="16" t="s">
        <v>2825</v>
      </c>
      <c r="AZW1" s="16" t="s">
        <v>2826</v>
      </c>
      <c r="AZX1" s="16" t="s">
        <v>2827</v>
      </c>
      <c r="AZY1" s="16" t="s">
        <v>2828</v>
      </c>
      <c r="AZZ1" s="16" t="s">
        <v>2829</v>
      </c>
      <c r="BAA1" s="16" t="s">
        <v>2830</v>
      </c>
      <c r="BAB1" s="16" t="s">
        <v>2831</v>
      </c>
      <c r="BAC1" s="16" t="s">
        <v>2832</v>
      </c>
      <c r="BAD1" s="16" t="s">
        <v>2833</v>
      </c>
      <c r="BAE1" s="16" t="s">
        <v>2834</v>
      </c>
      <c r="BAF1" s="16" t="s">
        <v>2835</v>
      </c>
      <c r="BAG1" s="16" t="s">
        <v>2836</v>
      </c>
      <c r="BAH1" s="16" t="s">
        <v>2837</v>
      </c>
      <c r="BAI1" s="16" t="s">
        <v>2838</v>
      </c>
      <c r="BAJ1" s="16" t="s">
        <v>2839</v>
      </c>
      <c r="BAK1" s="16" t="s">
        <v>2840</v>
      </c>
      <c r="BAL1" s="16" t="s">
        <v>2841</v>
      </c>
      <c r="BAM1" s="16" t="s">
        <v>2842</v>
      </c>
      <c r="BAN1" s="16" t="s">
        <v>2843</v>
      </c>
      <c r="BAO1" s="16" t="s">
        <v>2844</v>
      </c>
      <c r="BAP1" s="16" t="s">
        <v>2845</v>
      </c>
      <c r="BAQ1" s="16" t="s">
        <v>2846</v>
      </c>
      <c r="BAR1" s="16" t="s">
        <v>2847</v>
      </c>
      <c r="BAS1" s="16" t="s">
        <v>2848</v>
      </c>
      <c r="BAT1" s="16" t="s">
        <v>2849</v>
      </c>
      <c r="BAU1" s="16" t="s">
        <v>2850</v>
      </c>
      <c r="BAV1" s="16" t="s">
        <v>2851</v>
      </c>
      <c r="BAW1" s="16" t="s">
        <v>2852</v>
      </c>
      <c r="BAX1" s="16" t="s">
        <v>2853</v>
      </c>
      <c r="BAY1" s="16" t="s">
        <v>2854</v>
      </c>
      <c r="BAZ1" s="16" t="s">
        <v>2855</v>
      </c>
      <c r="BBA1" s="16" t="s">
        <v>2856</v>
      </c>
      <c r="BBB1" s="16" t="s">
        <v>2857</v>
      </c>
      <c r="BBC1" s="16" t="s">
        <v>2858</v>
      </c>
      <c r="BBD1" s="16" t="s">
        <v>2859</v>
      </c>
      <c r="BBE1" s="16" t="s">
        <v>2860</v>
      </c>
      <c r="BBF1" s="16" t="s">
        <v>2861</v>
      </c>
      <c r="BBG1" s="16" t="s">
        <v>2862</v>
      </c>
      <c r="BBH1" s="16" t="s">
        <v>2863</v>
      </c>
      <c r="BBI1" s="16" t="s">
        <v>2864</v>
      </c>
      <c r="BBJ1" s="16" t="s">
        <v>2865</v>
      </c>
      <c r="BBK1" s="16" t="s">
        <v>2866</v>
      </c>
      <c r="BBL1" s="16" t="s">
        <v>2867</v>
      </c>
      <c r="BBM1" s="16" t="s">
        <v>2868</v>
      </c>
      <c r="BBN1" s="16" t="s">
        <v>2869</v>
      </c>
      <c r="BBO1" s="16" t="s">
        <v>2870</v>
      </c>
      <c r="BBP1" s="16" t="s">
        <v>2871</v>
      </c>
      <c r="BBQ1" s="16" t="s">
        <v>2872</v>
      </c>
      <c r="BBR1" s="16" t="s">
        <v>2873</v>
      </c>
      <c r="BBS1" s="16" t="s">
        <v>2874</v>
      </c>
      <c r="BBT1" s="16" t="s">
        <v>2875</v>
      </c>
      <c r="BBU1" s="16" t="s">
        <v>2876</v>
      </c>
      <c r="BBV1" s="16" t="s">
        <v>2877</v>
      </c>
      <c r="BBW1" s="16" t="s">
        <v>2878</v>
      </c>
      <c r="BBX1" s="16" t="s">
        <v>2879</v>
      </c>
      <c r="BBY1" s="16" t="s">
        <v>2880</v>
      </c>
      <c r="BBZ1" s="16" t="s">
        <v>2881</v>
      </c>
      <c r="BCA1" s="16" t="s">
        <v>2882</v>
      </c>
      <c r="BCB1" s="16" t="s">
        <v>2883</v>
      </c>
      <c r="BCC1" s="16" t="s">
        <v>2884</v>
      </c>
      <c r="BCD1" s="16" t="s">
        <v>2885</v>
      </c>
      <c r="BCE1" s="16" t="s">
        <v>2886</v>
      </c>
      <c r="BCF1" s="16" t="s">
        <v>2887</v>
      </c>
      <c r="BCG1" s="16" t="s">
        <v>2888</v>
      </c>
      <c r="BCH1" s="16" t="s">
        <v>2889</v>
      </c>
      <c r="BCI1" s="16" t="s">
        <v>2890</v>
      </c>
      <c r="BCJ1" s="16" t="s">
        <v>2891</v>
      </c>
      <c r="BCK1" s="16" t="s">
        <v>2892</v>
      </c>
      <c r="BCL1" s="16" t="s">
        <v>2893</v>
      </c>
      <c r="BCM1" s="16" t="s">
        <v>2894</v>
      </c>
      <c r="BCN1" s="16" t="s">
        <v>2895</v>
      </c>
      <c r="BCO1" s="16" t="s">
        <v>2896</v>
      </c>
      <c r="BCP1" s="16" t="s">
        <v>2897</v>
      </c>
      <c r="BCQ1" s="16" t="s">
        <v>2898</v>
      </c>
      <c r="BCR1" s="16" t="s">
        <v>2899</v>
      </c>
      <c r="BCS1" s="16" t="s">
        <v>2900</v>
      </c>
      <c r="BCT1" s="16" t="s">
        <v>2901</v>
      </c>
      <c r="BCU1" s="16" t="s">
        <v>2902</v>
      </c>
      <c r="BCV1" s="16" t="s">
        <v>2903</v>
      </c>
      <c r="BCW1" s="16" t="s">
        <v>2904</v>
      </c>
      <c r="BCX1" s="16" t="s">
        <v>2905</v>
      </c>
      <c r="BCY1" s="16" t="s">
        <v>2906</v>
      </c>
      <c r="BCZ1" s="16" t="s">
        <v>2907</v>
      </c>
      <c r="BDA1" s="16" t="s">
        <v>2908</v>
      </c>
      <c r="BDB1" s="16" t="s">
        <v>2909</v>
      </c>
      <c r="BDC1" s="16" t="s">
        <v>2910</v>
      </c>
      <c r="BDD1" s="16" t="s">
        <v>2911</v>
      </c>
      <c r="BDE1" s="16" t="s">
        <v>2912</v>
      </c>
      <c r="BDF1" s="16" t="s">
        <v>2913</v>
      </c>
      <c r="BDG1" s="16" t="s">
        <v>2914</v>
      </c>
      <c r="BDH1" s="16" t="s">
        <v>2915</v>
      </c>
      <c r="BDI1" s="16" t="s">
        <v>2916</v>
      </c>
      <c r="BDJ1" s="16" t="s">
        <v>2917</v>
      </c>
      <c r="BDK1" s="16" t="s">
        <v>2918</v>
      </c>
      <c r="BDL1" s="16" t="s">
        <v>2919</v>
      </c>
      <c r="BDM1" s="16" t="s">
        <v>2920</v>
      </c>
      <c r="BDN1" s="16" t="s">
        <v>2921</v>
      </c>
      <c r="BDO1" s="16" t="s">
        <v>2922</v>
      </c>
      <c r="BDP1" s="16" t="s">
        <v>2923</v>
      </c>
      <c r="BDQ1" s="16" t="s">
        <v>2924</v>
      </c>
      <c r="BDR1" s="16" t="s">
        <v>2925</v>
      </c>
      <c r="BDS1" s="16" t="s">
        <v>2926</v>
      </c>
      <c r="BDT1" s="16" t="s">
        <v>2927</v>
      </c>
      <c r="BDU1" s="16" t="s">
        <v>2928</v>
      </c>
      <c r="BDV1" s="16" t="s">
        <v>2929</v>
      </c>
      <c r="BDW1" s="16" t="s">
        <v>2930</v>
      </c>
      <c r="BDX1" s="16" t="s">
        <v>2931</v>
      </c>
      <c r="BDY1" s="16" t="s">
        <v>2932</v>
      </c>
      <c r="BDZ1" s="16" t="s">
        <v>2933</v>
      </c>
      <c r="BEA1" s="16" t="s">
        <v>2934</v>
      </c>
      <c r="BEB1" s="16" t="s">
        <v>2935</v>
      </c>
      <c r="BEC1" s="16" t="s">
        <v>2936</v>
      </c>
      <c r="BED1" s="16" t="s">
        <v>2937</v>
      </c>
      <c r="BEE1" s="16" t="s">
        <v>2938</v>
      </c>
      <c r="BEF1" s="16" t="s">
        <v>2939</v>
      </c>
      <c r="BEG1" s="16" t="s">
        <v>2940</v>
      </c>
      <c r="BEH1" s="16" t="s">
        <v>2941</v>
      </c>
      <c r="BEI1" s="16" t="s">
        <v>2942</v>
      </c>
      <c r="BEJ1" s="16" t="s">
        <v>2943</v>
      </c>
      <c r="BEK1" s="16" t="s">
        <v>2944</v>
      </c>
      <c r="BEL1" s="16" t="s">
        <v>2945</v>
      </c>
      <c r="BEM1" s="16" t="s">
        <v>2946</v>
      </c>
      <c r="BEN1" s="16" t="s">
        <v>2947</v>
      </c>
      <c r="BEO1" s="16" t="s">
        <v>2948</v>
      </c>
      <c r="BEP1" s="16" t="s">
        <v>2949</v>
      </c>
      <c r="BEQ1" s="16" t="s">
        <v>2950</v>
      </c>
      <c r="BER1" s="16" t="s">
        <v>2951</v>
      </c>
      <c r="BES1" s="16" t="s">
        <v>2952</v>
      </c>
      <c r="BET1" s="16" t="s">
        <v>2953</v>
      </c>
      <c r="BEU1" s="16" t="s">
        <v>2954</v>
      </c>
      <c r="BEV1" s="16" t="s">
        <v>2955</v>
      </c>
      <c r="BEW1" s="16" t="s">
        <v>2956</v>
      </c>
      <c r="BEX1" s="16" t="s">
        <v>2957</v>
      </c>
      <c r="BEY1" s="16" t="s">
        <v>2958</v>
      </c>
      <c r="BEZ1" s="16" t="s">
        <v>2959</v>
      </c>
      <c r="BFA1" s="16" t="s">
        <v>2960</v>
      </c>
      <c r="BFB1" s="16" t="s">
        <v>2961</v>
      </c>
      <c r="BFC1" s="16" t="s">
        <v>2962</v>
      </c>
      <c r="BFD1" s="16" t="s">
        <v>2963</v>
      </c>
      <c r="BFE1" s="16" t="s">
        <v>2964</v>
      </c>
      <c r="BFF1" s="16" t="s">
        <v>2965</v>
      </c>
      <c r="BFG1" s="16" t="s">
        <v>2966</v>
      </c>
      <c r="BFH1" s="16" t="s">
        <v>2967</v>
      </c>
      <c r="BFI1" s="16" t="s">
        <v>2968</v>
      </c>
      <c r="BFJ1" s="16" t="s">
        <v>2969</v>
      </c>
      <c r="BFK1" s="16" t="s">
        <v>2970</v>
      </c>
      <c r="BFL1" s="16" t="s">
        <v>2971</v>
      </c>
      <c r="BFM1" s="16" t="s">
        <v>2972</v>
      </c>
      <c r="BFN1" s="16" t="s">
        <v>2973</v>
      </c>
      <c r="BFO1" s="16" t="s">
        <v>2974</v>
      </c>
      <c r="BFP1" s="16" t="s">
        <v>2975</v>
      </c>
      <c r="BFQ1" s="16" t="s">
        <v>2976</v>
      </c>
      <c r="BFR1" s="16" t="s">
        <v>2977</v>
      </c>
      <c r="BFS1" s="16" t="s">
        <v>2978</v>
      </c>
      <c r="BFT1" s="16" t="s">
        <v>2979</v>
      </c>
      <c r="BFU1" s="16" t="s">
        <v>2980</v>
      </c>
      <c r="BFV1" s="16" t="s">
        <v>2981</v>
      </c>
      <c r="BFW1" s="16" t="s">
        <v>2982</v>
      </c>
      <c r="BFX1" s="16" t="s">
        <v>2983</v>
      </c>
      <c r="BFY1" s="16" t="s">
        <v>2984</v>
      </c>
      <c r="BFZ1" s="16" t="s">
        <v>2985</v>
      </c>
      <c r="BGA1" s="16" t="s">
        <v>2986</v>
      </c>
      <c r="BGB1" s="16" t="s">
        <v>2987</v>
      </c>
      <c r="BGC1" s="16" t="s">
        <v>2988</v>
      </c>
      <c r="BGD1" s="16" t="s">
        <v>2989</v>
      </c>
      <c r="BGE1" s="16" t="s">
        <v>2990</v>
      </c>
      <c r="BGF1" s="16" t="s">
        <v>2991</v>
      </c>
      <c r="BGG1" s="16" t="s">
        <v>2992</v>
      </c>
      <c r="BGH1" s="16" t="s">
        <v>2993</v>
      </c>
      <c r="BGI1" s="16" t="s">
        <v>2994</v>
      </c>
      <c r="BGJ1" s="16" t="s">
        <v>2995</v>
      </c>
      <c r="BGK1" s="16" t="s">
        <v>2996</v>
      </c>
      <c r="BGL1" s="16" t="s">
        <v>2997</v>
      </c>
      <c r="BGM1" s="16" t="s">
        <v>2998</v>
      </c>
      <c r="BGN1" s="16" t="s">
        <v>2999</v>
      </c>
      <c r="BGO1" s="16" t="s">
        <v>3000</v>
      </c>
      <c r="BGP1" s="16" t="s">
        <v>3001</v>
      </c>
      <c r="BGQ1" s="16" t="s">
        <v>3002</v>
      </c>
      <c r="BGR1" s="16" t="s">
        <v>3003</v>
      </c>
      <c r="BGS1" s="16" t="s">
        <v>3004</v>
      </c>
      <c r="BGT1" s="16" t="s">
        <v>3005</v>
      </c>
      <c r="BGU1" s="16" t="s">
        <v>3006</v>
      </c>
      <c r="BGV1" s="16" t="s">
        <v>3007</v>
      </c>
      <c r="BGW1" s="16" t="s">
        <v>3008</v>
      </c>
      <c r="BGX1" s="16" t="s">
        <v>3009</v>
      </c>
      <c r="BGY1" s="16" t="s">
        <v>3010</v>
      </c>
      <c r="BGZ1" s="16" t="s">
        <v>3011</v>
      </c>
      <c r="BHA1" s="16" t="s">
        <v>3012</v>
      </c>
      <c r="BHB1" s="16" t="s">
        <v>3013</v>
      </c>
      <c r="BHC1" s="16" t="s">
        <v>3014</v>
      </c>
      <c r="BHD1" s="16" t="s">
        <v>3015</v>
      </c>
      <c r="BHE1" s="16" t="s">
        <v>3016</v>
      </c>
      <c r="BHF1" s="16" t="s">
        <v>3017</v>
      </c>
      <c r="BHG1" s="16" t="s">
        <v>3018</v>
      </c>
      <c r="BHH1" s="16" t="s">
        <v>3019</v>
      </c>
      <c r="BHI1" s="16" t="s">
        <v>3020</v>
      </c>
      <c r="BHJ1" s="16" t="s">
        <v>3021</v>
      </c>
      <c r="BHK1" s="16" t="s">
        <v>3022</v>
      </c>
      <c r="BHL1" s="16" t="s">
        <v>3023</v>
      </c>
      <c r="BHM1" s="16" t="s">
        <v>3024</v>
      </c>
      <c r="BHN1" s="16" t="s">
        <v>3025</v>
      </c>
      <c r="BHO1" s="16" t="s">
        <v>3026</v>
      </c>
      <c r="BHP1" s="16" t="s">
        <v>3027</v>
      </c>
      <c r="BHQ1" s="16" t="s">
        <v>3028</v>
      </c>
      <c r="BHR1" s="16" t="s">
        <v>3029</v>
      </c>
      <c r="BHS1" s="16" t="s">
        <v>3030</v>
      </c>
      <c r="BHT1" s="16" t="s">
        <v>3031</v>
      </c>
      <c r="BHU1" s="16" t="s">
        <v>3032</v>
      </c>
      <c r="BHV1" s="16" t="s">
        <v>3033</v>
      </c>
      <c r="BHW1" s="16" t="s">
        <v>3034</v>
      </c>
      <c r="BHX1" s="16" t="s">
        <v>3035</v>
      </c>
      <c r="BHY1" s="16" t="s">
        <v>3036</v>
      </c>
      <c r="BHZ1" s="16" t="s">
        <v>3037</v>
      </c>
      <c r="BIA1" s="16" t="s">
        <v>3038</v>
      </c>
      <c r="BIB1" s="16" t="s">
        <v>3039</v>
      </c>
      <c r="BIC1" s="16" t="s">
        <v>3040</v>
      </c>
      <c r="BID1" s="16" t="s">
        <v>3041</v>
      </c>
      <c r="BIE1" s="16" t="s">
        <v>3042</v>
      </c>
      <c r="BIF1" s="16" t="s">
        <v>3043</v>
      </c>
      <c r="BIG1" s="16" t="s">
        <v>3044</v>
      </c>
      <c r="BIH1" s="16" t="s">
        <v>3045</v>
      </c>
      <c r="BII1" s="16" t="s">
        <v>3046</v>
      </c>
      <c r="BIJ1" s="16" t="s">
        <v>3047</v>
      </c>
      <c r="BIK1" s="16" t="s">
        <v>3048</v>
      </c>
      <c r="BIL1" s="16" t="s">
        <v>3049</v>
      </c>
      <c r="BIM1" s="16" t="s">
        <v>3050</v>
      </c>
      <c r="BIN1" s="16" t="s">
        <v>3051</v>
      </c>
      <c r="BIO1" s="16" t="s">
        <v>3052</v>
      </c>
      <c r="BIP1" s="16" t="s">
        <v>3053</v>
      </c>
      <c r="BIQ1" s="16" t="s">
        <v>3054</v>
      </c>
      <c r="BIR1" s="16" t="s">
        <v>3055</v>
      </c>
      <c r="BIS1" s="16" t="s">
        <v>3056</v>
      </c>
      <c r="BIT1" s="16" t="s">
        <v>3057</v>
      </c>
      <c r="BIU1" s="16" t="s">
        <v>3058</v>
      </c>
      <c r="BIV1" s="16" t="s">
        <v>3059</v>
      </c>
      <c r="BIW1" s="16" t="s">
        <v>3060</v>
      </c>
      <c r="BIX1" s="16" t="s">
        <v>3061</v>
      </c>
      <c r="BIY1" s="16" t="s">
        <v>3062</v>
      </c>
      <c r="BIZ1" s="16" t="s">
        <v>3063</v>
      </c>
      <c r="BJA1" s="16" t="s">
        <v>3064</v>
      </c>
      <c r="BJB1" s="16" t="s">
        <v>3065</v>
      </c>
      <c r="BJC1" s="16" t="s">
        <v>3066</v>
      </c>
      <c r="BJD1" s="16" t="s">
        <v>3067</v>
      </c>
      <c r="BJE1" s="16" t="s">
        <v>3068</v>
      </c>
      <c r="BJF1" s="16" t="s">
        <v>3069</v>
      </c>
      <c r="BJG1" s="16" t="s">
        <v>3070</v>
      </c>
      <c r="BJH1" s="16" t="s">
        <v>3071</v>
      </c>
      <c r="BJI1" s="16" t="s">
        <v>3072</v>
      </c>
      <c r="BJJ1" s="16" t="s">
        <v>3073</v>
      </c>
      <c r="BJK1" s="16" t="s">
        <v>3074</v>
      </c>
      <c r="BJL1" s="16" t="s">
        <v>3075</v>
      </c>
      <c r="BJM1" s="16" t="s">
        <v>3076</v>
      </c>
      <c r="BJN1" s="16" t="s">
        <v>3077</v>
      </c>
      <c r="BJO1" s="16" t="s">
        <v>3078</v>
      </c>
      <c r="BJP1" s="16" t="s">
        <v>3079</v>
      </c>
      <c r="BJQ1" s="16" t="s">
        <v>3080</v>
      </c>
      <c r="BJR1" s="16" t="s">
        <v>3081</v>
      </c>
      <c r="BJS1" s="16" t="s">
        <v>3082</v>
      </c>
      <c r="BJT1" s="16" t="s">
        <v>3083</v>
      </c>
      <c r="BJU1" s="16" t="s">
        <v>3084</v>
      </c>
      <c r="BJV1" s="16" t="s">
        <v>3085</v>
      </c>
      <c r="BJW1" s="16" t="s">
        <v>3086</v>
      </c>
      <c r="BJX1" s="16" t="s">
        <v>3087</v>
      </c>
      <c r="BJY1" s="16" t="s">
        <v>3088</v>
      </c>
      <c r="BJZ1" s="16" t="s">
        <v>3089</v>
      </c>
      <c r="BKA1" s="16" t="s">
        <v>3090</v>
      </c>
      <c r="BKB1" s="16" t="s">
        <v>3091</v>
      </c>
      <c r="BKC1" s="16" t="s">
        <v>3092</v>
      </c>
      <c r="BKD1" s="16" t="s">
        <v>3093</v>
      </c>
      <c r="BKE1" s="16" t="s">
        <v>3094</v>
      </c>
      <c r="BKF1" s="16" t="s">
        <v>3095</v>
      </c>
      <c r="BKG1" s="16" t="s">
        <v>3096</v>
      </c>
      <c r="BKH1" s="16" t="s">
        <v>3097</v>
      </c>
      <c r="BKI1" s="16" t="s">
        <v>3098</v>
      </c>
      <c r="BKJ1" s="16" t="s">
        <v>3099</v>
      </c>
      <c r="BKK1" s="16" t="s">
        <v>3100</v>
      </c>
      <c r="BKL1" s="16" t="s">
        <v>3101</v>
      </c>
      <c r="BKM1" s="16" t="s">
        <v>3102</v>
      </c>
      <c r="BKN1" s="16" t="s">
        <v>3103</v>
      </c>
      <c r="BKO1" s="16" t="s">
        <v>3104</v>
      </c>
      <c r="BKP1" s="16" t="s">
        <v>3105</v>
      </c>
      <c r="BKQ1" s="16" t="s">
        <v>3106</v>
      </c>
      <c r="BKR1" s="16" t="s">
        <v>3107</v>
      </c>
      <c r="BKS1" s="16" t="s">
        <v>3108</v>
      </c>
      <c r="BKT1" s="16" t="s">
        <v>3109</v>
      </c>
      <c r="BKU1" s="16" t="s">
        <v>3110</v>
      </c>
      <c r="BKV1" s="16" t="s">
        <v>3111</v>
      </c>
      <c r="BKW1" s="16" t="s">
        <v>3112</v>
      </c>
      <c r="BKX1" s="16" t="s">
        <v>3113</v>
      </c>
      <c r="BKY1" s="16" t="s">
        <v>3114</v>
      </c>
      <c r="BKZ1" s="16" t="s">
        <v>3115</v>
      </c>
      <c r="BLA1" s="16" t="s">
        <v>3116</v>
      </c>
      <c r="BLB1" s="16" t="s">
        <v>3117</v>
      </c>
      <c r="BLC1" s="16" t="s">
        <v>3118</v>
      </c>
      <c r="BLD1" s="16" t="s">
        <v>3119</v>
      </c>
      <c r="BLE1" s="16" t="s">
        <v>3120</v>
      </c>
      <c r="BLF1" s="16" t="s">
        <v>3121</v>
      </c>
      <c r="BLG1" s="16" t="s">
        <v>3122</v>
      </c>
      <c r="BLH1" s="16" t="s">
        <v>3123</v>
      </c>
      <c r="BLI1" s="16" t="s">
        <v>3124</v>
      </c>
      <c r="BLJ1" s="16" t="s">
        <v>3125</v>
      </c>
      <c r="BLK1" s="16" t="s">
        <v>3126</v>
      </c>
      <c r="BLL1" s="16" t="s">
        <v>3127</v>
      </c>
      <c r="BLM1" s="16" t="s">
        <v>3128</v>
      </c>
      <c r="BLN1" s="16" t="s">
        <v>3129</v>
      </c>
      <c r="BLO1" s="16" t="s">
        <v>3130</v>
      </c>
      <c r="BLP1" s="16" t="s">
        <v>3131</v>
      </c>
      <c r="BLQ1" s="16" t="s">
        <v>3132</v>
      </c>
      <c r="BLR1" s="16" t="s">
        <v>3133</v>
      </c>
      <c r="BLS1" s="16" t="s">
        <v>3134</v>
      </c>
      <c r="BLT1" s="16" t="s">
        <v>3135</v>
      </c>
      <c r="BLU1" s="16" t="s">
        <v>3136</v>
      </c>
      <c r="BLV1" s="16" t="s">
        <v>3137</v>
      </c>
      <c r="BLW1" s="16" t="s">
        <v>3138</v>
      </c>
      <c r="BLX1" s="16" t="s">
        <v>3139</v>
      </c>
      <c r="BLY1" s="16" t="s">
        <v>3140</v>
      </c>
      <c r="BLZ1" s="16" t="s">
        <v>3141</v>
      </c>
      <c r="BMA1" s="16" t="s">
        <v>3142</v>
      </c>
      <c r="BMB1" s="16" t="s">
        <v>3143</v>
      </c>
      <c r="BMC1" s="16" t="s">
        <v>3144</v>
      </c>
      <c r="BMD1" s="16" t="s">
        <v>3145</v>
      </c>
      <c r="BME1" s="16" t="s">
        <v>3146</v>
      </c>
      <c r="BMF1" s="16" t="s">
        <v>3147</v>
      </c>
      <c r="BMG1" s="16" t="s">
        <v>3148</v>
      </c>
      <c r="BMH1" s="16" t="s">
        <v>3149</v>
      </c>
      <c r="BMI1" s="16" t="s">
        <v>3150</v>
      </c>
      <c r="BMJ1" s="16" t="s">
        <v>3151</v>
      </c>
      <c r="BMK1" s="16" t="s">
        <v>3152</v>
      </c>
      <c r="BML1" s="16" t="s">
        <v>3153</v>
      </c>
      <c r="BMM1" s="16" t="s">
        <v>3154</v>
      </c>
      <c r="BMN1" s="16" t="s">
        <v>3155</v>
      </c>
      <c r="BMO1" s="16" t="s">
        <v>3156</v>
      </c>
      <c r="BMP1" s="16" t="s">
        <v>3157</v>
      </c>
      <c r="BMQ1" s="16" t="s">
        <v>3158</v>
      </c>
      <c r="BMR1" s="16" t="s">
        <v>3159</v>
      </c>
      <c r="BMS1" s="16" t="s">
        <v>3160</v>
      </c>
      <c r="BMT1" s="16" t="s">
        <v>3161</v>
      </c>
      <c r="BMU1" s="16" t="s">
        <v>3162</v>
      </c>
      <c r="BMV1" s="16" t="s">
        <v>3163</v>
      </c>
      <c r="BMW1" s="16" t="s">
        <v>3164</v>
      </c>
      <c r="BMX1" s="16" t="s">
        <v>3165</v>
      </c>
      <c r="BMY1" s="16" t="s">
        <v>3166</v>
      </c>
      <c r="BMZ1" s="16" t="s">
        <v>3167</v>
      </c>
      <c r="BNA1" s="16" t="s">
        <v>3168</v>
      </c>
      <c r="BNB1" s="16" t="s">
        <v>3169</v>
      </c>
      <c r="BNC1" s="16" t="s">
        <v>3170</v>
      </c>
      <c r="BND1" s="16" t="s">
        <v>3171</v>
      </c>
      <c r="BNE1" s="16" t="s">
        <v>3172</v>
      </c>
      <c r="BNF1" s="16" t="s">
        <v>3173</v>
      </c>
      <c r="BNG1" s="16" t="s">
        <v>3174</v>
      </c>
      <c r="BNH1" s="16" t="s">
        <v>3175</v>
      </c>
      <c r="BNI1" s="16" t="s">
        <v>3176</v>
      </c>
      <c r="BNJ1" s="16" t="s">
        <v>3177</v>
      </c>
      <c r="BNK1" s="16" t="s">
        <v>3178</v>
      </c>
      <c r="BNL1" s="16" t="s">
        <v>3179</v>
      </c>
      <c r="BNM1" s="16" t="s">
        <v>3180</v>
      </c>
      <c r="BNN1" s="16" t="s">
        <v>3181</v>
      </c>
      <c r="BNO1" s="16" t="s">
        <v>3182</v>
      </c>
      <c r="BNP1" s="16" t="s">
        <v>3183</v>
      </c>
      <c r="BNQ1" s="16" t="s">
        <v>3184</v>
      </c>
      <c r="BNR1" s="16" t="s">
        <v>3185</v>
      </c>
      <c r="BNS1" s="16" t="s">
        <v>3186</v>
      </c>
      <c r="BNT1" s="16" t="s">
        <v>3187</v>
      </c>
      <c r="BNU1" s="16" t="s">
        <v>3188</v>
      </c>
      <c r="BNV1" s="16" t="s">
        <v>3189</v>
      </c>
      <c r="BNW1" s="16" t="s">
        <v>3190</v>
      </c>
      <c r="BNX1" s="16" t="s">
        <v>3191</v>
      </c>
      <c r="BNY1" s="16" t="s">
        <v>3192</v>
      </c>
      <c r="BNZ1" s="16" t="s">
        <v>3193</v>
      </c>
      <c r="BOA1" s="16" t="s">
        <v>3194</v>
      </c>
      <c r="BOB1" s="16" t="s">
        <v>3195</v>
      </c>
      <c r="BOC1" s="16" t="s">
        <v>3196</v>
      </c>
      <c r="BOD1" s="16" t="s">
        <v>3197</v>
      </c>
      <c r="BOE1" s="16" t="s">
        <v>3198</v>
      </c>
      <c r="BOF1" s="16" t="s">
        <v>3199</v>
      </c>
      <c r="BOG1" s="16" t="s">
        <v>3200</v>
      </c>
      <c r="BOH1" s="16" t="s">
        <v>3201</v>
      </c>
      <c r="BOI1" s="16" t="s">
        <v>3202</v>
      </c>
      <c r="BOJ1" s="16" t="s">
        <v>3203</v>
      </c>
      <c r="BOK1" s="16" t="s">
        <v>3204</v>
      </c>
      <c r="BOL1" s="16" t="s">
        <v>3205</v>
      </c>
      <c r="BOM1" s="16" t="s">
        <v>3206</v>
      </c>
      <c r="BON1" s="16" t="s">
        <v>3207</v>
      </c>
      <c r="BOO1" s="16" t="s">
        <v>3208</v>
      </c>
      <c r="BOP1" s="16" t="s">
        <v>3209</v>
      </c>
      <c r="BOQ1" s="16" t="s">
        <v>3210</v>
      </c>
      <c r="BOR1" s="16" t="s">
        <v>3211</v>
      </c>
      <c r="BOS1" s="16" t="s">
        <v>3212</v>
      </c>
      <c r="BOT1" s="16" t="s">
        <v>3213</v>
      </c>
      <c r="BOU1" s="16" t="s">
        <v>3214</v>
      </c>
      <c r="BOV1" s="16" t="s">
        <v>3215</v>
      </c>
      <c r="BOW1" s="16" t="s">
        <v>3216</v>
      </c>
      <c r="BOX1" s="16" t="s">
        <v>3217</v>
      </c>
      <c r="BOY1" s="16" t="s">
        <v>3218</v>
      </c>
      <c r="BOZ1" s="16" t="s">
        <v>3219</v>
      </c>
      <c r="BPA1" s="16" t="s">
        <v>3220</v>
      </c>
      <c r="BPB1" s="16" t="s">
        <v>3221</v>
      </c>
      <c r="BPC1" s="16" t="s">
        <v>3222</v>
      </c>
      <c r="BPD1" s="16" t="s">
        <v>3223</v>
      </c>
      <c r="BPE1" s="16" t="s">
        <v>3224</v>
      </c>
      <c r="BPF1" s="16" t="s">
        <v>3225</v>
      </c>
      <c r="BPG1" s="16" t="s">
        <v>3226</v>
      </c>
      <c r="BPH1" s="16" t="s">
        <v>3227</v>
      </c>
      <c r="BPI1" s="16" t="s">
        <v>3228</v>
      </c>
      <c r="BPJ1" s="16" t="s">
        <v>3229</v>
      </c>
      <c r="BPK1" s="16" t="s">
        <v>3230</v>
      </c>
      <c r="BPL1" s="16" t="s">
        <v>3231</v>
      </c>
      <c r="BPM1" s="16" t="s">
        <v>3232</v>
      </c>
      <c r="BPN1" s="16" t="s">
        <v>3233</v>
      </c>
      <c r="BPO1" s="16" t="s">
        <v>3234</v>
      </c>
      <c r="BPP1" s="16" t="s">
        <v>3235</v>
      </c>
      <c r="BPQ1" s="16" t="s">
        <v>3236</v>
      </c>
      <c r="BPR1" s="16" t="s">
        <v>3237</v>
      </c>
      <c r="BPS1" s="16" t="s">
        <v>3238</v>
      </c>
      <c r="BPT1" s="16" t="s">
        <v>3239</v>
      </c>
      <c r="BPU1" s="16" t="s">
        <v>3240</v>
      </c>
      <c r="BPV1" s="16" t="s">
        <v>3241</v>
      </c>
      <c r="BPW1" s="16" t="s">
        <v>3242</v>
      </c>
      <c r="BPX1" s="16" t="s">
        <v>3243</v>
      </c>
      <c r="BPY1" s="16" t="s">
        <v>3244</v>
      </c>
      <c r="BPZ1" s="16" t="s">
        <v>3245</v>
      </c>
      <c r="BQA1" s="16" t="s">
        <v>3246</v>
      </c>
      <c r="BQB1" s="16" t="s">
        <v>3247</v>
      </c>
      <c r="BQC1" s="16" t="s">
        <v>3248</v>
      </c>
      <c r="BQD1" s="16" t="s">
        <v>3249</v>
      </c>
      <c r="BQE1" s="16" t="s">
        <v>3250</v>
      </c>
      <c r="BQF1" s="16" t="s">
        <v>3251</v>
      </c>
      <c r="BQG1" s="16" t="s">
        <v>3252</v>
      </c>
      <c r="BQH1" s="16" t="s">
        <v>3253</v>
      </c>
      <c r="BQI1" s="16" t="s">
        <v>3254</v>
      </c>
      <c r="BQJ1" s="16" t="s">
        <v>3255</v>
      </c>
      <c r="BQK1" s="16" t="s">
        <v>3256</v>
      </c>
      <c r="BQL1" s="16" t="s">
        <v>3257</v>
      </c>
      <c r="BQM1" s="16" t="s">
        <v>3258</v>
      </c>
      <c r="BQN1" s="16" t="s">
        <v>3259</v>
      </c>
      <c r="BQO1" s="16" t="s">
        <v>3260</v>
      </c>
      <c r="BQP1" s="16" t="s">
        <v>3261</v>
      </c>
      <c r="BQQ1" s="16" t="s">
        <v>3262</v>
      </c>
      <c r="BQR1" s="16" t="s">
        <v>3263</v>
      </c>
      <c r="BQS1" s="16" t="s">
        <v>3264</v>
      </c>
      <c r="BQT1" s="16" t="s">
        <v>3265</v>
      </c>
      <c r="BQU1" s="16" t="s">
        <v>3266</v>
      </c>
      <c r="BQV1" s="16" t="s">
        <v>3267</v>
      </c>
      <c r="BQW1" s="16" t="s">
        <v>3268</v>
      </c>
      <c r="BQX1" s="16" t="s">
        <v>3269</v>
      </c>
      <c r="BQY1" s="16" t="s">
        <v>3270</v>
      </c>
      <c r="BQZ1" s="16" t="s">
        <v>3271</v>
      </c>
      <c r="BRA1" s="16" t="s">
        <v>3272</v>
      </c>
      <c r="BRB1" s="16" t="s">
        <v>3273</v>
      </c>
      <c r="BRC1" s="16" t="s">
        <v>3274</v>
      </c>
      <c r="BRD1" s="16" t="s">
        <v>3275</v>
      </c>
      <c r="BRE1" s="16" t="s">
        <v>3276</v>
      </c>
      <c r="BRF1" s="16" t="s">
        <v>3277</v>
      </c>
      <c r="BRG1" s="16" t="s">
        <v>3278</v>
      </c>
      <c r="BRH1" s="16" t="s">
        <v>3279</v>
      </c>
      <c r="BRI1" s="16" t="s">
        <v>3280</v>
      </c>
      <c r="BRJ1" s="16" t="s">
        <v>3281</v>
      </c>
      <c r="BRK1" s="16" t="s">
        <v>3282</v>
      </c>
      <c r="BRL1" s="16" t="s">
        <v>3283</v>
      </c>
      <c r="BRM1" s="16" t="s">
        <v>3284</v>
      </c>
      <c r="BRN1" s="16" t="s">
        <v>3285</v>
      </c>
      <c r="BRO1" s="16" t="s">
        <v>3286</v>
      </c>
      <c r="BRP1" s="16" t="s">
        <v>3287</v>
      </c>
      <c r="BRQ1" s="16" t="s">
        <v>3288</v>
      </c>
      <c r="BRR1" s="16" t="s">
        <v>3289</v>
      </c>
      <c r="BRS1" s="16" t="s">
        <v>3290</v>
      </c>
      <c r="BRT1" s="16" t="s">
        <v>3291</v>
      </c>
      <c r="BRU1" s="16" t="s">
        <v>3292</v>
      </c>
      <c r="BRV1" s="16" t="s">
        <v>3293</v>
      </c>
      <c r="BRW1" s="16" t="s">
        <v>3294</v>
      </c>
      <c r="BRX1" s="16" t="s">
        <v>3295</v>
      </c>
      <c r="BRY1" s="16" t="s">
        <v>3296</v>
      </c>
      <c r="BRZ1" s="16" t="s">
        <v>3297</v>
      </c>
      <c r="BSA1" s="16" t="s">
        <v>3298</v>
      </c>
      <c r="BSB1" s="16" t="s">
        <v>3299</v>
      </c>
      <c r="BSC1" s="16" t="s">
        <v>3300</v>
      </c>
      <c r="BSD1" s="16" t="s">
        <v>3301</v>
      </c>
      <c r="BSE1" s="16" t="s">
        <v>3302</v>
      </c>
      <c r="BSF1" s="16" t="s">
        <v>3303</v>
      </c>
      <c r="BSG1" s="16" t="s">
        <v>3304</v>
      </c>
      <c r="BSH1" s="16" t="s">
        <v>3305</v>
      </c>
      <c r="BSI1" s="16" t="s">
        <v>3306</v>
      </c>
      <c r="BSJ1" s="16" t="s">
        <v>3307</v>
      </c>
      <c r="BSK1" s="16" t="s">
        <v>3308</v>
      </c>
      <c r="BSL1" s="16" t="s">
        <v>3309</v>
      </c>
      <c r="BSM1" s="16" t="s">
        <v>3310</v>
      </c>
      <c r="BSN1" s="16" t="s">
        <v>3311</v>
      </c>
      <c r="BSO1" s="16" t="s">
        <v>3312</v>
      </c>
      <c r="BSP1" s="16" t="s">
        <v>3313</v>
      </c>
      <c r="BSQ1" s="16" t="s">
        <v>3314</v>
      </c>
      <c r="BSR1" s="16" t="s">
        <v>3315</v>
      </c>
      <c r="BSS1" s="16" t="s">
        <v>3316</v>
      </c>
      <c r="BST1" s="16" t="s">
        <v>3317</v>
      </c>
      <c r="BSU1" s="16" t="s">
        <v>3318</v>
      </c>
      <c r="BSV1" s="16" t="s">
        <v>3319</v>
      </c>
      <c r="BSW1" s="16" t="s">
        <v>3320</v>
      </c>
      <c r="BSX1" s="16" t="s">
        <v>3321</v>
      </c>
      <c r="BSY1" s="16" t="s">
        <v>3322</v>
      </c>
      <c r="BSZ1" s="16" t="s">
        <v>3323</v>
      </c>
      <c r="BTA1" s="16" t="s">
        <v>3324</v>
      </c>
      <c r="BTB1" s="16" t="s">
        <v>3325</v>
      </c>
      <c r="BTC1" s="16" t="s">
        <v>3326</v>
      </c>
      <c r="BTD1" s="16" t="s">
        <v>3327</v>
      </c>
      <c r="BTE1" s="16" t="s">
        <v>3328</v>
      </c>
      <c r="BTF1" s="16" t="s">
        <v>3329</v>
      </c>
      <c r="BTG1" s="16" t="s">
        <v>3330</v>
      </c>
      <c r="BTH1" s="16" t="s">
        <v>3331</v>
      </c>
      <c r="BTI1" s="16" t="s">
        <v>3332</v>
      </c>
      <c r="BTJ1" s="16" t="s">
        <v>3333</v>
      </c>
      <c r="BTK1" s="16" t="s">
        <v>3334</v>
      </c>
      <c r="BTL1" s="16" t="s">
        <v>3335</v>
      </c>
      <c r="BTM1" s="16" t="s">
        <v>3336</v>
      </c>
      <c r="BTN1" s="16" t="s">
        <v>3337</v>
      </c>
      <c r="BTO1" s="16" t="s">
        <v>3338</v>
      </c>
      <c r="BTP1" s="16" t="s">
        <v>3339</v>
      </c>
      <c r="BTQ1" s="16" t="s">
        <v>3340</v>
      </c>
      <c r="BTR1" s="16" t="s">
        <v>3341</v>
      </c>
      <c r="BTS1" s="16" t="s">
        <v>3342</v>
      </c>
      <c r="BTT1" s="16" t="s">
        <v>3343</v>
      </c>
      <c r="BTU1" s="16" t="s">
        <v>3344</v>
      </c>
      <c r="BTV1" s="16" t="s">
        <v>3345</v>
      </c>
      <c r="BTW1" s="16" t="s">
        <v>3346</v>
      </c>
      <c r="BTX1" s="16" t="s">
        <v>3347</v>
      </c>
      <c r="BTY1" s="16" t="s">
        <v>3348</v>
      </c>
      <c r="BTZ1" s="16" t="s">
        <v>3349</v>
      </c>
      <c r="BUA1" s="16" t="s">
        <v>3350</v>
      </c>
      <c r="BUB1" s="16" t="s">
        <v>3351</v>
      </c>
      <c r="BUC1" s="16" t="s">
        <v>3352</v>
      </c>
      <c r="BUD1" s="16" t="s">
        <v>3353</v>
      </c>
      <c r="BUE1" s="16" t="s">
        <v>3354</v>
      </c>
      <c r="BUF1" s="16" t="s">
        <v>3355</v>
      </c>
      <c r="BUG1" s="16" t="s">
        <v>3356</v>
      </c>
      <c r="BUH1" s="16" t="s">
        <v>3357</v>
      </c>
      <c r="BUI1" s="16" t="s">
        <v>3358</v>
      </c>
      <c r="BUJ1" s="16" t="s">
        <v>3359</v>
      </c>
      <c r="BUK1" s="16" t="s">
        <v>3360</v>
      </c>
      <c r="BUL1" s="16" t="s">
        <v>3361</v>
      </c>
      <c r="BUM1" s="16" t="s">
        <v>3362</v>
      </c>
      <c r="BUN1" s="16" t="s">
        <v>3363</v>
      </c>
      <c r="BUO1" s="16" t="s">
        <v>3364</v>
      </c>
      <c r="BUP1" s="16" t="s">
        <v>3365</v>
      </c>
      <c r="BUQ1" s="16" t="s">
        <v>3366</v>
      </c>
      <c r="BUR1" s="16" t="s">
        <v>3367</v>
      </c>
      <c r="BUS1" s="16" t="s">
        <v>3368</v>
      </c>
      <c r="BUT1" s="16" t="s">
        <v>3369</v>
      </c>
      <c r="BUU1" s="16" t="s">
        <v>3370</v>
      </c>
      <c r="BUV1" s="16" t="s">
        <v>3371</v>
      </c>
      <c r="BUW1" s="16" t="s">
        <v>3372</v>
      </c>
      <c r="BUX1" s="16" t="s">
        <v>3373</v>
      </c>
      <c r="BUY1" s="16" t="s">
        <v>3374</v>
      </c>
      <c r="BUZ1" s="16" t="s">
        <v>3375</v>
      </c>
      <c r="BVA1" s="16" t="s">
        <v>3376</v>
      </c>
      <c r="BVB1" s="16" t="s">
        <v>3377</v>
      </c>
      <c r="BVC1" s="16" t="s">
        <v>3378</v>
      </c>
      <c r="BVD1" s="16" t="s">
        <v>3379</v>
      </c>
      <c r="BVE1" s="16" t="s">
        <v>3380</v>
      </c>
      <c r="BVF1" s="16" t="s">
        <v>3381</v>
      </c>
      <c r="BVG1" s="16" t="s">
        <v>3382</v>
      </c>
      <c r="BVH1" s="16" t="s">
        <v>3383</v>
      </c>
      <c r="BVI1" s="16" t="s">
        <v>3384</v>
      </c>
      <c r="BVJ1" s="16" t="s">
        <v>3385</v>
      </c>
      <c r="BVK1" s="16" t="s">
        <v>3386</v>
      </c>
      <c r="BVL1" s="16" t="s">
        <v>3387</v>
      </c>
      <c r="BVM1" s="16" t="s">
        <v>3388</v>
      </c>
      <c r="BVN1" s="16" t="s">
        <v>3389</v>
      </c>
      <c r="BVO1" s="16" t="s">
        <v>3390</v>
      </c>
      <c r="BVP1" s="16" t="s">
        <v>3391</v>
      </c>
      <c r="BVQ1" s="16" t="s">
        <v>3392</v>
      </c>
      <c r="BVR1" s="16" t="s">
        <v>3393</v>
      </c>
      <c r="BVS1" s="16" t="s">
        <v>3394</v>
      </c>
      <c r="BVT1" s="16" t="s">
        <v>3395</v>
      </c>
      <c r="BVU1" s="16" t="s">
        <v>3396</v>
      </c>
      <c r="BVV1" s="16" t="s">
        <v>3397</v>
      </c>
      <c r="BVW1" s="16" t="s">
        <v>3398</v>
      </c>
      <c r="BVX1" s="16" t="s">
        <v>3399</v>
      </c>
      <c r="BVY1" s="16" t="s">
        <v>3400</v>
      </c>
      <c r="BVZ1" s="16" t="s">
        <v>3401</v>
      </c>
      <c r="BWA1" s="16" t="s">
        <v>3402</v>
      </c>
      <c r="BWB1" s="16" t="s">
        <v>3403</v>
      </c>
      <c r="BWC1" s="16" t="s">
        <v>3404</v>
      </c>
      <c r="BWD1" s="16" t="s">
        <v>3405</v>
      </c>
      <c r="BWE1" s="16" t="s">
        <v>3406</v>
      </c>
      <c r="BWF1" s="16" t="s">
        <v>3407</v>
      </c>
      <c r="BWG1" s="16" t="s">
        <v>3408</v>
      </c>
      <c r="BWH1" s="16" t="s">
        <v>3409</v>
      </c>
      <c r="BWI1" s="16" t="s">
        <v>3410</v>
      </c>
      <c r="BWJ1" s="16" t="s">
        <v>3411</v>
      </c>
      <c r="BWK1" s="16" t="s">
        <v>3412</v>
      </c>
      <c r="BWL1" s="16" t="s">
        <v>3413</v>
      </c>
      <c r="BWM1" s="16" t="s">
        <v>3414</v>
      </c>
      <c r="BWN1" s="16" t="s">
        <v>3415</v>
      </c>
      <c r="BWO1" s="16" t="s">
        <v>3416</v>
      </c>
      <c r="BWP1" s="16" t="s">
        <v>3417</v>
      </c>
      <c r="BWQ1" s="16" t="s">
        <v>3418</v>
      </c>
      <c r="BWR1" s="16" t="s">
        <v>3419</v>
      </c>
      <c r="BWS1" s="16" t="s">
        <v>3420</v>
      </c>
      <c r="BWT1" s="16" t="s">
        <v>3421</v>
      </c>
      <c r="BWU1" s="16" t="s">
        <v>3422</v>
      </c>
      <c r="BWV1" s="16" t="s">
        <v>3423</v>
      </c>
      <c r="BWW1" s="16" t="s">
        <v>3424</v>
      </c>
      <c r="BWX1" s="16" t="s">
        <v>3425</v>
      </c>
      <c r="BWY1" s="16" t="s">
        <v>3426</v>
      </c>
      <c r="BWZ1" s="16" t="s">
        <v>3427</v>
      </c>
      <c r="BXA1" s="16" t="s">
        <v>3428</v>
      </c>
      <c r="BXB1" s="16" t="s">
        <v>3429</v>
      </c>
      <c r="BXC1" s="16" t="s">
        <v>3430</v>
      </c>
      <c r="BXD1" s="16" t="s">
        <v>3431</v>
      </c>
      <c r="BXE1" s="16" t="s">
        <v>3432</v>
      </c>
      <c r="BXF1" s="16" t="s">
        <v>3433</v>
      </c>
      <c r="BXG1" s="16" t="s">
        <v>3434</v>
      </c>
      <c r="BXH1" s="16" t="s">
        <v>3435</v>
      </c>
      <c r="BXI1" s="16" t="s">
        <v>3436</v>
      </c>
      <c r="BXJ1" s="16" t="s">
        <v>3437</v>
      </c>
      <c r="BXK1" s="16" t="s">
        <v>3438</v>
      </c>
      <c r="BXL1" s="16" t="s">
        <v>3439</v>
      </c>
      <c r="BXM1" s="16" t="s">
        <v>3440</v>
      </c>
      <c r="BXN1" s="16" t="s">
        <v>3441</v>
      </c>
      <c r="BXO1" s="16" t="s">
        <v>3442</v>
      </c>
      <c r="BXP1" s="16" t="s">
        <v>3443</v>
      </c>
      <c r="BXQ1" s="16" t="s">
        <v>3444</v>
      </c>
      <c r="BXR1" s="16" t="s">
        <v>3445</v>
      </c>
      <c r="BXS1" s="16" t="s">
        <v>3446</v>
      </c>
      <c r="BXT1" s="16" t="s">
        <v>3447</v>
      </c>
      <c r="BXU1" s="16" t="s">
        <v>3448</v>
      </c>
      <c r="BXV1" s="16" t="s">
        <v>3449</v>
      </c>
      <c r="BXW1" s="16" t="s">
        <v>3450</v>
      </c>
      <c r="BXX1" s="16" t="s">
        <v>3451</v>
      </c>
      <c r="BXY1" s="16" t="s">
        <v>3452</v>
      </c>
      <c r="BXZ1" s="16" t="s">
        <v>3453</v>
      </c>
      <c r="BYA1" s="16" t="s">
        <v>3454</v>
      </c>
      <c r="BYB1" s="16" t="s">
        <v>3455</v>
      </c>
      <c r="BYC1" s="16" t="s">
        <v>3456</v>
      </c>
      <c r="BYD1" s="16" t="s">
        <v>3457</v>
      </c>
      <c r="BYE1" s="16" t="s">
        <v>3458</v>
      </c>
      <c r="BYF1" s="16" t="s">
        <v>3459</v>
      </c>
      <c r="BYG1" s="16" t="s">
        <v>3460</v>
      </c>
      <c r="BYH1" s="16" t="s">
        <v>3461</v>
      </c>
      <c r="BYI1" s="16" t="s">
        <v>3462</v>
      </c>
      <c r="BYJ1" s="16" t="s">
        <v>3463</v>
      </c>
      <c r="BYK1" s="16" t="s">
        <v>3464</v>
      </c>
      <c r="BYL1" s="16" t="s">
        <v>3465</v>
      </c>
      <c r="BYM1" s="16" t="s">
        <v>3466</v>
      </c>
      <c r="BYN1" s="16" t="s">
        <v>3467</v>
      </c>
      <c r="BYO1" s="16" t="s">
        <v>3468</v>
      </c>
      <c r="BYP1" s="16" t="s">
        <v>3469</v>
      </c>
      <c r="BYQ1" s="16" t="s">
        <v>3470</v>
      </c>
      <c r="BYR1" s="16" t="s">
        <v>3471</v>
      </c>
      <c r="BYS1" s="16" t="s">
        <v>3472</v>
      </c>
      <c r="BYT1" s="16" t="s">
        <v>3473</v>
      </c>
      <c r="BYU1" s="16" t="s">
        <v>3474</v>
      </c>
      <c r="BYV1" s="16" t="s">
        <v>3475</v>
      </c>
      <c r="BYW1" s="16" t="s">
        <v>3476</v>
      </c>
      <c r="BYX1" s="16" t="s">
        <v>3477</v>
      </c>
      <c r="BYY1" s="16" t="s">
        <v>3478</v>
      </c>
      <c r="BYZ1" s="16" t="s">
        <v>3479</v>
      </c>
      <c r="BZA1" s="16" t="s">
        <v>3480</v>
      </c>
      <c r="BZB1" s="16" t="s">
        <v>3481</v>
      </c>
      <c r="BZC1" s="16" t="s">
        <v>3482</v>
      </c>
      <c r="BZD1" s="16" t="s">
        <v>3483</v>
      </c>
      <c r="BZE1" s="16" t="s">
        <v>3484</v>
      </c>
      <c r="BZF1" s="16" t="s">
        <v>3485</v>
      </c>
      <c r="BZG1" s="16" t="s">
        <v>3486</v>
      </c>
      <c r="BZH1" s="16" t="s">
        <v>3487</v>
      </c>
      <c r="BZI1" s="16" t="s">
        <v>3488</v>
      </c>
      <c r="BZJ1" s="16" t="s">
        <v>3489</v>
      </c>
      <c r="BZK1" s="16" t="s">
        <v>3490</v>
      </c>
      <c r="BZL1" s="16" t="s">
        <v>3491</v>
      </c>
      <c r="BZM1" s="16" t="s">
        <v>3492</v>
      </c>
      <c r="BZN1" s="16" t="s">
        <v>3493</v>
      </c>
      <c r="BZO1" s="16" t="s">
        <v>3494</v>
      </c>
      <c r="BZP1" s="16" t="s">
        <v>3495</v>
      </c>
      <c r="BZQ1" s="16" t="s">
        <v>3496</v>
      </c>
      <c r="BZR1" s="16" t="s">
        <v>3497</v>
      </c>
      <c r="BZS1" s="16" t="s">
        <v>3498</v>
      </c>
      <c r="BZT1" s="16" t="s">
        <v>3499</v>
      </c>
      <c r="BZU1" s="16" t="s">
        <v>3500</v>
      </c>
      <c r="BZV1" s="16" t="s">
        <v>3501</v>
      </c>
      <c r="BZW1" s="16" t="s">
        <v>3502</v>
      </c>
      <c r="BZX1" s="16" t="s">
        <v>3503</v>
      </c>
      <c r="BZY1" s="16" t="s">
        <v>3504</v>
      </c>
      <c r="BZZ1" s="16" t="s">
        <v>3505</v>
      </c>
      <c r="CAA1" s="16" t="s">
        <v>3506</v>
      </c>
      <c r="CAB1" s="16" t="s">
        <v>3507</v>
      </c>
      <c r="CAC1" s="16" t="s">
        <v>3508</v>
      </c>
      <c r="CAD1" s="16" t="s">
        <v>3509</v>
      </c>
      <c r="CAE1" s="16" t="s">
        <v>3510</v>
      </c>
      <c r="CAF1" s="16" t="s">
        <v>3511</v>
      </c>
      <c r="CAG1" s="16" t="s">
        <v>3512</v>
      </c>
      <c r="CAH1" s="16" t="s">
        <v>3513</v>
      </c>
      <c r="CAI1" s="16" t="s">
        <v>3514</v>
      </c>
      <c r="CAJ1" s="16" t="s">
        <v>3515</v>
      </c>
      <c r="CAK1" s="16" t="s">
        <v>3516</v>
      </c>
      <c r="CAL1" s="16" t="s">
        <v>3517</v>
      </c>
      <c r="CAM1" s="16" t="s">
        <v>3518</v>
      </c>
      <c r="CAN1" s="16" t="s">
        <v>3519</v>
      </c>
      <c r="CAO1" s="16" t="s">
        <v>3520</v>
      </c>
      <c r="CAP1" s="16" t="s">
        <v>3521</v>
      </c>
      <c r="CAQ1" s="16" t="s">
        <v>3522</v>
      </c>
      <c r="CAR1" s="16" t="s">
        <v>3523</v>
      </c>
      <c r="CAS1" s="16" t="s">
        <v>3524</v>
      </c>
      <c r="CAT1" s="16" t="s">
        <v>3525</v>
      </c>
      <c r="CAU1" s="16" t="s">
        <v>3526</v>
      </c>
      <c r="CAV1" s="16" t="s">
        <v>3527</v>
      </c>
      <c r="CAW1" s="16" t="s">
        <v>3528</v>
      </c>
      <c r="CAX1" s="16" t="s">
        <v>3529</v>
      </c>
      <c r="CAY1" s="16" t="s">
        <v>3530</v>
      </c>
      <c r="CAZ1" s="16" t="s">
        <v>3531</v>
      </c>
      <c r="CBA1" s="16" t="s">
        <v>3532</v>
      </c>
      <c r="CBB1" s="16" t="s">
        <v>3533</v>
      </c>
      <c r="CBC1" s="16" t="s">
        <v>3534</v>
      </c>
      <c r="CBD1" s="16" t="s">
        <v>3535</v>
      </c>
      <c r="CBE1" s="16" t="s">
        <v>3536</v>
      </c>
      <c r="CBF1" s="16" t="s">
        <v>3537</v>
      </c>
      <c r="CBG1" s="16" t="s">
        <v>3538</v>
      </c>
      <c r="CBH1" s="16" t="s">
        <v>3539</v>
      </c>
      <c r="CBI1" s="16" t="s">
        <v>3540</v>
      </c>
      <c r="CBJ1" s="16" t="s">
        <v>3541</v>
      </c>
      <c r="CBK1" s="16" t="s">
        <v>3542</v>
      </c>
      <c r="CBL1" s="16" t="s">
        <v>3543</v>
      </c>
      <c r="CBM1" s="16" t="s">
        <v>3544</v>
      </c>
      <c r="CBN1" s="16" t="s">
        <v>3545</v>
      </c>
      <c r="CBO1" s="16" t="s">
        <v>3546</v>
      </c>
      <c r="CBP1" s="16" t="s">
        <v>3547</v>
      </c>
      <c r="CBQ1" s="16" t="s">
        <v>3548</v>
      </c>
      <c r="CBR1" s="16" t="s">
        <v>3549</v>
      </c>
      <c r="CBS1" s="16" t="s">
        <v>3550</v>
      </c>
      <c r="CBT1" s="16" t="s">
        <v>3551</v>
      </c>
      <c r="CBU1" s="16" t="s">
        <v>3552</v>
      </c>
      <c r="CBV1" s="16" t="s">
        <v>3553</v>
      </c>
      <c r="CBW1" s="16" t="s">
        <v>3554</v>
      </c>
      <c r="CBX1" s="16" t="s">
        <v>3555</v>
      </c>
      <c r="CBY1" s="16" t="s">
        <v>3556</v>
      </c>
      <c r="CBZ1" s="16" t="s">
        <v>3557</v>
      </c>
      <c r="CCA1" s="16" t="s">
        <v>3558</v>
      </c>
      <c r="CCB1" s="16" t="s">
        <v>3559</v>
      </c>
      <c r="CCC1" s="16" t="s">
        <v>3560</v>
      </c>
      <c r="CCD1" s="16" t="s">
        <v>3561</v>
      </c>
      <c r="CCE1" s="16" t="s">
        <v>3562</v>
      </c>
      <c r="CCF1" s="16" t="s">
        <v>3563</v>
      </c>
      <c r="CCG1" s="16" t="s">
        <v>3564</v>
      </c>
      <c r="CCH1" s="16" t="s">
        <v>3565</v>
      </c>
      <c r="CCI1" s="16" t="s">
        <v>3566</v>
      </c>
      <c r="CCJ1" s="16" t="s">
        <v>3567</v>
      </c>
      <c r="CCK1" s="16" t="s">
        <v>3568</v>
      </c>
      <c r="CCL1" s="16" t="s">
        <v>3569</v>
      </c>
      <c r="CCM1" s="16" t="s">
        <v>3570</v>
      </c>
      <c r="CCN1" s="16" t="s">
        <v>3571</v>
      </c>
      <c r="CCO1" s="16" t="s">
        <v>3572</v>
      </c>
      <c r="CCP1" s="16" t="s">
        <v>3573</v>
      </c>
      <c r="CCQ1" s="16" t="s">
        <v>3574</v>
      </c>
      <c r="CCR1" s="16" t="s">
        <v>3575</v>
      </c>
      <c r="CCS1" s="16" t="s">
        <v>3576</v>
      </c>
      <c r="CCT1" s="16" t="s">
        <v>3577</v>
      </c>
      <c r="CCU1" s="16" t="s">
        <v>3578</v>
      </c>
      <c r="CCV1" s="16" t="s">
        <v>3579</v>
      </c>
      <c r="CCW1" s="16" t="s">
        <v>3580</v>
      </c>
      <c r="CCX1" s="16" t="s">
        <v>3581</v>
      </c>
      <c r="CCY1" s="16" t="s">
        <v>3582</v>
      </c>
      <c r="CCZ1" s="16" t="s">
        <v>3583</v>
      </c>
      <c r="CDA1" s="16" t="s">
        <v>3584</v>
      </c>
      <c r="CDB1" s="16" t="s">
        <v>3585</v>
      </c>
      <c r="CDC1" s="16" t="s">
        <v>3586</v>
      </c>
      <c r="CDD1" s="16" t="s">
        <v>3587</v>
      </c>
      <c r="CDE1" s="16" t="s">
        <v>3588</v>
      </c>
      <c r="CDF1" s="16" t="s">
        <v>3589</v>
      </c>
      <c r="CDG1" s="16" t="s">
        <v>3590</v>
      </c>
      <c r="CDH1" s="16" t="s">
        <v>3591</v>
      </c>
      <c r="CDI1" s="16" t="s">
        <v>3592</v>
      </c>
      <c r="CDJ1" s="16" t="s">
        <v>3593</v>
      </c>
      <c r="CDK1" s="16" t="s">
        <v>3594</v>
      </c>
      <c r="CDL1" s="16" t="s">
        <v>3595</v>
      </c>
      <c r="CDM1" s="16" t="s">
        <v>3596</v>
      </c>
      <c r="CDN1" s="16" t="s">
        <v>3597</v>
      </c>
      <c r="CDO1" s="16" t="s">
        <v>3598</v>
      </c>
      <c r="CDP1" s="16" t="s">
        <v>3599</v>
      </c>
      <c r="CDQ1" s="16" t="s">
        <v>3600</v>
      </c>
      <c r="CDR1" s="16" t="s">
        <v>3601</v>
      </c>
      <c r="CDS1" s="16" t="s">
        <v>3602</v>
      </c>
      <c r="CDT1" s="16" t="s">
        <v>3603</v>
      </c>
      <c r="CDU1" s="16" t="s">
        <v>3604</v>
      </c>
      <c r="CDV1" s="16" t="s">
        <v>3605</v>
      </c>
      <c r="CDW1" s="16" t="s">
        <v>3606</v>
      </c>
      <c r="CDX1" s="16" t="s">
        <v>3607</v>
      </c>
      <c r="CDY1" s="16" t="s">
        <v>3608</v>
      </c>
      <c r="CDZ1" s="16" t="s">
        <v>3609</v>
      </c>
      <c r="CEA1" s="16" t="s">
        <v>3610</v>
      </c>
      <c r="CEB1" s="16" t="s">
        <v>3611</v>
      </c>
      <c r="CEC1" s="16" t="s">
        <v>3612</v>
      </c>
      <c r="CED1" s="16" t="s">
        <v>3613</v>
      </c>
      <c r="CEE1" s="16" t="s">
        <v>3614</v>
      </c>
      <c r="CEF1" s="16" t="s">
        <v>3615</v>
      </c>
      <c r="CEG1" s="16" t="s">
        <v>3616</v>
      </c>
      <c r="CEH1" s="16" t="s">
        <v>3617</v>
      </c>
      <c r="CEI1" s="16" t="s">
        <v>3618</v>
      </c>
      <c r="CEJ1" s="16" t="s">
        <v>3619</v>
      </c>
      <c r="CEK1" s="16" t="s">
        <v>3620</v>
      </c>
      <c r="CEL1" s="16" t="s">
        <v>3621</v>
      </c>
      <c r="CEM1" s="16" t="s">
        <v>3622</v>
      </c>
      <c r="CEN1" s="16" t="s">
        <v>3623</v>
      </c>
      <c r="CEO1" s="16" t="s">
        <v>3624</v>
      </c>
      <c r="CEP1" s="16" t="s">
        <v>3625</v>
      </c>
      <c r="CEQ1" s="16" t="s">
        <v>3626</v>
      </c>
      <c r="CER1" s="16" t="s">
        <v>3627</v>
      </c>
      <c r="CES1" s="16" t="s">
        <v>3628</v>
      </c>
      <c r="CET1" s="16" t="s">
        <v>3629</v>
      </c>
      <c r="CEU1" s="16" t="s">
        <v>3630</v>
      </c>
      <c r="CEV1" s="16" t="s">
        <v>3631</v>
      </c>
      <c r="CEW1" s="16" t="s">
        <v>3632</v>
      </c>
      <c r="CEX1" s="16" t="s">
        <v>3633</v>
      </c>
      <c r="CEY1" s="16" t="s">
        <v>3634</v>
      </c>
      <c r="CEZ1" s="16" t="s">
        <v>3635</v>
      </c>
      <c r="CFA1" s="16" t="s">
        <v>3636</v>
      </c>
      <c r="CFB1" s="16" t="s">
        <v>3637</v>
      </c>
      <c r="CFC1" s="16" t="s">
        <v>3638</v>
      </c>
      <c r="CFD1" s="16" t="s">
        <v>3639</v>
      </c>
      <c r="CFE1" s="16" t="s">
        <v>3640</v>
      </c>
      <c r="CFF1" s="16" t="s">
        <v>3641</v>
      </c>
      <c r="CFG1" s="16" t="s">
        <v>3642</v>
      </c>
      <c r="CFH1" s="16" t="s">
        <v>3643</v>
      </c>
      <c r="CFI1" s="16" t="s">
        <v>3644</v>
      </c>
      <c r="CFJ1" s="16" t="s">
        <v>3645</v>
      </c>
      <c r="CFK1" s="16" t="s">
        <v>3646</v>
      </c>
      <c r="CFL1" s="16" t="s">
        <v>3647</v>
      </c>
      <c r="CFM1" s="16" t="s">
        <v>3648</v>
      </c>
      <c r="CFN1" s="16" t="s">
        <v>3649</v>
      </c>
      <c r="CFO1" s="16" t="s">
        <v>3650</v>
      </c>
      <c r="CFP1" s="16" t="s">
        <v>3651</v>
      </c>
      <c r="CFQ1" s="16" t="s">
        <v>3652</v>
      </c>
      <c r="CFR1" s="16" t="s">
        <v>3653</v>
      </c>
      <c r="CFS1" s="16" t="s">
        <v>3654</v>
      </c>
      <c r="CFT1" s="16" t="s">
        <v>3655</v>
      </c>
      <c r="CFU1" s="16" t="s">
        <v>3656</v>
      </c>
      <c r="CFV1" s="16" t="s">
        <v>3657</v>
      </c>
      <c r="CFW1" s="16" t="s">
        <v>3658</v>
      </c>
      <c r="CFX1" s="16" t="s">
        <v>3659</v>
      </c>
      <c r="CFY1" s="16" t="s">
        <v>3660</v>
      </c>
      <c r="CFZ1" s="16" t="s">
        <v>3661</v>
      </c>
      <c r="CGA1" s="16" t="s">
        <v>3662</v>
      </c>
      <c r="CGB1" s="16" t="s">
        <v>3663</v>
      </c>
      <c r="CGC1" s="16" t="s">
        <v>3664</v>
      </c>
      <c r="CGD1" s="16" t="s">
        <v>3665</v>
      </c>
      <c r="CGE1" s="16" t="s">
        <v>3666</v>
      </c>
      <c r="CGF1" s="16" t="s">
        <v>3667</v>
      </c>
      <c r="CGG1" s="16" t="s">
        <v>3668</v>
      </c>
      <c r="CGH1" s="16" t="s">
        <v>3669</v>
      </c>
      <c r="CGI1" s="16" t="s">
        <v>3670</v>
      </c>
      <c r="CGJ1" s="16" t="s">
        <v>3671</v>
      </c>
      <c r="CGK1" s="16" t="s">
        <v>3672</v>
      </c>
      <c r="CGL1" s="16" t="s">
        <v>3673</v>
      </c>
      <c r="CGM1" s="16" t="s">
        <v>3674</v>
      </c>
      <c r="CGN1" s="16" t="s">
        <v>3675</v>
      </c>
      <c r="CGO1" s="16" t="s">
        <v>3676</v>
      </c>
      <c r="CGP1" s="16" t="s">
        <v>3677</v>
      </c>
      <c r="CGQ1" s="16" t="s">
        <v>3678</v>
      </c>
      <c r="CGR1" s="16" t="s">
        <v>3679</v>
      </c>
      <c r="CGS1" s="16" t="s">
        <v>3680</v>
      </c>
      <c r="CGT1" s="16" t="s">
        <v>3681</v>
      </c>
      <c r="CGU1" s="16" t="s">
        <v>3682</v>
      </c>
      <c r="CGV1" s="16" t="s">
        <v>3683</v>
      </c>
      <c r="CGW1" s="16" t="s">
        <v>3684</v>
      </c>
      <c r="CGX1" s="16" t="s">
        <v>3685</v>
      </c>
      <c r="CGY1" s="16" t="s">
        <v>3686</v>
      </c>
      <c r="CGZ1" s="16" t="s">
        <v>3687</v>
      </c>
      <c r="CHA1" s="16" t="s">
        <v>3688</v>
      </c>
      <c r="CHB1" s="16" t="s">
        <v>3689</v>
      </c>
      <c r="CHC1" s="16" t="s">
        <v>3690</v>
      </c>
      <c r="CHD1" s="16" t="s">
        <v>3691</v>
      </c>
      <c r="CHE1" s="16" t="s">
        <v>3692</v>
      </c>
      <c r="CHF1" s="16" t="s">
        <v>3693</v>
      </c>
      <c r="CHG1" s="16" t="s">
        <v>3694</v>
      </c>
      <c r="CHH1" s="16" t="s">
        <v>3695</v>
      </c>
      <c r="CHI1" s="16" t="s">
        <v>3696</v>
      </c>
      <c r="CHJ1" s="16" t="s">
        <v>3697</v>
      </c>
      <c r="CHK1" s="16" t="s">
        <v>3698</v>
      </c>
      <c r="CHL1" s="16" t="s">
        <v>3699</v>
      </c>
      <c r="CHM1" s="16" t="s">
        <v>3700</v>
      </c>
      <c r="CHN1" s="16" t="s">
        <v>3701</v>
      </c>
      <c r="CHO1" s="16" t="s">
        <v>3702</v>
      </c>
      <c r="CHP1" s="16" t="s">
        <v>3703</v>
      </c>
      <c r="CHQ1" s="16" t="s">
        <v>3704</v>
      </c>
      <c r="CHR1" s="16" t="s">
        <v>3705</v>
      </c>
      <c r="CHS1" s="16" t="s">
        <v>3706</v>
      </c>
      <c r="CHT1" s="16" t="s">
        <v>3707</v>
      </c>
      <c r="CHU1" s="16" t="s">
        <v>3708</v>
      </c>
      <c r="CHV1" s="16" t="s">
        <v>3709</v>
      </c>
      <c r="CHW1" s="16" t="s">
        <v>3710</v>
      </c>
      <c r="CHX1" s="16" t="s">
        <v>3711</v>
      </c>
      <c r="CHY1" s="16" t="s">
        <v>3712</v>
      </c>
      <c r="CHZ1" s="16" t="s">
        <v>3713</v>
      </c>
      <c r="CIA1" s="16" t="s">
        <v>3714</v>
      </c>
      <c r="CIB1" s="16" t="s">
        <v>3715</v>
      </c>
      <c r="CIC1" s="16" t="s">
        <v>3716</v>
      </c>
      <c r="CID1" s="16" t="s">
        <v>3717</v>
      </c>
      <c r="CIE1" s="16" t="s">
        <v>3718</v>
      </c>
      <c r="CIF1" s="16" t="s">
        <v>3719</v>
      </c>
      <c r="CIG1" s="16" t="s">
        <v>3720</v>
      </c>
      <c r="CIH1" s="16" t="s">
        <v>3721</v>
      </c>
      <c r="CII1" s="16" t="s">
        <v>3722</v>
      </c>
      <c r="CIJ1" s="16" t="s">
        <v>3723</v>
      </c>
      <c r="CIK1" s="16" t="s">
        <v>3724</v>
      </c>
      <c r="CIL1" s="16" t="s">
        <v>3725</v>
      </c>
      <c r="CIM1" s="16" t="s">
        <v>3726</v>
      </c>
      <c r="CIN1" s="16" t="s">
        <v>3727</v>
      </c>
      <c r="CIO1" s="16" t="s">
        <v>3728</v>
      </c>
      <c r="CIP1" s="16" t="s">
        <v>3729</v>
      </c>
      <c r="CIQ1" s="16" t="s">
        <v>3730</v>
      </c>
      <c r="CIR1" s="16" t="s">
        <v>3731</v>
      </c>
      <c r="CIS1" s="16" t="s">
        <v>3732</v>
      </c>
      <c r="CIT1" s="16" t="s">
        <v>3733</v>
      </c>
      <c r="CIU1" s="16" t="s">
        <v>3734</v>
      </c>
      <c r="CIV1" s="16" t="s">
        <v>3735</v>
      </c>
      <c r="CIW1" s="16" t="s">
        <v>3736</v>
      </c>
      <c r="CIX1" s="16" t="s">
        <v>3737</v>
      </c>
      <c r="CIY1" s="16" t="s">
        <v>3738</v>
      </c>
      <c r="CIZ1" s="16" t="s">
        <v>3739</v>
      </c>
      <c r="CJA1" s="16" t="s">
        <v>3740</v>
      </c>
      <c r="CJB1" s="16" t="s">
        <v>3741</v>
      </c>
      <c r="CJC1" s="16" t="s">
        <v>3742</v>
      </c>
      <c r="CJD1" s="16" t="s">
        <v>3743</v>
      </c>
      <c r="CJE1" s="16" t="s">
        <v>3744</v>
      </c>
      <c r="CJF1" s="16" t="s">
        <v>3745</v>
      </c>
      <c r="CJG1" s="16" t="s">
        <v>3746</v>
      </c>
      <c r="CJH1" s="16" t="s">
        <v>3747</v>
      </c>
      <c r="CJI1" s="16" t="s">
        <v>3748</v>
      </c>
      <c r="CJJ1" s="16" t="s">
        <v>3749</v>
      </c>
      <c r="CJK1" s="16" t="s">
        <v>3750</v>
      </c>
      <c r="CJL1" s="16" t="s">
        <v>3751</v>
      </c>
      <c r="CJM1" s="16" t="s">
        <v>3752</v>
      </c>
      <c r="CJN1" s="16" t="s">
        <v>3753</v>
      </c>
      <c r="CJO1" s="16" t="s">
        <v>3754</v>
      </c>
      <c r="CJP1" s="16" t="s">
        <v>3755</v>
      </c>
      <c r="CJQ1" s="16" t="s">
        <v>3756</v>
      </c>
      <c r="CJR1" s="16" t="s">
        <v>3757</v>
      </c>
      <c r="CJS1" s="16" t="s">
        <v>3758</v>
      </c>
      <c r="CJT1" s="16" t="s">
        <v>3759</v>
      </c>
      <c r="CJU1" s="16" t="s">
        <v>3760</v>
      </c>
      <c r="CJV1" s="16" t="s">
        <v>3761</v>
      </c>
      <c r="CJW1" s="16" t="s">
        <v>3762</v>
      </c>
      <c r="CJX1" s="16" t="s">
        <v>3763</v>
      </c>
      <c r="CJY1" s="16" t="s">
        <v>3764</v>
      </c>
      <c r="CJZ1" s="16" t="s">
        <v>3765</v>
      </c>
      <c r="CKA1" s="16" t="s">
        <v>3766</v>
      </c>
      <c r="CKB1" s="16" t="s">
        <v>3767</v>
      </c>
      <c r="CKC1" s="16" t="s">
        <v>3768</v>
      </c>
      <c r="CKD1" s="16" t="s">
        <v>3769</v>
      </c>
      <c r="CKE1" s="16" t="s">
        <v>3770</v>
      </c>
      <c r="CKF1" s="16" t="s">
        <v>3771</v>
      </c>
      <c r="CKG1" s="16" t="s">
        <v>3772</v>
      </c>
      <c r="CKH1" s="16" t="s">
        <v>3773</v>
      </c>
      <c r="CKI1" s="16" t="s">
        <v>3774</v>
      </c>
      <c r="CKJ1" s="16" t="s">
        <v>3775</v>
      </c>
      <c r="CKK1" s="16" t="s">
        <v>3776</v>
      </c>
      <c r="CKL1" s="16" t="s">
        <v>3777</v>
      </c>
      <c r="CKM1" s="16" t="s">
        <v>3778</v>
      </c>
      <c r="CKN1" s="16" t="s">
        <v>3779</v>
      </c>
      <c r="CKO1" s="16" t="s">
        <v>3780</v>
      </c>
      <c r="CKP1" s="16" t="s">
        <v>3781</v>
      </c>
      <c r="CKQ1" s="16" t="s">
        <v>3782</v>
      </c>
      <c r="CKR1" s="16" t="s">
        <v>3783</v>
      </c>
      <c r="CKS1" s="16" t="s">
        <v>3784</v>
      </c>
      <c r="CKT1" s="16" t="s">
        <v>3785</v>
      </c>
      <c r="CKU1" s="16" t="s">
        <v>3786</v>
      </c>
      <c r="CKV1" s="16" t="s">
        <v>3787</v>
      </c>
      <c r="CKW1" s="16" t="s">
        <v>3788</v>
      </c>
      <c r="CKX1" s="16" t="s">
        <v>3789</v>
      </c>
      <c r="CKY1" s="16" t="s">
        <v>3790</v>
      </c>
      <c r="CKZ1" s="16" t="s">
        <v>3791</v>
      </c>
      <c r="CLA1" s="16" t="s">
        <v>3792</v>
      </c>
      <c r="CLB1" s="16" t="s">
        <v>3793</v>
      </c>
      <c r="CLC1" s="16" t="s">
        <v>3794</v>
      </c>
      <c r="CLD1" s="16" t="s">
        <v>3795</v>
      </c>
      <c r="CLE1" s="16" t="s">
        <v>3796</v>
      </c>
      <c r="CLF1" s="16" t="s">
        <v>3797</v>
      </c>
      <c r="CLG1" s="16" t="s">
        <v>3798</v>
      </c>
      <c r="CLH1" s="16" t="s">
        <v>3799</v>
      </c>
      <c r="CLI1" s="16" t="s">
        <v>3800</v>
      </c>
      <c r="CLJ1" s="16" t="s">
        <v>3801</v>
      </c>
      <c r="CLK1" s="16" t="s">
        <v>3802</v>
      </c>
      <c r="CLL1" s="16" t="s">
        <v>3803</v>
      </c>
      <c r="CLM1" s="16" t="s">
        <v>3804</v>
      </c>
      <c r="CLN1" s="16" t="s">
        <v>3805</v>
      </c>
      <c r="CLO1" s="16" t="s">
        <v>3806</v>
      </c>
      <c r="CLP1" s="16" t="s">
        <v>3807</v>
      </c>
      <c r="CLQ1" s="16" t="s">
        <v>3808</v>
      </c>
      <c r="CLR1" s="16" t="s">
        <v>3809</v>
      </c>
      <c r="CLS1" s="16" t="s">
        <v>3810</v>
      </c>
      <c r="CLT1" s="16" t="s">
        <v>3811</v>
      </c>
      <c r="CLU1" s="16" t="s">
        <v>3812</v>
      </c>
      <c r="CLV1" s="16" t="s">
        <v>3813</v>
      </c>
      <c r="CLW1" s="16" t="s">
        <v>3814</v>
      </c>
      <c r="CLX1" s="16" t="s">
        <v>3815</v>
      </c>
      <c r="CLY1" s="16" t="s">
        <v>3816</v>
      </c>
      <c r="CLZ1" s="16" t="s">
        <v>3817</v>
      </c>
      <c r="CMA1" s="16" t="s">
        <v>3818</v>
      </c>
      <c r="CMB1" s="16" t="s">
        <v>3819</v>
      </c>
      <c r="CMC1" s="16" t="s">
        <v>3820</v>
      </c>
      <c r="CMD1" s="16" t="s">
        <v>3821</v>
      </c>
      <c r="CME1" s="16" t="s">
        <v>3822</v>
      </c>
      <c r="CMF1" s="16" t="s">
        <v>3823</v>
      </c>
      <c r="CMG1" s="16" t="s">
        <v>3824</v>
      </c>
      <c r="CMH1" s="16" t="s">
        <v>3825</v>
      </c>
      <c r="CMI1" s="16" t="s">
        <v>3826</v>
      </c>
      <c r="CMJ1" s="16" t="s">
        <v>3827</v>
      </c>
      <c r="CMK1" s="16" t="s">
        <v>3828</v>
      </c>
      <c r="CML1" s="16" t="s">
        <v>3829</v>
      </c>
      <c r="CMM1" s="16" t="s">
        <v>3830</v>
      </c>
      <c r="CMN1" s="16" t="s">
        <v>3831</v>
      </c>
      <c r="CMO1" s="16" t="s">
        <v>3832</v>
      </c>
      <c r="CMP1" s="16" t="s">
        <v>3833</v>
      </c>
      <c r="CMQ1" s="16" t="s">
        <v>3834</v>
      </c>
      <c r="CMR1" s="16" t="s">
        <v>3835</v>
      </c>
      <c r="CMS1" s="16" t="s">
        <v>3836</v>
      </c>
      <c r="CMT1" s="16" t="s">
        <v>3837</v>
      </c>
      <c r="CMU1" s="16" t="s">
        <v>3838</v>
      </c>
      <c r="CMV1" s="16" t="s">
        <v>3839</v>
      </c>
      <c r="CMW1" s="16" t="s">
        <v>3840</v>
      </c>
      <c r="CMX1" s="16" t="s">
        <v>3841</v>
      </c>
      <c r="CMY1" s="16" t="s">
        <v>3842</v>
      </c>
      <c r="CMZ1" s="16" t="s">
        <v>3843</v>
      </c>
      <c r="CNA1" s="16" t="s">
        <v>3844</v>
      </c>
      <c r="CNB1" s="16" t="s">
        <v>3845</v>
      </c>
      <c r="CNC1" s="16" t="s">
        <v>3846</v>
      </c>
      <c r="CND1" s="16" t="s">
        <v>3847</v>
      </c>
      <c r="CNE1" s="16" t="s">
        <v>3848</v>
      </c>
      <c r="CNF1" s="16" t="s">
        <v>3849</v>
      </c>
      <c r="CNG1" s="16" t="s">
        <v>3850</v>
      </c>
      <c r="CNH1" s="16" t="s">
        <v>3851</v>
      </c>
      <c r="CNI1" s="16" t="s">
        <v>3852</v>
      </c>
      <c r="CNJ1" s="16" t="s">
        <v>3853</v>
      </c>
      <c r="CNK1" s="16" t="s">
        <v>3854</v>
      </c>
      <c r="CNL1" s="16" t="s">
        <v>3855</v>
      </c>
      <c r="CNM1" s="16" t="s">
        <v>3856</v>
      </c>
      <c r="CNN1" s="16" t="s">
        <v>3857</v>
      </c>
      <c r="CNO1" s="16" t="s">
        <v>3858</v>
      </c>
      <c r="CNP1" s="16" t="s">
        <v>3859</v>
      </c>
      <c r="CNQ1" s="16" t="s">
        <v>3860</v>
      </c>
      <c r="CNR1" s="16" t="s">
        <v>3861</v>
      </c>
      <c r="CNS1" s="16" t="s">
        <v>3862</v>
      </c>
      <c r="CNT1" s="16" t="s">
        <v>3863</v>
      </c>
      <c r="CNU1" s="16" t="s">
        <v>3864</v>
      </c>
      <c r="CNV1" s="16" t="s">
        <v>3865</v>
      </c>
      <c r="CNW1" s="16" t="s">
        <v>3866</v>
      </c>
      <c r="CNX1" s="16" t="s">
        <v>3867</v>
      </c>
      <c r="CNY1" s="16" t="s">
        <v>3868</v>
      </c>
      <c r="CNZ1" s="16" t="s">
        <v>3869</v>
      </c>
      <c r="COA1" s="16" t="s">
        <v>3870</v>
      </c>
      <c r="COB1" s="16" t="s">
        <v>3871</v>
      </c>
      <c r="COC1" s="16" t="s">
        <v>3872</v>
      </c>
      <c r="COD1" s="16" t="s">
        <v>3873</v>
      </c>
      <c r="COE1" s="16" t="s">
        <v>3874</v>
      </c>
      <c r="COF1" s="16" t="s">
        <v>3875</v>
      </c>
      <c r="COG1" s="16" t="s">
        <v>3876</v>
      </c>
      <c r="COH1" s="16" t="s">
        <v>3877</v>
      </c>
      <c r="COI1" s="16" t="s">
        <v>3878</v>
      </c>
      <c r="COJ1" s="16" t="s">
        <v>3879</v>
      </c>
      <c r="COK1" s="16" t="s">
        <v>3880</v>
      </c>
      <c r="COL1" s="16" t="s">
        <v>3881</v>
      </c>
      <c r="COM1" s="16" t="s">
        <v>3882</v>
      </c>
      <c r="CON1" s="16" t="s">
        <v>3883</v>
      </c>
      <c r="COO1" s="16" t="s">
        <v>3884</v>
      </c>
      <c r="COP1" s="16" t="s">
        <v>3885</v>
      </c>
      <c r="COQ1" s="16" t="s">
        <v>3886</v>
      </c>
      <c r="COR1" s="16" t="s">
        <v>3887</v>
      </c>
      <c r="COS1" s="16" t="s">
        <v>3888</v>
      </c>
      <c r="COT1" s="16" t="s">
        <v>3889</v>
      </c>
      <c r="COU1" s="16" t="s">
        <v>3890</v>
      </c>
      <c r="COV1" s="16" t="s">
        <v>3891</v>
      </c>
      <c r="COW1" s="16" t="s">
        <v>3892</v>
      </c>
      <c r="COX1" s="16" t="s">
        <v>3893</v>
      </c>
      <c r="COY1" s="16" t="s">
        <v>3894</v>
      </c>
      <c r="COZ1" s="16" t="s">
        <v>3895</v>
      </c>
      <c r="CPA1" s="16" t="s">
        <v>3896</v>
      </c>
      <c r="CPB1" s="16" t="s">
        <v>3897</v>
      </c>
      <c r="CPC1" s="16" t="s">
        <v>3898</v>
      </c>
      <c r="CPD1" s="16" t="s">
        <v>3899</v>
      </c>
      <c r="CPE1" s="16" t="s">
        <v>3900</v>
      </c>
      <c r="CPF1" s="16" t="s">
        <v>3901</v>
      </c>
      <c r="CPG1" s="16" t="s">
        <v>3902</v>
      </c>
      <c r="CPH1" s="16" t="s">
        <v>3903</v>
      </c>
      <c r="CPI1" s="16" t="s">
        <v>3904</v>
      </c>
      <c r="CPJ1" s="16" t="s">
        <v>3905</v>
      </c>
      <c r="CPK1" s="16" t="s">
        <v>3906</v>
      </c>
      <c r="CPL1" s="16" t="s">
        <v>3907</v>
      </c>
      <c r="CPM1" s="16" t="s">
        <v>3908</v>
      </c>
      <c r="CPN1" s="16" t="s">
        <v>3909</v>
      </c>
      <c r="CPO1" s="16" t="s">
        <v>3910</v>
      </c>
      <c r="CPP1" s="16" t="s">
        <v>3911</v>
      </c>
      <c r="CPQ1" s="16" t="s">
        <v>3912</v>
      </c>
      <c r="CPR1" s="16" t="s">
        <v>3913</v>
      </c>
      <c r="CPS1" s="16" t="s">
        <v>3914</v>
      </c>
      <c r="CPT1" s="16" t="s">
        <v>3915</v>
      </c>
      <c r="CPU1" s="16" t="s">
        <v>3916</v>
      </c>
      <c r="CPV1" s="16" t="s">
        <v>3917</v>
      </c>
      <c r="CPW1" s="16" t="s">
        <v>3918</v>
      </c>
      <c r="CPX1" s="16" t="s">
        <v>3919</v>
      </c>
      <c r="CPY1" s="16" t="s">
        <v>3920</v>
      </c>
      <c r="CPZ1" s="16" t="s">
        <v>3921</v>
      </c>
      <c r="CQA1" s="16" t="s">
        <v>3922</v>
      </c>
      <c r="CQB1" s="16" t="s">
        <v>3923</v>
      </c>
      <c r="CQC1" s="16" t="s">
        <v>3924</v>
      </c>
      <c r="CQD1" s="16" t="s">
        <v>3925</v>
      </c>
      <c r="CQE1" s="16" t="s">
        <v>3926</v>
      </c>
      <c r="CQF1" s="16" t="s">
        <v>3927</v>
      </c>
      <c r="CQG1" s="16" t="s">
        <v>3928</v>
      </c>
      <c r="CQH1" s="16" t="s">
        <v>3929</v>
      </c>
      <c r="CQI1" s="16" t="s">
        <v>3930</v>
      </c>
      <c r="CQJ1" s="16" t="s">
        <v>3931</v>
      </c>
      <c r="CQK1" s="16" t="s">
        <v>3932</v>
      </c>
      <c r="CQL1" s="16" t="s">
        <v>3933</v>
      </c>
      <c r="CQM1" s="16" t="s">
        <v>3934</v>
      </c>
      <c r="CQN1" s="16" t="s">
        <v>3935</v>
      </c>
      <c r="CQO1" s="16" t="s">
        <v>3936</v>
      </c>
      <c r="CQP1" s="16" t="s">
        <v>3937</v>
      </c>
      <c r="CQQ1" s="16" t="s">
        <v>3938</v>
      </c>
      <c r="CQR1" s="16" t="s">
        <v>3939</v>
      </c>
      <c r="CQS1" s="16" t="s">
        <v>3940</v>
      </c>
      <c r="CQT1" s="16" t="s">
        <v>3941</v>
      </c>
      <c r="CQU1" s="16" t="s">
        <v>3942</v>
      </c>
      <c r="CQV1" s="16" t="s">
        <v>3943</v>
      </c>
      <c r="CQW1" s="16" t="s">
        <v>3944</v>
      </c>
      <c r="CQX1" s="16" t="s">
        <v>3945</v>
      </c>
      <c r="CQY1" s="16" t="s">
        <v>3946</v>
      </c>
      <c r="CQZ1" s="16" t="s">
        <v>3947</v>
      </c>
      <c r="CRA1" s="16" t="s">
        <v>3948</v>
      </c>
      <c r="CRB1" s="16" t="s">
        <v>3949</v>
      </c>
      <c r="CRC1" s="16" t="s">
        <v>3950</v>
      </c>
      <c r="CRD1" s="16" t="s">
        <v>3951</v>
      </c>
      <c r="CRE1" s="16" t="s">
        <v>3952</v>
      </c>
      <c r="CRF1" s="16" t="s">
        <v>3953</v>
      </c>
      <c r="CRG1" s="16" t="s">
        <v>3954</v>
      </c>
      <c r="CRH1" s="16" t="s">
        <v>3955</v>
      </c>
      <c r="CRI1" s="16" t="s">
        <v>3956</v>
      </c>
      <c r="CRJ1" s="16" t="s">
        <v>3957</v>
      </c>
      <c r="CRK1" s="16" t="s">
        <v>3958</v>
      </c>
      <c r="CRL1" s="16" t="s">
        <v>3959</v>
      </c>
      <c r="CRM1" s="16" t="s">
        <v>3960</v>
      </c>
      <c r="CRN1" s="16" t="s">
        <v>3961</v>
      </c>
      <c r="CRO1" s="16" t="s">
        <v>3962</v>
      </c>
      <c r="CRP1" s="16" t="s">
        <v>3963</v>
      </c>
      <c r="CRQ1" s="16" t="s">
        <v>3964</v>
      </c>
      <c r="CRR1" s="16" t="s">
        <v>3965</v>
      </c>
      <c r="CRS1" s="16" t="s">
        <v>3966</v>
      </c>
      <c r="CRT1" s="16" t="s">
        <v>3967</v>
      </c>
      <c r="CRU1" s="16" t="s">
        <v>3968</v>
      </c>
      <c r="CRV1" s="16" t="s">
        <v>3969</v>
      </c>
      <c r="CRW1" s="16" t="s">
        <v>3970</v>
      </c>
      <c r="CRX1" s="16" t="s">
        <v>3971</v>
      </c>
      <c r="CRY1" s="16" t="s">
        <v>3972</v>
      </c>
      <c r="CRZ1" s="16" t="s">
        <v>3973</v>
      </c>
      <c r="CSA1" s="16" t="s">
        <v>3974</v>
      </c>
      <c r="CSB1" s="16" t="s">
        <v>3975</v>
      </c>
      <c r="CSC1" s="16" t="s">
        <v>3976</v>
      </c>
      <c r="CSD1" s="16" t="s">
        <v>3977</v>
      </c>
      <c r="CSE1" s="16" t="s">
        <v>3978</v>
      </c>
      <c r="CSF1" s="16" t="s">
        <v>3979</v>
      </c>
      <c r="CSG1" s="16" t="s">
        <v>3980</v>
      </c>
      <c r="CSH1" s="16" t="s">
        <v>3981</v>
      </c>
      <c r="CSI1" s="16" t="s">
        <v>3982</v>
      </c>
      <c r="CSJ1" s="16" t="s">
        <v>3983</v>
      </c>
      <c r="CSK1" s="16" t="s">
        <v>3984</v>
      </c>
      <c r="CSL1" s="16" t="s">
        <v>3985</v>
      </c>
      <c r="CSM1" s="16" t="s">
        <v>3986</v>
      </c>
      <c r="CSN1" s="16" t="s">
        <v>3987</v>
      </c>
      <c r="CSO1" s="16" t="s">
        <v>3988</v>
      </c>
      <c r="CSP1" s="16" t="s">
        <v>3989</v>
      </c>
      <c r="CSQ1" s="16" t="s">
        <v>3990</v>
      </c>
      <c r="CSR1" s="16" t="s">
        <v>3991</v>
      </c>
      <c r="CSS1" s="16" t="s">
        <v>3992</v>
      </c>
      <c r="CST1" s="16" t="s">
        <v>3993</v>
      </c>
      <c r="CSU1" s="16" t="s">
        <v>3994</v>
      </c>
      <c r="CSV1" s="16" t="s">
        <v>3995</v>
      </c>
      <c r="CSW1" s="16" t="s">
        <v>3996</v>
      </c>
      <c r="CSX1" s="16" t="s">
        <v>3997</v>
      </c>
      <c r="CSY1" s="16" t="s">
        <v>3998</v>
      </c>
      <c r="CSZ1" s="16" t="s">
        <v>3999</v>
      </c>
      <c r="CTA1" s="16" t="s">
        <v>4000</v>
      </c>
      <c r="CTB1" s="16" t="s">
        <v>4001</v>
      </c>
      <c r="CTC1" s="16" t="s">
        <v>4002</v>
      </c>
      <c r="CTD1" s="16" t="s">
        <v>4003</v>
      </c>
      <c r="CTE1" s="16" t="s">
        <v>4004</v>
      </c>
      <c r="CTF1" s="16" t="s">
        <v>4005</v>
      </c>
      <c r="CTG1" s="16" t="s">
        <v>4006</v>
      </c>
      <c r="CTH1" s="16" t="s">
        <v>4007</v>
      </c>
      <c r="CTI1" s="16" t="s">
        <v>4008</v>
      </c>
      <c r="CTJ1" s="16" t="s">
        <v>4009</v>
      </c>
      <c r="CTK1" s="16" t="s">
        <v>4010</v>
      </c>
      <c r="CTL1" s="16" t="s">
        <v>4011</v>
      </c>
      <c r="CTM1" s="16" t="s">
        <v>4012</v>
      </c>
      <c r="CTN1" s="16" t="s">
        <v>4013</v>
      </c>
      <c r="CTO1" s="16" t="s">
        <v>4014</v>
      </c>
      <c r="CTP1" s="16" t="s">
        <v>4015</v>
      </c>
      <c r="CTQ1" s="16" t="s">
        <v>4016</v>
      </c>
      <c r="CTR1" s="16" t="s">
        <v>4017</v>
      </c>
      <c r="CTS1" s="16" t="s">
        <v>4018</v>
      </c>
      <c r="CTT1" s="16" t="s">
        <v>4019</v>
      </c>
      <c r="CTU1" s="16" t="s">
        <v>4020</v>
      </c>
      <c r="CTV1" s="16" t="s">
        <v>4021</v>
      </c>
      <c r="CTW1" s="16" t="s">
        <v>4022</v>
      </c>
      <c r="CTX1" s="16" t="s">
        <v>4023</v>
      </c>
      <c r="CTY1" s="16" t="s">
        <v>4024</v>
      </c>
      <c r="CTZ1" s="16" t="s">
        <v>4025</v>
      </c>
      <c r="CUA1" s="16" t="s">
        <v>4026</v>
      </c>
      <c r="CUB1" s="16" t="s">
        <v>4027</v>
      </c>
      <c r="CUC1" s="16" t="s">
        <v>4028</v>
      </c>
      <c r="CUD1" s="16" t="s">
        <v>4029</v>
      </c>
      <c r="CUE1" s="16" t="s">
        <v>4030</v>
      </c>
      <c r="CUF1" s="16" t="s">
        <v>4031</v>
      </c>
      <c r="CUG1" s="16" t="s">
        <v>4032</v>
      </c>
      <c r="CUH1" s="16" t="s">
        <v>4033</v>
      </c>
      <c r="CUI1" s="16" t="s">
        <v>4034</v>
      </c>
      <c r="CUJ1" s="16" t="s">
        <v>4035</v>
      </c>
      <c r="CUK1" s="16" t="s">
        <v>4036</v>
      </c>
      <c r="CUL1" s="16" t="s">
        <v>4037</v>
      </c>
      <c r="CUM1" s="16" t="s">
        <v>4038</v>
      </c>
      <c r="CUN1" s="16" t="s">
        <v>4039</v>
      </c>
      <c r="CUO1" s="16" t="s">
        <v>4040</v>
      </c>
      <c r="CUP1" s="16" t="s">
        <v>4041</v>
      </c>
      <c r="CUQ1" s="16" t="s">
        <v>4042</v>
      </c>
      <c r="CUR1" s="16" t="s">
        <v>4043</v>
      </c>
      <c r="CUS1" s="16" t="s">
        <v>4044</v>
      </c>
      <c r="CUT1" s="16" t="s">
        <v>4045</v>
      </c>
      <c r="CUU1" s="16" t="s">
        <v>4046</v>
      </c>
      <c r="CUV1" s="16" t="s">
        <v>4047</v>
      </c>
      <c r="CUW1" s="16" t="s">
        <v>4048</v>
      </c>
      <c r="CUX1" s="16" t="s">
        <v>4049</v>
      </c>
      <c r="CUY1" s="16" t="s">
        <v>4050</v>
      </c>
      <c r="CUZ1" s="16" t="s">
        <v>4051</v>
      </c>
      <c r="CVA1" s="16" t="s">
        <v>4052</v>
      </c>
      <c r="CVB1" s="16" t="s">
        <v>4053</v>
      </c>
      <c r="CVC1" s="16" t="s">
        <v>4054</v>
      </c>
      <c r="CVD1" s="16" t="s">
        <v>4055</v>
      </c>
      <c r="CVE1" s="16" t="s">
        <v>4056</v>
      </c>
      <c r="CVF1" s="16" t="s">
        <v>4057</v>
      </c>
      <c r="CVG1" s="16" t="s">
        <v>4058</v>
      </c>
      <c r="CVH1" s="16" t="s">
        <v>4059</v>
      </c>
      <c r="CVI1" s="16" t="s">
        <v>4060</v>
      </c>
      <c r="CVJ1" s="16" t="s">
        <v>4061</v>
      </c>
      <c r="CVK1" s="16" t="s">
        <v>4062</v>
      </c>
      <c r="CVL1" s="16" t="s">
        <v>4063</v>
      </c>
      <c r="CVM1" s="16" t="s">
        <v>4064</v>
      </c>
      <c r="CVN1" s="16" t="s">
        <v>4065</v>
      </c>
      <c r="CVO1" s="16" t="s">
        <v>4066</v>
      </c>
      <c r="CVP1" s="16" t="s">
        <v>4067</v>
      </c>
      <c r="CVQ1" s="16" t="s">
        <v>4068</v>
      </c>
      <c r="CVR1" s="16" t="s">
        <v>4069</v>
      </c>
      <c r="CVS1" s="16" t="s">
        <v>4070</v>
      </c>
      <c r="CVT1" s="16" t="s">
        <v>4071</v>
      </c>
      <c r="CVU1" s="16" t="s">
        <v>4072</v>
      </c>
      <c r="CVV1" s="16" t="s">
        <v>4073</v>
      </c>
      <c r="CVW1" s="16" t="s">
        <v>4074</v>
      </c>
      <c r="CVX1" s="16" t="s">
        <v>4075</v>
      </c>
      <c r="CVY1" s="16" t="s">
        <v>4076</v>
      </c>
      <c r="CVZ1" s="16" t="s">
        <v>4077</v>
      </c>
      <c r="CWA1" s="16" t="s">
        <v>4078</v>
      </c>
      <c r="CWB1" s="16" t="s">
        <v>4079</v>
      </c>
      <c r="CWC1" s="16" t="s">
        <v>4080</v>
      </c>
      <c r="CWD1" s="16" t="s">
        <v>4081</v>
      </c>
      <c r="CWE1" s="16" t="s">
        <v>4082</v>
      </c>
      <c r="CWF1" s="16" t="s">
        <v>4083</v>
      </c>
      <c r="CWG1" s="16" t="s">
        <v>4084</v>
      </c>
      <c r="CWH1" s="16" t="s">
        <v>4085</v>
      </c>
      <c r="CWI1" s="16" t="s">
        <v>4086</v>
      </c>
      <c r="CWJ1" s="16" t="s">
        <v>4087</v>
      </c>
      <c r="CWK1" s="16" t="s">
        <v>4088</v>
      </c>
      <c r="CWL1" s="16" t="s">
        <v>4089</v>
      </c>
      <c r="CWM1" s="16" t="s">
        <v>4090</v>
      </c>
      <c r="CWN1" s="16" t="s">
        <v>4091</v>
      </c>
      <c r="CWO1" s="16" t="s">
        <v>4092</v>
      </c>
      <c r="CWP1" s="16" t="s">
        <v>4093</v>
      </c>
      <c r="CWQ1" s="16" t="s">
        <v>4094</v>
      </c>
      <c r="CWR1" s="16" t="s">
        <v>4095</v>
      </c>
      <c r="CWS1" s="16" t="s">
        <v>4096</v>
      </c>
      <c r="CWT1" s="16" t="s">
        <v>4097</v>
      </c>
      <c r="CWU1" s="16" t="s">
        <v>4098</v>
      </c>
      <c r="CWV1" s="16" t="s">
        <v>4099</v>
      </c>
      <c r="CWW1" s="16" t="s">
        <v>4100</v>
      </c>
      <c r="CWX1" s="16" t="s">
        <v>4101</v>
      </c>
      <c r="CWY1" s="16" t="s">
        <v>4102</v>
      </c>
      <c r="CWZ1" s="16" t="s">
        <v>4103</v>
      </c>
      <c r="CXA1" s="16" t="s">
        <v>4104</v>
      </c>
      <c r="CXB1" s="16" t="s">
        <v>4105</v>
      </c>
      <c r="CXC1" s="16" t="s">
        <v>4106</v>
      </c>
      <c r="CXD1" s="16" t="s">
        <v>4107</v>
      </c>
      <c r="CXE1" s="16" t="s">
        <v>4108</v>
      </c>
      <c r="CXF1" s="16" t="s">
        <v>4109</v>
      </c>
      <c r="CXG1" s="16" t="s">
        <v>4110</v>
      </c>
      <c r="CXH1" s="16" t="s">
        <v>4111</v>
      </c>
      <c r="CXI1" s="16" t="s">
        <v>4112</v>
      </c>
      <c r="CXJ1" s="16" t="s">
        <v>4113</v>
      </c>
      <c r="CXK1" s="16" t="s">
        <v>4114</v>
      </c>
      <c r="CXL1" s="16" t="s">
        <v>4115</v>
      </c>
      <c r="CXM1" s="16" t="s">
        <v>4116</v>
      </c>
      <c r="CXN1" s="16" t="s">
        <v>4117</v>
      </c>
      <c r="CXO1" s="16" t="s">
        <v>4118</v>
      </c>
      <c r="CXP1" s="16" t="s">
        <v>4119</v>
      </c>
      <c r="CXQ1" s="16" t="s">
        <v>4120</v>
      </c>
      <c r="CXR1" s="16" t="s">
        <v>4121</v>
      </c>
      <c r="CXS1" s="16" t="s">
        <v>4122</v>
      </c>
      <c r="CXT1" s="16" t="s">
        <v>4123</v>
      </c>
      <c r="CXU1" s="16" t="s">
        <v>4124</v>
      </c>
      <c r="CXV1" s="16" t="s">
        <v>4125</v>
      </c>
      <c r="CXW1" s="16" t="s">
        <v>4126</v>
      </c>
      <c r="CXX1" s="16" t="s">
        <v>4127</v>
      </c>
      <c r="CXY1" s="16" t="s">
        <v>4128</v>
      </c>
      <c r="CXZ1" s="16" t="s">
        <v>4129</v>
      </c>
      <c r="CYA1" s="16" t="s">
        <v>4130</v>
      </c>
      <c r="CYB1" s="16" t="s">
        <v>4131</v>
      </c>
      <c r="CYC1" s="16" t="s">
        <v>4132</v>
      </c>
      <c r="CYD1" s="16" t="s">
        <v>4133</v>
      </c>
      <c r="CYE1" s="16" t="s">
        <v>4134</v>
      </c>
      <c r="CYF1" s="16" t="s">
        <v>4135</v>
      </c>
      <c r="CYG1" s="16" t="s">
        <v>4136</v>
      </c>
      <c r="CYH1" s="16" t="s">
        <v>4137</v>
      </c>
      <c r="CYI1" s="16" t="s">
        <v>4138</v>
      </c>
      <c r="CYJ1" s="16" t="s">
        <v>4139</v>
      </c>
      <c r="CYK1" s="16" t="s">
        <v>4140</v>
      </c>
      <c r="CYL1" s="16" t="s">
        <v>4141</v>
      </c>
      <c r="CYM1" s="16" t="s">
        <v>4142</v>
      </c>
      <c r="CYN1" s="16" t="s">
        <v>4143</v>
      </c>
      <c r="CYO1" s="16" t="s">
        <v>4144</v>
      </c>
      <c r="CYP1" s="16" t="s">
        <v>4145</v>
      </c>
      <c r="CYQ1" s="16" t="s">
        <v>4146</v>
      </c>
      <c r="CYR1" s="16" t="s">
        <v>4147</v>
      </c>
      <c r="CYS1" s="16" t="s">
        <v>4148</v>
      </c>
      <c r="CYT1" s="16" t="s">
        <v>4149</v>
      </c>
      <c r="CYU1" s="16" t="s">
        <v>4150</v>
      </c>
      <c r="CYV1" s="16" t="s">
        <v>4151</v>
      </c>
      <c r="CYW1" s="16" t="s">
        <v>4152</v>
      </c>
      <c r="CYX1" s="16" t="s">
        <v>4153</v>
      </c>
      <c r="CYY1" s="16" t="s">
        <v>4154</v>
      </c>
      <c r="CYZ1" s="16" t="s">
        <v>4155</v>
      </c>
      <c r="CZA1" s="16" t="s">
        <v>4156</v>
      </c>
      <c r="CZB1" s="16" t="s">
        <v>4157</v>
      </c>
      <c r="CZC1" s="16" t="s">
        <v>4158</v>
      </c>
      <c r="CZD1" s="16" t="s">
        <v>4159</v>
      </c>
      <c r="CZE1" s="16" t="s">
        <v>4160</v>
      </c>
      <c r="CZF1" s="16" t="s">
        <v>4161</v>
      </c>
      <c r="CZG1" s="16" t="s">
        <v>4162</v>
      </c>
      <c r="CZH1" s="16" t="s">
        <v>4163</v>
      </c>
      <c r="CZI1" s="16" t="s">
        <v>4164</v>
      </c>
      <c r="CZJ1" s="16" t="s">
        <v>4165</v>
      </c>
      <c r="CZK1" s="16" t="s">
        <v>4166</v>
      </c>
      <c r="CZL1" s="16" t="s">
        <v>4167</v>
      </c>
      <c r="CZM1" s="16" t="s">
        <v>4168</v>
      </c>
      <c r="CZN1" s="16" t="s">
        <v>4169</v>
      </c>
      <c r="CZO1" s="16" t="s">
        <v>4170</v>
      </c>
      <c r="CZP1" s="16" t="s">
        <v>4171</v>
      </c>
      <c r="CZQ1" s="16" t="s">
        <v>4172</v>
      </c>
      <c r="CZR1" s="16" t="s">
        <v>4173</v>
      </c>
      <c r="CZS1" s="16" t="s">
        <v>4174</v>
      </c>
      <c r="CZT1" s="16" t="s">
        <v>4175</v>
      </c>
      <c r="CZU1" s="16" t="s">
        <v>4176</v>
      </c>
      <c r="CZV1" s="16" t="s">
        <v>4177</v>
      </c>
      <c r="CZW1" s="16" t="s">
        <v>4178</v>
      </c>
      <c r="CZX1" s="16" t="s">
        <v>4179</v>
      </c>
      <c r="CZY1" s="16" t="s">
        <v>4180</v>
      </c>
      <c r="CZZ1" s="16" t="s">
        <v>4181</v>
      </c>
      <c r="DAA1" s="16" t="s">
        <v>4182</v>
      </c>
      <c r="DAB1" s="16" t="s">
        <v>4183</v>
      </c>
      <c r="DAC1" s="16" t="s">
        <v>4184</v>
      </c>
      <c r="DAD1" s="16" t="s">
        <v>4185</v>
      </c>
      <c r="DAE1" s="16" t="s">
        <v>4186</v>
      </c>
      <c r="DAF1" s="16" t="s">
        <v>4187</v>
      </c>
      <c r="DAG1" s="16" t="s">
        <v>4188</v>
      </c>
      <c r="DAH1" s="16" t="s">
        <v>4189</v>
      </c>
      <c r="DAI1" s="16" t="s">
        <v>4190</v>
      </c>
      <c r="DAJ1" s="16" t="s">
        <v>4191</v>
      </c>
      <c r="DAK1" s="16" t="s">
        <v>4192</v>
      </c>
      <c r="DAL1" s="16" t="s">
        <v>4193</v>
      </c>
      <c r="DAM1" s="16" t="s">
        <v>4194</v>
      </c>
      <c r="DAN1" s="16" t="s">
        <v>4195</v>
      </c>
      <c r="DAO1" s="16" t="s">
        <v>4196</v>
      </c>
      <c r="DAP1" s="16" t="s">
        <v>4197</v>
      </c>
      <c r="DAQ1" s="16" t="s">
        <v>4198</v>
      </c>
      <c r="DAR1" s="16" t="s">
        <v>4199</v>
      </c>
      <c r="DAS1" s="16" t="s">
        <v>4200</v>
      </c>
      <c r="DAT1" s="16" t="s">
        <v>4201</v>
      </c>
      <c r="DAU1" s="16" t="s">
        <v>4202</v>
      </c>
      <c r="DAV1" s="16" t="s">
        <v>4203</v>
      </c>
      <c r="DAW1" s="16" t="s">
        <v>4204</v>
      </c>
      <c r="DAX1" s="16" t="s">
        <v>4205</v>
      </c>
      <c r="DAY1" s="16" t="s">
        <v>4206</v>
      </c>
      <c r="DAZ1" s="16" t="s">
        <v>4207</v>
      </c>
      <c r="DBA1" s="16" t="s">
        <v>4208</v>
      </c>
      <c r="DBB1" s="16" t="s">
        <v>4209</v>
      </c>
      <c r="DBC1" s="16" t="s">
        <v>4210</v>
      </c>
      <c r="DBD1" s="16" t="s">
        <v>4211</v>
      </c>
      <c r="DBE1" s="16" t="s">
        <v>4212</v>
      </c>
      <c r="DBF1" s="16" t="s">
        <v>4213</v>
      </c>
      <c r="DBG1" s="16" t="s">
        <v>4214</v>
      </c>
      <c r="DBH1" s="16" t="s">
        <v>4215</v>
      </c>
      <c r="DBI1" s="16" t="s">
        <v>4216</v>
      </c>
      <c r="DBJ1" s="16" t="s">
        <v>4217</v>
      </c>
      <c r="DBK1" s="16" t="s">
        <v>4218</v>
      </c>
      <c r="DBL1" s="16" t="s">
        <v>4219</v>
      </c>
      <c r="DBM1" s="16" t="s">
        <v>4220</v>
      </c>
      <c r="DBN1" s="16" t="s">
        <v>4221</v>
      </c>
      <c r="DBO1" s="16" t="s">
        <v>4222</v>
      </c>
      <c r="DBP1" s="16" t="s">
        <v>4223</v>
      </c>
      <c r="DBQ1" s="16" t="s">
        <v>4224</v>
      </c>
      <c r="DBR1" s="16" t="s">
        <v>4225</v>
      </c>
      <c r="DBS1" s="16" t="s">
        <v>4226</v>
      </c>
      <c r="DBT1" s="16" t="s">
        <v>4227</v>
      </c>
      <c r="DBU1" s="16" t="s">
        <v>4228</v>
      </c>
      <c r="DBV1" s="16" t="s">
        <v>4229</v>
      </c>
      <c r="DBW1" s="16" t="s">
        <v>4230</v>
      </c>
      <c r="DBX1" s="16" t="s">
        <v>4231</v>
      </c>
      <c r="DBY1" s="16" t="s">
        <v>4232</v>
      </c>
      <c r="DBZ1" s="16" t="s">
        <v>4233</v>
      </c>
      <c r="DCA1" s="16" t="s">
        <v>4234</v>
      </c>
      <c r="DCB1" s="16" t="s">
        <v>4235</v>
      </c>
      <c r="DCC1" s="16" t="s">
        <v>4236</v>
      </c>
      <c r="DCD1" s="16" t="s">
        <v>4237</v>
      </c>
      <c r="DCE1" s="16" t="s">
        <v>4238</v>
      </c>
      <c r="DCF1" s="16" t="s">
        <v>4239</v>
      </c>
      <c r="DCG1" s="16" t="s">
        <v>4240</v>
      </c>
      <c r="DCH1" s="16" t="s">
        <v>4241</v>
      </c>
      <c r="DCI1" s="16" t="s">
        <v>4242</v>
      </c>
      <c r="DCJ1" s="16" t="s">
        <v>4243</v>
      </c>
      <c r="DCK1" s="16" t="s">
        <v>4244</v>
      </c>
      <c r="DCL1" s="16" t="s">
        <v>4245</v>
      </c>
      <c r="DCM1" s="16" t="s">
        <v>4246</v>
      </c>
      <c r="DCN1" s="16" t="s">
        <v>4247</v>
      </c>
      <c r="DCO1" s="16" t="s">
        <v>4248</v>
      </c>
      <c r="DCP1" s="16" t="s">
        <v>4249</v>
      </c>
      <c r="DCQ1" s="16" t="s">
        <v>4250</v>
      </c>
      <c r="DCR1" s="16" t="s">
        <v>4251</v>
      </c>
      <c r="DCS1" s="16" t="s">
        <v>4252</v>
      </c>
      <c r="DCT1" s="16" t="s">
        <v>4253</v>
      </c>
      <c r="DCU1" s="16" t="s">
        <v>4254</v>
      </c>
      <c r="DCV1" s="16" t="s">
        <v>4255</v>
      </c>
      <c r="DCW1" s="16" t="s">
        <v>4256</v>
      </c>
      <c r="DCX1" s="16" t="s">
        <v>4257</v>
      </c>
      <c r="DCY1" s="16" t="s">
        <v>4258</v>
      </c>
      <c r="DCZ1" s="16" t="s">
        <v>4259</v>
      </c>
      <c r="DDA1" s="16" t="s">
        <v>4260</v>
      </c>
      <c r="DDB1" s="16" t="s">
        <v>4261</v>
      </c>
      <c r="DDC1" s="16" t="s">
        <v>4262</v>
      </c>
      <c r="DDD1" s="16" t="s">
        <v>4263</v>
      </c>
      <c r="DDE1" s="16" t="s">
        <v>4264</v>
      </c>
      <c r="DDF1" s="16" t="s">
        <v>4265</v>
      </c>
      <c r="DDG1" s="16" t="s">
        <v>4266</v>
      </c>
      <c r="DDH1" s="16" t="s">
        <v>4267</v>
      </c>
      <c r="DDI1" s="16" t="s">
        <v>4268</v>
      </c>
      <c r="DDJ1" s="16" t="s">
        <v>4269</v>
      </c>
      <c r="DDK1" s="16" t="s">
        <v>4270</v>
      </c>
      <c r="DDL1" s="16" t="s">
        <v>4271</v>
      </c>
      <c r="DDM1" s="16" t="s">
        <v>4272</v>
      </c>
      <c r="DDN1" s="16" t="s">
        <v>4273</v>
      </c>
      <c r="DDO1" s="16" t="s">
        <v>4274</v>
      </c>
      <c r="DDP1" s="16" t="s">
        <v>4275</v>
      </c>
      <c r="DDQ1" s="16" t="s">
        <v>4276</v>
      </c>
      <c r="DDR1" s="16" t="s">
        <v>4277</v>
      </c>
      <c r="DDS1" s="16" t="s">
        <v>4278</v>
      </c>
      <c r="DDT1" s="16" t="s">
        <v>4279</v>
      </c>
      <c r="DDU1" s="16" t="s">
        <v>4280</v>
      </c>
      <c r="DDV1" s="16" t="s">
        <v>4281</v>
      </c>
      <c r="DDW1" s="16" t="s">
        <v>4282</v>
      </c>
      <c r="DDX1" s="16" t="s">
        <v>4283</v>
      </c>
      <c r="DDY1" s="16" t="s">
        <v>4284</v>
      </c>
      <c r="DDZ1" s="16" t="s">
        <v>4285</v>
      </c>
      <c r="DEA1" s="16" t="s">
        <v>4286</v>
      </c>
      <c r="DEB1" s="16" t="s">
        <v>4287</v>
      </c>
      <c r="DEC1" s="16" t="s">
        <v>4288</v>
      </c>
      <c r="DED1" s="16" t="s">
        <v>4289</v>
      </c>
      <c r="DEE1" s="16" t="s">
        <v>4290</v>
      </c>
      <c r="DEF1" s="16" t="s">
        <v>4291</v>
      </c>
      <c r="DEG1" s="16" t="s">
        <v>4292</v>
      </c>
      <c r="DEH1" s="16" t="s">
        <v>4293</v>
      </c>
      <c r="DEI1" s="16" t="s">
        <v>4294</v>
      </c>
      <c r="DEJ1" s="16" t="s">
        <v>4295</v>
      </c>
      <c r="DEK1" s="16" t="s">
        <v>4296</v>
      </c>
      <c r="DEL1" s="16" t="s">
        <v>4297</v>
      </c>
      <c r="DEM1" s="16" t="s">
        <v>4298</v>
      </c>
      <c r="DEN1" s="16" t="s">
        <v>4299</v>
      </c>
      <c r="DEO1" s="16" t="s">
        <v>4300</v>
      </c>
      <c r="DEP1" s="16" t="s">
        <v>4301</v>
      </c>
      <c r="DEQ1" s="16" t="s">
        <v>4302</v>
      </c>
      <c r="DER1" s="16" t="s">
        <v>4303</v>
      </c>
      <c r="DES1" s="16" t="s">
        <v>4304</v>
      </c>
      <c r="DET1" s="16" t="s">
        <v>4305</v>
      </c>
      <c r="DEU1" s="16" t="s">
        <v>4306</v>
      </c>
      <c r="DEV1" s="16" t="s">
        <v>4307</v>
      </c>
      <c r="DEW1" s="16" t="s">
        <v>4308</v>
      </c>
      <c r="DEX1" s="16" t="s">
        <v>4309</v>
      </c>
      <c r="DEY1" s="16" t="s">
        <v>4310</v>
      </c>
      <c r="DEZ1" s="16" t="s">
        <v>4311</v>
      </c>
      <c r="DFA1" s="16" t="s">
        <v>4312</v>
      </c>
      <c r="DFB1" s="16" t="s">
        <v>4313</v>
      </c>
      <c r="DFC1" s="16" t="s">
        <v>4314</v>
      </c>
      <c r="DFD1" s="16" t="s">
        <v>4315</v>
      </c>
      <c r="DFE1" s="16" t="s">
        <v>4316</v>
      </c>
      <c r="DFF1" s="16" t="s">
        <v>4317</v>
      </c>
      <c r="DFG1" s="16" t="s">
        <v>4318</v>
      </c>
      <c r="DFH1" s="16" t="s">
        <v>4319</v>
      </c>
      <c r="DFI1" s="16" t="s">
        <v>4320</v>
      </c>
      <c r="DFJ1" s="16" t="s">
        <v>4321</v>
      </c>
      <c r="DFK1" s="16" t="s">
        <v>4322</v>
      </c>
      <c r="DFL1" s="16" t="s">
        <v>4323</v>
      </c>
      <c r="DFM1" s="16" t="s">
        <v>4324</v>
      </c>
      <c r="DFN1" s="16" t="s">
        <v>4325</v>
      </c>
      <c r="DFO1" s="16" t="s">
        <v>4326</v>
      </c>
      <c r="DFP1" s="16" t="s">
        <v>4327</v>
      </c>
      <c r="DFQ1" s="16" t="s">
        <v>4328</v>
      </c>
      <c r="DFR1" s="16" t="s">
        <v>4329</v>
      </c>
      <c r="DFS1" s="16" t="s">
        <v>4330</v>
      </c>
      <c r="DFT1" s="16" t="s">
        <v>4331</v>
      </c>
      <c r="DFU1" s="16" t="s">
        <v>4332</v>
      </c>
      <c r="DFV1" s="16" t="s">
        <v>4333</v>
      </c>
      <c r="DFW1" s="16" t="s">
        <v>4334</v>
      </c>
      <c r="DFX1" s="16" t="s">
        <v>4335</v>
      </c>
      <c r="DFY1" s="16" t="s">
        <v>4336</v>
      </c>
      <c r="DFZ1" s="16" t="s">
        <v>4337</v>
      </c>
      <c r="DGA1" s="16" t="s">
        <v>4338</v>
      </c>
      <c r="DGB1" s="16" t="s">
        <v>4339</v>
      </c>
      <c r="DGC1" s="16" t="s">
        <v>4340</v>
      </c>
      <c r="DGD1" s="16" t="s">
        <v>4341</v>
      </c>
      <c r="DGE1" s="16" t="s">
        <v>4342</v>
      </c>
      <c r="DGF1" s="16" t="s">
        <v>4343</v>
      </c>
      <c r="DGG1" s="16" t="s">
        <v>4344</v>
      </c>
      <c r="DGH1" s="16" t="s">
        <v>4345</v>
      </c>
      <c r="DGI1" s="16" t="s">
        <v>4346</v>
      </c>
      <c r="DGJ1" s="16" t="s">
        <v>4347</v>
      </c>
      <c r="DGK1" s="16" t="s">
        <v>4348</v>
      </c>
      <c r="DGL1" s="16" t="s">
        <v>4349</v>
      </c>
      <c r="DGM1" s="16" t="s">
        <v>4350</v>
      </c>
      <c r="DGN1" s="16" t="s">
        <v>4351</v>
      </c>
      <c r="DGO1" s="16" t="s">
        <v>4352</v>
      </c>
      <c r="DGP1" s="16" t="s">
        <v>4353</v>
      </c>
      <c r="DGQ1" s="16" t="s">
        <v>4354</v>
      </c>
      <c r="DGR1" s="16" t="s">
        <v>4355</v>
      </c>
      <c r="DGS1" s="16" t="s">
        <v>4356</v>
      </c>
      <c r="DGT1" s="16" t="s">
        <v>4357</v>
      </c>
      <c r="DGU1" s="16" t="s">
        <v>4358</v>
      </c>
      <c r="DGV1" s="16" t="s">
        <v>4359</v>
      </c>
      <c r="DGW1" s="16" t="s">
        <v>4360</v>
      </c>
      <c r="DGX1" s="16" t="s">
        <v>4361</v>
      </c>
      <c r="DGY1" s="16" t="s">
        <v>4362</v>
      </c>
      <c r="DGZ1" s="16" t="s">
        <v>4363</v>
      </c>
      <c r="DHA1" s="16" t="s">
        <v>4364</v>
      </c>
      <c r="DHB1" s="16" t="s">
        <v>4365</v>
      </c>
      <c r="DHC1" s="16" t="s">
        <v>4366</v>
      </c>
      <c r="DHD1" s="16" t="s">
        <v>4367</v>
      </c>
      <c r="DHE1" s="16" t="s">
        <v>4368</v>
      </c>
      <c r="DHF1" s="16" t="s">
        <v>4369</v>
      </c>
      <c r="DHG1" s="16" t="s">
        <v>4370</v>
      </c>
      <c r="DHH1" s="16" t="s">
        <v>4371</v>
      </c>
      <c r="DHI1" s="16" t="s">
        <v>4372</v>
      </c>
      <c r="DHJ1" s="16" t="s">
        <v>4373</v>
      </c>
      <c r="DHK1" s="16" t="s">
        <v>4374</v>
      </c>
      <c r="DHL1" s="16" t="s">
        <v>4375</v>
      </c>
      <c r="DHM1" s="16" t="s">
        <v>4376</v>
      </c>
      <c r="DHN1" s="16" t="s">
        <v>4377</v>
      </c>
      <c r="DHO1" s="16" t="s">
        <v>4378</v>
      </c>
      <c r="DHP1" s="16" t="s">
        <v>4379</v>
      </c>
      <c r="DHQ1" s="16" t="s">
        <v>4380</v>
      </c>
      <c r="DHR1" s="16" t="s">
        <v>4381</v>
      </c>
      <c r="DHS1" s="16" t="s">
        <v>4382</v>
      </c>
      <c r="DHT1" s="16" t="s">
        <v>4383</v>
      </c>
      <c r="DHU1" s="16" t="s">
        <v>4384</v>
      </c>
      <c r="DHV1" s="16" t="s">
        <v>4385</v>
      </c>
      <c r="DHW1" s="16" t="s">
        <v>4386</v>
      </c>
      <c r="DHX1" s="16" t="s">
        <v>4387</v>
      </c>
      <c r="DHY1" s="16" t="s">
        <v>4388</v>
      </c>
      <c r="DHZ1" s="16" t="s">
        <v>4389</v>
      </c>
      <c r="DIA1" s="16" t="s">
        <v>4390</v>
      </c>
      <c r="DIB1" s="16" t="s">
        <v>4391</v>
      </c>
      <c r="DIC1" s="16" t="s">
        <v>4392</v>
      </c>
      <c r="DID1" s="16" t="s">
        <v>4393</v>
      </c>
      <c r="DIE1" s="16" t="s">
        <v>4394</v>
      </c>
      <c r="DIF1" s="16" t="s">
        <v>4395</v>
      </c>
      <c r="DIG1" s="16" t="s">
        <v>4396</v>
      </c>
      <c r="DIH1" s="16" t="s">
        <v>4397</v>
      </c>
      <c r="DII1" s="16" t="s">
        <v>4398</v>
      </c>
      <c r="DIJ1" s="16" t="s">
        <v>4399</v>
      </c>
      <c r="DIK1" s="16" t="s">
        <v>4400</v>
      </c>
      <c r="DIL1" s="16" t="s">
        <v>4401</v>
      </c>
      <c r="DIM1" s="16" t="s">
        <v>4402</v>
      </c>
      <c r="DIN1" s="16" t="s">
        <v>4403</v>
      </c>
      <c r="DIO1" s="16" t="s">
        <v>4404</v>
      </c>
      <c r="DIP1" s="16" t="s">
        <v>4405</v>
      </c>
      <c r="DIQ1" s="16" t="s">
        <v>4406</v>
      </c>
      <c r="DIR1" s="16" t="s">
        <v>4407</v>
      </c>
      <c r="DIS1" s="16" t="s">
        <v>4408</v>
      </c>
      <c r="DIT1" s="16" t="s">
        <v>4409</v>
      </c>
      <c r="DIU1" s="16" t="s">
        <v>4410</v>
      </c>
      <c r="DIV1" s="16" t="s">
        <v>4411</v>
      </c>
      <c r="DIW1" s="16" t="s">
        <v>4412</v>
      </c>
      <c r="DIX1" s="16" t="s">
        <v>4413</v>
      </c>
      <c r="DIY1" s="16" t="s">
        <v>4414</v>
      </c>
      <c r="DIZ1" s="16" t="s">
        <v>4415</v>
      </c>
      <c r="DJA1" s="16" t="s">
        <v>4416</v>
      </c>
      <c r="DJB1" s="16" t="s">
        <v>4417</v>
      </c>
      <c r="DJC1" s="16" t="s">
        <v>4418</v>
      </c>
      <c r="DJD1" s="16" t="s">
        <v>4419</v>
      </c>
      <c r="DJE1" s="16" t="s">
        <v>4420</v>
      </c>
      <c r="DJF1" s="16" t="s">
        <v>4421</v>
      </c>
      <c r="DJG1" s="16" t="s">
        <v>4422</v>
      </c>
      <c r="DJH1" s="16" t="s">
        <v>4423</v>
      </c>
      <c r="DJI1" s="16" t="s">
        <v>4424</v>
      </c>
      <c r="DJJ1" s="16" t="s">
        <v>4425</v>
      </c>
      <c r="DJK1" s="16" t="s">
        <v>4426</v>
      </c>
      <c r="DJL1" s="16" t="s">
        <v>4427</v>
      </c>
      <c r="DJM1" s="16" t="s">
        <v>4428</v>
      </c>
      <c r="DJN1" s="16" t="s">
        <v>4429</v>
      </c>
      <c r="DJO1" s="16" t="s">
        <v>4430</v>
      </c>
      <c r="DJP1" s="16" t="s">
        <v>4431</v>
      </c>
      <c r="DJQ1" s="16" t="s">
        <v>4432</v>
      </c>
      <c r="DJR1" s="16" t="s">
        <v>4433</v>
      </c>
      <c r="DJS1" s="16" t="s">
        <v>4434</v>
      </c>
      <c r="DJT1" s="16" t="s">
        <v>4435</v>
      </c>
      <c r="DJU1" s="16" t="s">
        <v>4436</v>
      </c>
      <c r="DJV1" s="16" t="s">
        <v>4437</v>
      </c>
      <c r="DJW1" s="16" t="s">
        <v>4438</v>
      </c>
      <c r="DJX1" s="16" t="s">
        <v>4439</v>
      </c>
      <c r="DJY1" s="16" t="s">
        <v>4440</v>
      </c>
      <c r="DJZ1" s="16" t="s">
        <v>4441</v>
      </c>
      <c r="DKA1" s="16" t="s">
        <v>4442</v>
      </c>
      <c r="DKB1" s="16" t="s">
        <v>4443</v>
      </c>
      <c r="DKC1" s="16" t="s">
        <v>4444</v>
      </c>
      <c r="DKD1" s="16" t="s">
        <v>4445</v>
      </c>
      <c r="DKE1" s="16" t="s">
        <v>4446</v>
      </c>
      <c r="DKF1" s="16" t="s">
        <v>4447</v>
      </c>
      <c r="DKG1" s="16" t="s">
        <v>4448</v>
      </c>
      <c r="DKH1" s="16" t="s">
        <v>4449</v>
      </c>
      <c r="DKI1" s="16" t="s">
        <v>4450</v>
      </c>
      <c r="DKJ1" s="16" t="s">
        <v>4451</v>
      </c>
      <c r="DKK1" s="16" t="s">
        <v>4452</v>
      </c>
      <c r="DKL1" s="16" t="s">
        <v>4453</v>
      </c>
      <c r="DKM1" s="16" t="s">
        <v>4454</v>
      </c>
      <c r="DKN1" s="16" t="s">
        <v>4455</v>
      </c>
      <c r="DKO1" s="16" t="s">
        <v>4456</v>
      </c>
      <c r="DKP1" s="16" t="s">
        <v>4457</v>
      </c>
      <c r="DKQ1" s="16" t="s">
        <v>4458</v>
      </c>
      <c r="DKR1" s="16" t="s">
        <v>4459</v>
      </c>
      <c r="DKS1" s="16" t="s">
        <v>4460</v>
      </c>
      <c r="DKT1" s="16" t="s">
        <v>4461</v>
      </c>
      <c r="DKU1" s="16" t="s">
        <v>4462</v>
      </c>
      <c r="DKV1" s="16" t="s">
        <v>4463</v>
      </c>
      <c r="DKW1" s="16" t="s">
        <v>4464</v>
      </c>
      <c r="DKX1" s="16" t="s">
        <v>4465</v>
      </c>
      <c r="DKY1" s="16" t="s">
        <v>4466</v>
      </c>
      <c r="DKZ1" s="16" t="s">
        <v>4467</v>
      </c>
      <c r="DLA1" s="16" t="s">
        <v>4468</v>
      </c>
      <c r="DLB1" s="16" t="s">
        <v>4469</v>
      </c>
      <c r="DLC1" s="16" t="s">
        <v>4470</v>
      </c>
      <c r="DLD1" s="16" t="s">
        <v>4471</v>
      </c>
      <c r="DLE1" s="16" t="s">
        <v>4472</v>
      </c>
      <c r="DLF1" s="16" t="s">
        <v>4473</v>
      </c>
      <c r="DLG1" s="16" t="s">
        <v>4474</v>
      </c>
      <c r="DLH1" s="16" t="s">
        <v>4475</v>
      </c>
      <c r="DLI1" s="16" t="s">
        <v>4476</v>
      </c>
      <c r="DLJ1" s="16" t="s">
        <v>4477</v>
      </c>
      <c r="DLK1" s="16" t="s">
        <v>4478</v>
      </c>
      <c r="DLL1" s="16" t="s">
        <v>4479</v>
      </c>
      <c r="DLM1" s="16" t="s">
        <v>4480</v>
      </c>
      <c r="DLN1" s="16" t="s">
        <v>4481</v>
      </c>
      <c r="DLO1" s="16" t="s">
        <v>4482</v>
      </c>
      <c r="DLP1" s="16" t="s">
        <v>4483</v>
      </c>
      <c r="DLQ1" s="16" t="s">
        <v>4484</v>
      </c>
      <c r="DLR1" s="16" t="s">
        <v>4485</v>
      </c>
      <c r="DLS1" s="16" t="s">
        <v>4486</v>
      </c>
      <c r="DLT1" s="16" t="s">
        <v>4487</v>
      </c>
      <c r="DLU1" s="16" t="s">
        <v>4488</v>
      </c>
      <c r="DLV1" s="16" t="s">
        <v>4489</v>
      </c>
      <c r="DLW1" s="16" t="s">
        <v>4490</v>
      </c>
      <c r="DLX1" s="16" t="s">
        <v>4491</v>
      </c>
      <c r="DLY1" s="16" t="s">
        <v>4492</v>
      </c>
      <c r="DLZ1" s="16" t="s">
        <v>4493</v>
      </c>
      <c r="DMA1" s="16" t="s">
        <v>4494</v>
      </c>
      <c r="DMB1" s="16" t="s">
        <v>4495</v>
      </c>
      <c r="DMC1" s="16" t="s">
        <v>4496</v>
      </c>
      <c r="DMD1" s="16" t="s">
        <v>4497</v>
      </c>
      <c r="DME1" s="16" t="s">
        <v>4498</v>
      </c>
      <c r="DMF1" s="16" t="s">
        <v>4499</v>
      </c>
      <c r="DMG1" s="16" t="s">
        <v>4500</v>
      </c>
      <c r="DMH1" s="16" t="s">
        <v>4501</v>
      </c>
      <c r="DMI1" s="16" t="s">
        <v>4502</v>
      </c>
      <c r="DMJ1" s="16" t="s">
        <v>4503</v>
      </c>
      <c r="DMK1" s="16" t="s">
        <v>4504</v>
      </c>
      <c r="DML1" s="16" t="s">
        <v>4505</v>
      </c>
      <c r="DMM1" s="16" t="s">
        <v>4506</v>
      </c>
      <c r="DMN1" s="16" t="s">
        <v>4507</v>
      </c>
      <c r="DMO1" s="16" t="s">
        <v>4508</v>
      </c>
      <c r="DMP1" s="16" t="s">
        <v>4509</v>
      </c>
      <c r="DMQ1" s="16" t="s">
        <v>4510</v>
      </c>
      <c r="DMR1" s="16" t="s">
        <v>4511</v>
      </c>
      <c r="DMS1" s="16" t="s">
        <v>4512</v>
      </c>
      <c r="DMT1" s="16" t="s">
        <v>4513</v>
      </c>
      <c r="DMU1" s="16" t="s">
        <v>4514</v>
      </c>
      <c r="DMV1" s="16" t="s">
        <v>4515</v>
      </c>
      <c r="DMW1" s="16" t="s">
        <v>4516</v>
      </c>
      <c r="DMX1" s="16" t="s">
        <v>4517</v>
      </c>
      <c r="DMY1" s="16" t="s">
        <v>4518</v>
      </c>
      <c r="DMZ1" s="16" t="s">
        <v>4519</v>
      </c>
      <c r="DNA1" s="16" t="s">
        <v>4520</v>
      </c>
      <c r="DNB1" s="16" t="s">
        <v>4521</v>
      </c>
      <c r="DNC1" s="16" t="s">
        <v>4522</v>
      </c>
      <c r="DND1" s="16" t="s">
        <v>4523</v>
      </c>
      <c r="DNE1" s="16" t="s">
        <v>4524</v>
      </c>
      <c r="DNF1" s="16" t="s">
        <v>4525</v>
      </c>
      <c r="DNG1" s="16" t="s">
        <v>4526</v>
      </c>
      <c r="DNH1" s="16" t="s">
        <v>4527</v>
      </c>
      <c r="DNI1" s="16" t="s">
        <v>4528</v>
      </c>
      <c r="DNJ1" s="16" t="s">
        <v>4529</v>
      </c>
      <c r="DNK1" s="16" t="s">
        <v>4530</v>
      </c>
      <c r="DNL1" s="16" t="s">
        <v>4531</v>
      </c>
      <c r="DNM1" s="16" t="s">
        <v>4532</v>
      </c>
      <c r="DNN1" s="16" t="s">
        <v>4533</v>
      </c>
      <c r="DNO1" s="16" t="s">
        <v>4534</v>
      </c>
      <c r="DNP1" s="16" t="s">
        <v>4535</v>
      </c>
      <c r="DNQ1" s="16" t="s">
        <v>4536</v>
      </c>
      <c r="DNR1" s="16" t="s">
        <v>4537</v>
      </c>
      <c r="DNS1" s="16" t="s">
        <v>4538</v>
      </c>
      <c r="DNT1" s="16" t="s">
        <v>4539</v>
      </c>
      <c r="DNU1" s="16" t="s">
        <v>4540</v>
      </c>
      <c r="DNV1" s="16" t="s">
        <v>4541</v>
      </c>
      <c r="DNW1" s="16" t="s">
        <v>4542</v>
      </c>
      <c r="DNX1" s="16" t="s">
        <v>4543</v>
      </c>
      <c r="DNY1" s="16" t="s">
        <v>4544</v>
      </c>
      <c r="DNZ1" s="16" t="s">
        <v>4545</v>
      </c>
      <c r="DOA1" s="16" t="s">
        <v>4546</v>
      </c>
      <c r="DOB1" s="16" t="s">
        <v>4547</v>
      </c>
      <c r="DOC1" s="16" t="s">
        <v>4548</v>
      </c>
      <c r="DOD1" s="16" t="s">
        <v>4549</v>
      </c>
      <c r="DOE1" s="16" t="s">
        <v>4550</v>
      </c>
      <c r="DOF1" s="16" t="s">
        <v>4551</v>
      </c>
      <c r="DOG1" s="16" t="s">
        <v>4552</v>
      </c>
      <c r="DOH1" s="16" t="s">
        <v>4553</v>
      </c>
      <c r="DOI1" s="16" t="s">
        <v>4554</v>
      </c>
      <c r="DOJ1" s="16" t="s">
        <v>4555</v>
      </c>
      <c r="DOK1" s="16" t="s">
        <v>4556</v>
      </c>
      <c r="DOL1" s="16" t="s">
        <v>4557</v>
      </c>
      <c r="DOM1" s="16" t="s">
        <v>4558</v>
      </c>
      <c r="DON1" s="16" t="s">
        <v>4559</v>
      </c>
      <c r="DOO1" s="16" t="s">
        <v>4560</v>
      </c>
      <c r="DOP1" s="16" t="s">
        <v>4561</v>
      </c>
      <c r="DOQ1" s="16" t="s">
        <v>4562</v>
      </c>
      <c r="DOR1" s="16" t="s">
        <v>4563</v>
      </c>
      <c r="DOS1" s="16" t="s">
        <v>4564</v>
      </c>
      <c r="DOT1" s="16" t="s">
        <v>4565</v>
      </c>
      <c r="DOU1" s="16" t="s">
        <v>4566</v>
      </c>
      <c r="DOV1" s="16" t="s">
        <v>4567</v>
      </c>
      <c r="DOW1" s="16" t="s">
        <v>4568</v>
      </c>
      <c r="DOX1" s="16" t="s">
        <v>4569</v>
      </c>
      <c r="DOY1" s="16" t="s">
        <v>4570</v>
      </c>
      <c r="DOZ1" s="16" t="s">
        <v>4571</v>
      </c>
      <c r="DPA1" s="16" t="s">
        <v>4572</v>
      </c>
      <c r="DPB1" s="16" t="s">
        <v>4573</v>
      </c>
      <c r="DPC1" s="16" t="s">
        <v>4574</v>
      </c>
      <c r="DPD1" s="16" t="s">
        <v>4575</v>
      </c>
      <c r="DPE1" s="16" t="s">
        <v>4576</v>
      </c>
      <c r="DPF1" s="16" t="s">
        <v>4577</v>
      </c>
      <c r="DPG1" s="16" t="s">
        <v>4578</v>
      </c>
      <c r="DPH1" s="16" t="s">
        <v>4579</v>
      </c>
      <c r="DPI1" s="16" t="s">
        <v>4580</v>
      </c>
      <c r="DPJ1" s="16" t="s">
        <v>4581</v>
      </c>
      <c r="DPK1" s="16" t="s">
        <v>4582</v>
      </c>
      <c r="DPL1" s="16" t="s">
        <v>4583</v>
      </c>
      <c r="DPM1" s="16" t="s">
        <v>4584</v>
      </c>
      <c r="DPN1" s="16" t="s">
        <v>4585</v>
      </c>
      <c r="DPO1" s="16" t="s">
        <v>4586</v>
      </c>
      <c r="DPP1" s="16" t="s">
        <v>4587</v>
      </c>
      <c r="DPQ1" s="16" t="s">
        <v>4588</v>
      </c>
      <c r="DPR1" s="16" t="s">
        <v>4589</v>
      </c>
      <c r="DPS1" s="16" t="s">
        <v>4590</v>
      </c>
      <c r="DPT1" s="16" t="s">
        <v>4591</v>
      </c>
      <c r="DPU1" s="16" t="s">
        <v>4592</v>
      </c>
      <c r="DPV1" s="16" t="s">
        <v>4593</v>
      </c>
      <c r="DPW1" s="16" t="s">
        <v>4594</v>
      </c>
      <c r="DPX1" s="16" t="s">
        <v>4595</v>
      </c>
      <c r="DPY1" s="16" t="s">
        <v>4596</v>
      </c>
      <c r="DPZ1" s="16" t="s">
        <v>4597</v>
      </c>
      <c r="DQA1" s="16" t="s">
        <v>4598</v>
      </c>
      <c r="DQB1" s="16" t="s">
        <v>4599</v>
      </c>
      <c r="DQC1" s="16" t="s">
        <v>4600</v>
      </c>
      <c r="DQD1" s="16" t="s">
        <v>4601</v>
      </c>
      <c r="DQE1" s="16" t="s">
        <v>4602</v>
      </c>
      <c r="DQF1" s="16" t="s">
        <v>4603</v>
      </c>
      <c r="DQG1" s="16" t="s">
        <v>4604</v>
      </c>
      <c r="DQH1" s="16" t="s">
        <v>4605</v>
      </c>
      <c r="DQI1" s="16" t="s">
        <v>4606</v>
      </c>
      <c r="DQJ1" s="16" t="s">
        <v>4607</v>
      </c>
      <c r="DQK1" s="16" t="s">
        <v>4608</v>
      </c>
      <c r="DQL1" s="16" t="s">
        <v>4609</v>
      </c>
      <c r="DQM1" s="16" t="s">
        <v>4610</v>
      </c>
      <c r="DQN1" s="16" t="s">
        <v>4611</v>
      </c>
      <c r="DQO1" s="16" t="s">
        <v>4612</v>
      </c>
      <c r="DQP1" s="16" t="s">
        <v>4613</v>
      </c>
      <c r="DQQ1" s="16" t="s">
        <v>4614</v>
      </c>
      <c r="DQR1" s="16" t="s">
        <v>4615</v>
      </c>
      <c r="DQS1" s="16" t="s">
        <v>4616</v>
      </c>
      <c r="DQT1" s="16" t="s">
        <v>4617</v>
      </c>
      <c r="DQU1" s="16" t="s">
        <v>4618</v>
      </c>
      <c r="DQV1" s="16" t="s">
        <v>4619</v>
      </c>
      <c r="DQW1" s="16" t="s">
        <v>4620</v>
      </c>
      <c r="DQX1" s="16" t="s">
        <v>4621</v>
      </c>
      <c r="DQY1" s="16" t="s">
        <v>4622</v>
      </c>
      <c r="DQZ1" s="16" t="s">
        <v>4623</v>
      </c>
      <c r="DRA1" s="16" t="s">
        <v>4624</v>
      </c>
      <c r="DRB1" s="16" t="s">
        <v>4625</v>
      </c>
      <c r="DRC1" s="16" t="s">
        <v>4626</v>
      </c>
      <c r="DRD1" s="16" t="s">
        <v>4627</v>
      </c>
      <c r="DRE1" s="16" t="s">
        <v>4628</v>
      </c>
      <c r="DRF1" s="16" t="s">
        <v>4629</v>
      </c>
      <c r="DRG1" s="16" t="s">
        <v>4630</v>
      </c>
      <c r="DRH1" s="16" t="s">
        <v>4631</v>
      </c>
      <c r="DRI1" s="16" t="s">
        <v>4632</v>
      </c>
      <c r="DRJ1" s="16" t="s">
        <v>4633</v>
      </c>
      <c r="DRK1" s="16" t="s">
        <v>4634</v>
      </c>
      <c r="DRL1" s="16" t="s">
        <v>4635</v>
      </c>
      <c r="DRM1" s="16" t="s">
        <v>4636</v>
      </c>
      <c r="DRN1" s="16" t="s">
        <v>4637</v>
      </c>
      <c r="DRO1" s="16" t="s">
        <v>4638</v>
      </c>
      <c r="DRP1" s="16" t="s">
        <v>4639</v>
      </c>
      <c r="DRQ1" s="16" t="s">
        <v>4640</v>
      </c>
      <c r="DRR1" s="16" t="s">
        <v>4641</v>
      </c>
      <c r="DRS1" s="16" t="s">
        <v>4642</v>
      </c>
      <c r="DRT1" s="16" t="s">
        <v>4643</v>
      </c>
      <c r="DRU1" s="16" t="s">
        <v>4644</v>
      </c>
      <c r="DRV1" s="16" t="s">
        <v>4645</v>
      </c>
      <c r="DRW1" s="16" t="s">
        <v>4646</v>
      </c>
      <c r="DRX1" s="16" t="s">
        <v>4647</v>
      </c>
      <c r="DRY1" s="16" t="s">
        <v>4648</v>
      </c>
      <c r="DRZ1" s="16" t="s">
        <v>4649</v>
      </c>
      <c r="DSA1" s="16" t="s">
        <v>4650</v>
      </c>
      <c r="DSB1" s="16" t="s">
        <v>4651</v>
      </c>
      <c r="DSC1" s="16" t="s">
        <v>4652</v>
      </c>
      <c r="DSD1" s="16" t="s">
        <v>4653</v>
      </c>
      <c r="DSE1" s="16" t="s">
        <v>4654</v>
      </c>
      <c r="DSF1" s="16" t="s">
        <v>4655</v>
      </c>
      <c r="DSG1" s="16" t="s">
        <v>4656</v>
      </c>
      <c r="DSH1" s="16" t="s">
        <v>4657</v>
      </c>
      <c r="DSI1" s="16" t="s">
        <v>4658</v>
      </c>
      <c r="DSJ1" s="16" t="s">
        <v>4659</v>
      </c>
      <c r="DSK1" s="16" t="s">
        <v>4660</v>
      </c>
      <c r="DSL1" s="16" t="s">
        <v>4661</v>
      </c>
      <c r="DSM1" s="16" t="s">
        <v>4662</v>
      </c>
      <c r="DSN1" s="16" t="s">
        <v>4663</v>
      </c>
      <c r="DSO1" s="16" t="s">
        <v>4664</v>
      </c>
      <c r="DSP1" s="16" t="s">
        <v>4665</v>
      </c>
      <c r="DSQ1" s="16" t="s">
        <v>4666</v>
      </c>
      <c r="DSR1" s="16" t="s">
        <v>4667</v>
      </c>
      <c r="DSS1" s="16" t="s">
        <v>4668</v>
      </c>
      <c r="DST1" s="16" t="s">
        <v>4669</v>
      </c>
      <c r="DSU1" s="16" t="s">
        <v>4670</v>
      </c>
      <c r="DSV1" s="16" t="s">
        <v>4671</v>
      </c>
      <c r="DSW1" s="16" t="s">
        <v>4672</v>
      </c>
      <c r="DSX1" s="16" t="s">
        <v>4673</v>
      </c>
      <c r="DSY1" s="16" t="s">
        <v>4674</v>
      </c>
      <c r="DSZ1" s="16" t="s">
        <v>4675</v>
      </c>
      <c r="DTA1" s="16" t="s">
        <v>4676</v>
      </c>
      <c r="DTB1" s="16" t="s">
        <v>4677</v>
      </c>
      <c r="DTC1" s="16" t="s">
        <v>4678</v>
      </c>
      <c r="DTD1" s="16" t="s">
        <v>4679</v>
      </c>
      <c r="DTE1" s="16" t="s">
        <v>4680</v>
      </c>
      <c r="DTF1" s="16" t="s">
        <v>4681</v>
      </c>
      <c r="DTG1" s="16" t="s">
        <v>4682</v>
      </c>
      <c r="DTH1" s="16" t="s">
        <v>4683</v>
      </c>
      <c r="DTI1" s="16" t="s">
        <v>4684</v>
      </c>
      <c r="DTJ1" s="16" t="s">
        <v>4685</v>
      </c>
      <c r="DTK1" s="16" t="s">
        <v>4686</v>
      </c>
      <c r="DTL1" s="16" t="s">
        <v>4687</v>
      </c>
      <c r="DTM1" s="16" t="s">
        <v>4688</v>
      </c>
      <c r="DTN1" s="16" t="s">
        <v>4689</v>
      </c>
      <c r="DTO1" s="16" t="s">
        <v>4690</v>
      </c>
      <c r="DTP1" s="16" t="s">
        <v>4691</v>
      </c>
      <c r="DTQ1" s="16" t="s">
        <v>4692</v>
      </c>
      <c r="DTR1" s="16" t="s">
        <v>4693</v>
      </c>
      <c r="DTS1" s="16" t="s">
        <v>4694</v>
      </c>
      <c r="DTT1" s="16" t="s">
        <v>4695</v>
      </c>
      <c r="DTU1" s="16" t="s">
        <v>4696</v>
      </c>
      <c r="DTV1" s="16" t="s">
        <v>4697</v>
      </c>
      <c r="DTW1" s="16" t="s">
        <v>4698</v>
      </c>
      <c r="DTX1" s="16" t="s">
        <v>4699</v>
      </c>
      <c r="DTY1" s="16" t="s">
        <v>4700</v>
      </c>
      <c r="DTZ1" s="16" t="s">
        <v>4701</v>
      </c>
      <c r="DUA1" s="16" t="s">
        <v>4702</v>
      </c>
      <c r="DUB1" s="16" t="s">
        <v>4703</v>
      </c>
      <c r="DUC1" s="16" t="s">
        <v>4704</v>
      </c>
      <c r="DUD1" s="16" t="s">
        <v>4705</v>
      </c>
      <c r="DUE1" s="16" t="s">
        <v>4706</v>
      </c>
      <c r="DUF1" s="16" t="s">
        <v>4707</v>
      </c>
      <c r="DUG1" s="16" t="s">
        <v>4708</v>
      </c>
      <c r="DUH1" s="16" t="s">
        <v>4709</v>
      </c>
      <c r="DUI1" s="16" t="s">
        <v>4710</v>
      </c>
      <c r="DUJ1" s="16" t="s">
        <v>4711</v>
      </c>
      <c r="DUK1" s="16" t="s">
        <v>4712</v>
      </c>
      <c r="DUL1" s="16" t="s">
        <v>4713</v>
      </c>
      <c r="DUM1" s="16" t="s">
        <v>4714</v>
      </c>
      <c r="DUN1" s="16" t="s">
        <v>4715</v>
      </c>
      <c r="DUO1" s="16" t="s">
        <v>4716</v>
      </c>
      <c r="DUP1" s="16" t="s">
        <v>4717</v>
      </c>
      <c r="DUQ1" s="16" t="s">
        <v>4718</v>
      </c>
      <c r="DUR1" s="16" t="s">
        <v>4719</v>
      </c>
      <c r="DUS1" s="16" t="s">
        <v>4720</v>
      </c>
      <c r="DUT1" s="16" t="s">
        <v>4721</v>
      </c>
      <c r="DUU1" s="16" t="s">
        <v>4722</v>
      </c>
      <c r="DUV1" s="16" t="s">
        <v>4723</v>
      </c>
      <c r="DUW1" s="16" t="s">
        <v>4724</v>
      </c>
      <c r="DUX1" s="16" t="s">
        <v>4725</v>
      </c>
      <c r="DUY1" s="16" t="s">
        <v>4726</v>
      </c>
      <c r="DUZ1" s="16" t="s">
        <v>4727</v>
      </c>
      <c r="DVA1" s="16" t="s">
        <v>4728</v>
      </c>
      <c r="DVB1" s="16" t="s">
        <v>4729</v>
      </c>
      <c r="DVC1" s="16" t="s">
        <v>4730</v>
      </c>
      <c r="DVD1" s="16" t="s">
        <v>4731</v>
      </c>
      <c r="DVE1" s="16" t="s">
        <v>4732</v>
      </c>
      <c r="DVF1" s="16" t="s">
        <v>4733</v>
      </c>
      <c r="DVG1" s="16" t="s">
        <v>4734</v>
      </c>
      <c r="DVH1" s="16" t="s">
        <v>4735</v>
      </c>
      <c r="DVI1" s="16" t="s">
        <v>4736</v>
      </c>
      <c r="DVJ1" s="16" t="s">
        <v>4737</v>
      </c>
      <c r="DVK1" s="16" t="s">
        <v>4738</v>
      </c>
      <c r="DVL1" s="16" t="s">
        <v>4739</v>
      </c>
      <c r="DVM1" s="16" t="s">
        <v>4740</v>
      </c>
      <c r="DVN1" s="16" t="s">
        <v>4741</v>
      </c>
      <c r="DVO1" s="16" t="s">
        <v>4742</v>
      </c>
      <c r="DVP1" s="16" t="s">
        <v>4743</v>
      </c>
      <c r="DVQ1" s="16" t="s">
        <v>4744</v>
      </c>
      <c r="DVR1" s="16" t="s">
        <v>4745</v>
      </c>
      <c r="DVS1" s="16" t="s">
        <v>4746</v>
      </c>
      <c r="DVT1" s="16" t="s">
        <v>4747</v>
      </c>
      <c r="DVU1" s="16" t="s">
        <v>4748</v>
      </c>
      <c r="DVV1" s="16" t="s">
        <v>4749</v>
      </c>
      <c r="DVW1" s="16" t="s">
        <v>4750</v>
      </c>
      <c r="DVX1" s="16" t="s">
        <v>4751</v>
      </c>
      <c r="DVY1" s="16" t="s">
        <v>4752</v>
      </c>
      <c r="DVZ1" s="16" t="s">
        <v>4753</v>
      </c>
      <c r="DWA1" s="16" t="s">
        <v>4754</v>
      </c>
      <c r="DWB1" s="16" t="s">
        <v>4755</v>
      </c>
      <c r="DWC1" s="16" t="s">
        <v>4756</v>
      </c>
      <c r="DWD1" s="16" t="s">
        <v>4757</v>
      </c>
      <c r="DWE1" s="16" t="s">
        <v>4758</v>
      </c>
      <c r="DWF1" s="16" t="s">
        <v>4759</v>
      </c>
      <c r="DWG1" s="16" t="s">
        <v>4760</v>
      </c>
      <c r="DWH1" s="16" t="s">
        <v>4761</v>
      </c>
      <c r="DWI1" s="16" t="s">
        <v>4762</v>
      </c>
      <c r="DWJ1" s="16" t="s">
        <v>4763</v>
      </c>
      <c r="DWK1" s="16" t="s">
        <v>4764</v>
      </c>
      <c r="DWL1" s="16" t="s">
        <v>4765</v>
      </c>
      <c r="DWM1" s="16" t="s">
        <v>4766</v>
      </c>
      <c r="DWN1" s="16" t="s">
        <v>4767</v>
      </c>
      <c r="DWO1" s="16" t="s">
        <v>4768</v>
      </c>
      <c r="DWP1" s="16" t="s">
        <v>4769</v>
      </c>
      <c r="DWQ1" s="16" t="s">
        <v>4770</v>
      </c>
      <c r="DWR1" s="16" t="s">
        <v>4771</v>
      </c>
      <c r="DWS1" s="16" t="s">
        <v>4772</v>
      </c>
      <c r="DWT1" s="16" t="s">
        <v>4773</v>
      </c>
      <c r="DWU1" s="16" t="s">
        <v>4774</v>
      </c>
      <c r="DWV1" s="16" t="s">
        <v>4775</v>
      </c>
      <c r="DWW1" s="16" t="s">
        <v>4776</v>
      </c>
      <c r="DWX1" s="16" t="s">
        <v>4777</v>
      </c>
      <c r="DWY1" s="16" t="s">
        <v>4778</v>
      </c>
      <c r="DWZ1" s="16" t="s">
        <v>4779</v>
      </c>
      <c r="DXA1" s="16" t="s">
        <v>4780</v>
      </c>
      <c r="DXB1" s="16" t="s">
        <v>4781</v>
      </c>
      <c r="DXC1" s="16" t="s">
        <v>4782</v>
      </c>
      <c r="DXD1" s="16" t="s">
        <v>4783</v>
      </c>
      <c r="DXE1" s="16" t="s">
        <v>4784</v>
      </c>
      <c r="DXF1" s="16" t="s">
        <v>4785</v>
      </c>
      <c r="DXG1" s="16" t="s">
        <v>4786</v>
      </c>
      <c r="DXH1" s="16" t="s">
        <v>4787</v>
      </c>
      <c r="DXI1" s="16" t="s">
        <v>4788</v>
      </c>
      <c r="DXJ1" s="16" t="s">
        <v>4789</v>
      </c>
      <c r="DXK1" s="16" t="s">
        <v>4790</v>
      </c>
      <c r="DXL1" s="16" t="s">
        <v>4791</v>
      </c>
      <c r="DXM1" s="16" t="s">
        <v>4792</v>
      </c>
      <c r="DXN1" s="16" t="s">
        <v>4793</v>
      </c>
      <c r="DXO1" s="16" t="s">
        <v>4794</v>
      </c>
      <c r="DXP1" s="16" t="s">
        <v>4795</v>
      </c>
      <c r="DXQ1" s="16" t="s">
        <v>4796</v>
      </c>
      <c r="DXR1" s="16" t="s">
        <v>4797</v>
      </c>
      <c r="DXS1" s="16" t="s">
        <v>4798</v>
      </c>
      <c r="DXT1" s="16" t="s">
        <v>4799</v>
      </c>
      <c r="DXU1" s="16" t="s">
        <v>4800</v>
      </c>
      <c r="DXV1" s="16" t="s">
        <v>4801</v>
      </c>
      <c r="DXW1" s="16" t="s">
        <v>4802</v>
      </c>
      <c r="DXX1" s="16" t="s">
        <v>4803</v>
      </c>
      <c r="DXY1" s="16" t="s">
        <v>4804</v>
      </c>
      <c r="DXZ1" s="16" t="s">
        <v>4805</v>
      </c>
      <c r="DYA1" s="16" t="s">
        <v>4806</v>
      </c>
      <c r="DYB1" s="16" t="s">
        <v>4807</v>
      </c>
      <c r="DYC1" s="16" t="s">
        <v>4808</v>
      </c>
      <c r="DYD1" s="16" t="s">
        <v>4809</v>
      </c>
      <c r="DYE1" s="16" t="s">
        <v>4810</v>
      </c>
      <c r="DYF1" s="16" t="s">
        <v>4811</v>
      </c>
      <c r="DYG1" s="16" t="s">
        <v>4812</v>
      </c>
      <c r="DYH1" s="16" t="s">
        <v>4813</v>
      </c>
      <c r="DYI1" s="16" t="s">
        <v>4814</v>
      </c>
      <c r="DYJ1" s="16" t="s">
        <v>4815</v>
      </c>
      <c r="DYK1" s="16" t="s">
        <v>4816</v>
      </c>
      <c r="DYL1" s="16" t="s">
        <v>4817</v>
      </c>
      <c r="DYM1" s="16" t="s">
        <v>4818</v>
      </c>
      <c r="DYN1" s="16" t="s">
        <v>4819</v>
      </c>
      <c r="DYO1" s="16" t="s">
        <v>4820</v>
      </c>
      <c r="DYP1" s="16" t="s">
        <v>4821</v>
      </c>
      <c r="DYQ1" s="16" t="s">
        <v>4822</v>
      </c>
      <c r="DYR1" s="16" t="s">
        <v>4823</v>
      </c>
      <c r="DYS1" s="16" t="s">
        <v>4824</v>
      </c>
      <c r="DYT1" s="16" t="s">
        <v>4825</v>
      </c>
      <c r="DYU1" s="16" t="s">
        <v>4826</v>
      </c>
      <c r="DYV1" s="16" t="s">
        <v>4827</v>
      </c>
      <c r="DYW1" s="16" t="s">
        <v>4828</v>
      </c>
      <c r="DYX1" s="16" t="s">
        <v>4829</v>
      </c>
      <c r="DYY1" s="16" t="s">
        <v>4830</v>
      </c>
      <c r="DYZ1" s="16" t="s">
        <v>4831</v>
      </c>
      <c r="DZA1" s="16" t="s">
        <v>4832</v>
      </c>
      <c r="DZB1" s="16" t="s">
        <v>4833</v>
      </c>
      <c r="DZC1" s="16" t="s">
        <v>4834</v>
      </c>
      <c r="DZD1" s="16" t="s">
        <v>4835</v>
      </c>
      <c r="DZE1" s="16" t="s">
        <v>4836</v>
      </c>
      <c r="DZF1" s="16" t="s">
        <v>4837</v>
      </c>
      <c r="DZG1" s="16" t="s">
        <v>4838</v>
      </c>
      <c r="DZH1" s="16" t="s">
        <v>4839</v>
      </c>
      <c r="DZI1" s="16" t="s">
        <v>4840</v>
      </c>
      <c r="DZJ1" s="16" t="s">
        <v>4841</v>
      </c>
      <c r="DZK1" s="16" t="s">
        <v>4842</v>
      </c>
      <c r="DZL1" s="16" t="s">
        <v>4843</v>
      </c>
      <c r="DZM1" s="16" t="s">
        <v>4844</v>
      </c>
      <c r="DZN1" s="16" t="s">
        <v>4845</v>
      </c>
      <c r="DZO1" s="16" t="s">
        <v>4846</v>
      </c>
      <c r="DZP1" s="16" t="s">
        <v>4847</v>
      </c>
      <c r="DZQ1" s="16" t="s">
        <v>4848</v>
      </c>
      <c r="DZR1" s="16" t="s">
        <v>4849</v>
      </c>
      <c r="DZS1" s="16" t="s">
        <v>4850</v>
      </c>
      <c r="DZT1" s="16" t="s">
        <v>4851</v>
      </c>
      <c r="DZU1" s="16" t="s">
        <v>4852</v>
      </c>
      <c r="DZV1" s="16" t="s">
        <v>4853</v>
      </c>
      <c r="DZW1" s="16" t="s">
        <v>4854</v>
      </c>
      <c r="DZX1" s="16" t="s">
        <v>4855</v>
      </c>
      <c r="DZY1" s="16" t="s">
        <v>4856</v>
      </c>
      <c r="DZZ1" s="16" t="s">
        <v>4857</v>
      </c>
      <c r="EAA1" s="16" t="s">
        <v>4858</v>
      </c>
      <c r="EAB1" s="16" t="s">
        <v>4859</v>
      </c>
      <c r="EAC1" s="16" t="s">
        <v>4860</v>
      </c>
      <c r="EAD1" s="16" t="s">
        <v>4861</v>
      </c>
      <c r="EAE1" s="16" t="s">
        <v>4862</v>
      </c>
      <c r="EAF1" s="16" t="s">
        <v>4863</v>
      </c>
      <c r="EAG1" s="16" t="s">
        <v>4864</v>
      </c>
      <c r="EAH1" s="16" t="s">
        <v>4865</v>
      </c>
      <c r="EAI1" s="16" t="s">
        <v>4866</v>
      </c>
      <c r="EAJ1" s="16" t="s">
        <v>4867</v>
      </c>
      <c r="EAK1" s="16" t="s">
        <v>4868</v>
      </c>
      <c r="EAL1" s="16" t="s">
        <v>4869</v>
      </c>
      <c r="EAM1" s="16" t="s">
        <v>4870</v>
      </c>
      <c r="EAN1" s="16" t="s">
        <v>4871</v>
      </c>
      <c r="EAO1" s="16" t="s">
        <v>4872</v>
      </c>
      <c r="EAP1" s="16" t="s">
        <v>4873</v>
      </c>
      <c r="EAQ1" s="16" t="s">
        <v>4874</v>
      </c>
      <c r="EAR1" s="16" t="s">
        <v>4875</v>
      </c>
      <c r="EAS1" s="16" t="s">
        <v>4876</v>
      </c>
      <c r="EAT1" s="16" t="s">
        <v>4877</v>
      </c>
      <c r="EAU1" s="16" t="s">
        <v>4878</v>
      </c>
      <c r="EAV1" s="16" t="s">
        <v>4879</v>
      </c>
      <c r="EAW1" s="16" t="s">
        <v>4880</v>
      </c>
      <c r="EAX1" s="16" t="s">
        <v>4881</v>
      </c>
      <c r="EAY1" s="16" t="s">
        <v>4882</v>
      </c>
      <c r="EAZ1" s="16" t="s">
        <v>4883</v>
      </c>
      <c r="EBA1" s="16" t="s">
        <v>4884</v>
      </c>
      <c r="EBB1" s="16" t="s">
        <v>4885</v>
      </c>
      <c r="EBC1" s="16" t="s">
        <v>4886</v>
      </c>
      <c r="EBD1" s="16" t="s">
        <v>4887</v>
      </c>
      <c r="EBE1" s="16" t="s">
        <v>4888</v>
      </c>
      <c r="EBF1" s="16" t="s">
        <v>4889</v>
      </c>
      <c r="EBG1" s="16" t="s">
        <v>4890</v>
      </c>
      <c r="EBH1" s="16" t="s">
        <v>4891</v>
      </c>
      <c r="EBI1" s="16" t="s">
        <v>4892</v>
      </c>
      <c r="EBJ1" s="16" t="s">
        <v>4893</v>
      </c>
      <c r="EBK1" s="16" t="s">
        <v>4894</v>
      </c>
      <c r="EBL1" s="16" t="s">
        <v>4895</v>
      </c>
      <c r="EBM1" s="16" t="s">
        <v>4896</v>
      </c>
      <c r="EBN1" s="16" t="s">
        <v>4897</v>
      </c>
      <c r="EBO1" s="16" t="s">
        <v>4898</v>
      </c>
      <c r="EBP1" s="16" t="s">
        <v>4899</v>
      </c>
      <c r="EBQ1" s="16" t="s">
        <v>4900</v>
      </c>
      <c r="EBR1" s="16" t="s">
        <v>4901</v>
      </c>
      <c r="EBS1" s="16" t="s">
        <v>4902</v>
      </c>
      <c r="EBT1" s="16" t="s">
        <v>4903</v>
      </c>
      <c r="EBU1" s="16" t="s">
        <v>4904</v>
      </c>
      <c r="EBV1" s="16" t="s">
        <v>4905</v>
      </c>
      <c r="EBW1" s="16" t="s">
        <v>4906</v>
      </c>
      <c r="EBX1" s="16" t="s">
        <v>4907</v>
      </c>
      <c r="EBY1" s="16" t="s">
        <v>4908</v>
      </c>
      <c r="EBZ1" s="16" t="s">
        <v>4909</v>
      </c>
      <c r="ECA1" s="16" t="s">
        <v>4910</v>
      </c>
      <c r="ECB1" s="16" t="s">
        <v>4911</v>
      </c>
      <c r="ECC1" s="16" t="s">
        <v>4912</v>
      </c>
      <c r="ECD1" s="16" t="s">
        <v>4913</v>
      </c>
      <c r="ECE1" s="16" t="s">
        <v>4914</v>
      </c>
      <c r="ECF1" s="16" t="s">
        <v>4915</v>
      </c>
      <c r="ECG1" s="16" t="s">
        <v>4916</v>
      </c>
      <c r="ECH1" s="16" t="s">
        <v>4917</v>
      </c>
      <c r="ECI1" s="16" t="s">
        <v>4918</v>
      </c>
      <c r="ECJ1" s="16" t="s">
        <v>4919</v>
      </c>
      <c r="ECK1" s="16" t="s">
        <v>4920</v>
      </c>
      <c r="ECL1" s="16" t="s">
        <v>4921</v>
      </c>
      <c r="ECM1" s="16" t="s">
        <v>4922</v>
      </c>
      <c r="ECN1" s="16" t="s">
        <v>4923</v>
      </c>
      <c r="ECO1" s="16" t="s">
        <v>4924</v>
      </c>
      <c r="ECP1" s="16" t="s">
        <v>4925</v>
      </c>
      <c r="ECQ1" s="16" t="s">
        <v>4926</v>
      </c>
      <c r="ECR1" s="16" t="s">
        <v>4927</v>
      </c>
      <c r="ECS1" s="16" t="s">
        <v>4928</v>
      </c>
      <c r="ECT1" s="16" t="s">
        <v>4929</v>
      </c>
      <c r="ECU1" s="16" t="s">
        <v>4930</v>
      </c>
      <c r="ECV1" s="16" t="s">
        <v>4931</v>
      </c>
      <c r="ECW1" s="16" t="s">
        <v>4932</v>
      </c>
      <c r="ECX1" s="16" t="s">
        <v>4933</v>
      </c>
      <c r="ECY1" s="16" t="s">
        <v>4934</v>
      </c>
      <c r="ECZ1" s="16" t="s">
        <v>4935</v>
      </c>
      <c r="EDA1" s="16" t="s">
        <v>4936</v>
      </c>
      <c r="EDB1" s="16" t="s">
        <v>4937</v>
      </c>
      <c r="EDC1" s="16" t="s">
        <v>4938</v>
      </c>
      <c r="EDD1" s="16" t="s">
        <v>4939</v>
      </c>
      <c r="EDE1" s="16" t="s">
        <v>4940</v>
      </c>
      <c r="EDF1" s="16" t="s">
        <v>4941</v>
      </c>
      <c r="EDG1" s="16" t="s">
        <v>4942</v>
      </c>
      <c r="EDH1" s="16" t="s">
        <v>4943</v>
      </c>
      <c r="EDI1" s="16" t="s">
        <v>4944</v>
      </c>
      <c r="EDJ1" s="16" t="s">
        <v>4945</v>
      </c>
      <c r="EDK1" s="16" t="s">
        <v>4946</v>
      </c>
      <c r="EDL1" s="16" t="s">
        <v>4947</v>
      </c>
      <c r="EDM1" s="16" t="s">
        <v>4948</v>
      </c>
      <c r="EDN1" s="16" t="s">
        <v>4949</v>
      </c>
      <c r="EDO1" s="16" t="s">
        <v>4950</v>
      </c>
      <c r="EDP1" s="16" t="s">
        <v>4951</v>
      </c>
      <c r="EDQ1" s="16" t="s">
        <v>4952</v>
      </c>
      <c r="EDR1" s="16" t="s">
        <v>4953</v>
      </c>
      <c r="EDS1" s="16" t="s">
        <v>4954</v>
      </c>
      <c r="EDT1" s="16" t="s">
        <v>4955</v>
      </c>
      <c r="EDU1" s="16" t="s">
        <v>4956</v>
      </c>
      <c r="EDV1" s="16" t="s">
        <v>4957</v>
      </c>
      <c r="EDW1" s="16" t="s">
        <v>4958</v>
      </c>
      <c r="EDX1" s="16" t="s">
        <v>4959</v>
      </c>
      <c r="EDY1" s="16" t="s">
        <v>4960</v>
      </c>
      <c r="EDZ1" s="16" t="s">
        <v>4961</v>
      </c>
      <c r="EEA1" s="16" t="s">
        <v>4962</v>
      </c>
      <c r="EEB1" s="16" t="s">
        <v>4963</v>
      </c>
      <c r="EEC1" s="16" t="s">
        <v>4964</v>
      </c>
      <c r="EED1" s="16" t="s">
        <v>4965</v>
      </c>
      <c r="EEE1" s="16" t="s">
        <v>4966</v>
      </c>
      <c r="EEF1" s="16" t="s">
        <v>4967</v>
      </c>
      <c r="EEG1" s="16" t="s">
        <v>4968</v>
      </c>
      <c r="EEH1" s="16" t="s">
        <v>4969</v>
      </c>
      <c r="EEI1" s="16" t="s">
        <v>4970</v>
      </c>
      <c r="EEJ1" s="16" t="s">
        <v>4971</v>
      </c>
      <c r="EEK1" s="16" t="s">
        <v>4972</v>
      </c>
      <c r="EEL1" s="16" t="s">
        <v>4973</v>
      </c>
      <c r="EEM1" s="16" t="s">
        <v>4974</v>
      </c>
      <c r="EEN1" s="16" t="s">
        <v>4975</v>
      </c>
      <c r="EEO1" s="16" t="s">
        <v>4976</v>
      </c>
      <c r="EEP1" s="16" t="s">
        <v>4977</v>
      </c>
      <c r="EEQ1" s="16" t="s">
        <v>4978</v>
      </c>
      <c r="EER1" s="16" t="s">
        <v>4979</v>
      </c>
      <c r="EES1" s="16" t="s">
        <v>4980</v>
      </c>
      <c r="EET1" s="16" t="s">
        <v>4981</v>
      </c>
      <c r="EEU1" s="16" t="s">
        <v>4982</v>
      </c>
      <c r="EEV1" s="16" t="s">
        <v>4983</v>
      </c>
      <c r="EEW1" s="16" t="s">
        <v>4984</v>
      </c>
      <c r="EEX1" s="16" t="s">
        <v>4985</v>
      </c>
      <c r="EEY1" s="16" t="s">
        <v>4986</v>
      </c>
      <c r="EEZ1" s="16" t="s">
        <v>4987</v>
      </c>
      <c r="EFA1" s="16" t="s">
        <v>4988</v>
      </c>
      <c r="EFB1" s="16" t="s">
        <v>4989</v>
      </c>
      <c r="EFC1" s="16" t="s">
        <v>4990</v>
      </c>
      <c r="EFD1" s="16" t="s">
        <v>4991</v>
      </c>
      <c r="EFE1" s="16" t="s">
        <v>4992</v>
      </c>
      <c r="EFF1" s="16" t="s">
        <v>4993</v>
      </c>
      <c r="EFG1" s="16" t="s">
        <v>4994</v>
      </c>
      <c r="EFH1" s="16" t="s">
        <v>4995</v>
      </c>
      <c r="EFI1" s="16" t="s">
        <v>4996</v>
      </c>
      <c r="EFJ1" s="16" t="s">
        <v>4997</v>
      </c>
      <c r="EFK1" s="16" t="s">
        <v>4998</v>
      </c>
      <c r="EFL1" s="16" t="s">
        <v>4999</v>
      </c>
      <c r="EFM1" s="16" t="s">
        <v>5000</v>
      </c>
      <c r="EFN1" s="16" t="s">
        <v>5001</v>
      </c>
      <c r="EFO1" s="16" t="s">
        <v>5002</v>
      </c>
      <c r="EFP1" s="16" t="s">
        <v>5003</v>
      </c>
      <c r="EFQ1" s="16" t="s">
        <v>5004</v>
      </c>
      <c r="EFR1" s="16" t="s">
        <v>5005</v>
      </c>
      <c r="EFS1" s="16" t="s">
        <v>5006</v>
      </c>
      <c r="EFT1" s="16" t="s">
        <v>5007</v>
      </c>
      <c r="EFU1" s="16" t="s">
        <v>5008</v>
      </c>
      <c r="EFV1" s="16" t="s">
        <v>5009</v>
      </c>
      <c r="EFW1" s="16" t="s">
        <v>5010</v>
      </c>
      <c r="EFX1" s="16" t="s">
        <v>5011</v>
      </c>
      <c r="EFY1" s="16" t="s">
        <v>5012</v>
      </c>
      <c r="EFZ1" s="16" t="s">
        <v>5013</v>
      </c>
      <c r="EGA1" s="16" t="s">
        <v>5014</v>
      </c>
      <c r="EGB1" s="16" t="s">
        <v>5015</v>
      </c>
      <c r="EGC1" s="16" t="s">
        <v>5016</v>
      </c>
      <c r="EGD1" s="16" t="s">
        <v>5017</v>
      </c>
      <c r="EGE1" s="16" t="s">
        <v>5018</v>
      </c>
      <c r="EGF1" s="16" t="s">
        <v>5019</v>
      </c>
      <c r="EGG1" s="16" t="s">
        <v>5020</v>
      </c>
      <c r="EGH1" s="16" t="s">
        <v>5021</v>
      </c>
      <c r="EGI1" s="16" t="s">
        <v>5022</v>
      </c>
      <c r="EGJ1" s="16" t="s">
        <v>5023</v>
      </c>
      <c r="EGK1" s="16" t="s">
        <v>5024</v>
      </c>
      <c r="EGL1" s="16" t="s">
        <v>5025</v>
      </c>
      <c r="EGM1" s="16" t="s">
        <v>5026</v>
      </c>
      <c r="EGN1" s="16" t="s">
        <v>5027</v>
      </c>
      <c r="EGO1" s="16" t="s">
        <v>5028</v>
      </c>
      <c r="EGP1" s="16" t="s">
        <v>5029</v>
      </c>
      <c r="EGQ1" s="16" t="s">
        <v>5030</v>
      </c>
      <c r="EGR1" s="16" t="s">
        <v>5031</v>
      </c>
      <c r="EGS1" s="16" t="s">
        <v>5032</v>
      </c>
      <c r="EGT1" s="16" t="s">
        <v>5033</v>
      </c>
      <c r="EGU1" s="16" t="s">
        <v>5034</v>
      </c>
      <c r="EGV1" s="16" t="s">
        <v>5035</v>
      </c>
      <c r="EGW1" s="16" t="s">
        <v>5036</v>
      </c>
      <c r="EGX1" s="16" t="s">
        <v>5037</v>
      </c>
      <c r="EGY1" s="16" t="s">
        <v>5038</v>
      </c>
      <c r="EGZ1" s="16" t="s">
        <v>5039</v>
      </c>
      <c r="EHA1" s="16" t="s">
        <v>5040</v>
      </c>
      <c r="EHB1" s="16" t="s">
        <v>5041</v>
      </c>
      <c r="EHC1" s="16" t="s">
        <v>5042</v>
      </c>
      <c r="EHD1" s="16" t="s">
        <v>5043</v>
      </c>
      <c r="EHE1" s="16" t="s">
        <v>5044</v>
      </c>
      <c r="EHF1" s="16" t="s">
        <v>5045</v>
      </c>
      <c r="EHG1" s="16" t="s">
        <v>5046</v>
      </c>
      <c r="EHH1" s="16" t="s">
        <v>5047</v>
      </c>
      <c r="EHI1" s="16" t="s">
        <v>5048</v>
      </c>
      <c r="EHJ1" s="16" t="s">
        <v>5049</v>
      </c>
      <c r="EHK1" s="16" t="s">
        <v>5050</v>
      </c>
      <c r="EHL1" s="16" t="s">
        <v>5051</v>
      </c>
      <c r="EHM1" s="16" t="s">
        <v>5052</v>
      </c>
      <c r="EHN1" s="16" t="s">
        <v>5053</v>
      </c>
      <c r="EHO1" s="16" t="s">
        <v>5054</v>
      </c>
      <c r="EHP1" s="16" t="s">
        <v>5055</v>
      </c>
      <c r="EHQ1" s="16" t="s">
        <v>5056</v>
      </c>
      <c r="EHR1" s="16" t="s">
        <v>5057</v>
      </c>
      <c r="EHS1" s="16" t="s">
        <v>5058</v>
      </c>
      <c r="EHT1" s="16" t="s">
        <v>5059</v>
      </c>
      <c r="EHU1" s="16" t="s">
        <v>5060</v>
      </c>
      <c r="EHV1" s="16" t="s">
        <v>5061</v>
      </c>
      <c r="EHW1" s="16" t="s">
        <v>5062</v>
      </c>
      <c r="EHX1" s="16" t="s">
        <v>5063</v>
      </c>
      <c r="EHY1" s="16" t="s">
        <v>5064</v>
      </c>
      <c r="EHZ1" s="16" t="s">
        <v>5065</v>
      </c>
      <c r="EIA1" s="16" t="s">
        <v>5066</v>
      </c>
      <c r="EIB1" s="16" t="s">
        <v>5067</v>
      </c>
      <c r="EIC1" s="16" t="s">
        <v>5068</v>
      </c>
      <c r="EID1" s="16" t="s">
        <v>5069</v>
      </c>
      <c r="EIE1" s="16" t="s">
        <v>5070</v>
      </c>
      <c r="EIF1" s="16" t="s">
        <v>5071</v>
      </c>
      <c r="EIG1" s="16" t="s">
        <v>5072</v>
      </c>
      <c r="EIH1" s="16" t="s">
        <v>5073</v>
      </c>
      <c r="EII1" s="16" t="s">
        <v>5074</v>
      </c>
      <c r="EIJ1" s="16" t="s">
        <v>5075</v>
      </c>
      <c r="EIK1" s="16" t="s">
        <v>5076</v>
      </c>
      <c r="EIL1" s="16" t="s">
        <v>5077</v>
      </c>
      <c r="EIM1" s="16" t="s">
        <v>5078</v>
      </c>
      <c r="EIN1" s="16" t="s">
        <v>5079</v>
      </c>
      <c r="EIO1" s="16" t="s">
        <v>5080</v>
      </c>
      <c r="EIP1" s="16" t="s">
        <v>5081</v>
      </c>
      <c r="EIQ1" s="16" t="s">
        <v>5082</v>
      </c>
      <c r="EIR1" s="16" t="s">
        <v>5083</v>
      </c>
      <c r="EIS1" s="16" t="s">
        <v>5084</v>
      </c>
      <c r="EIT1" s="16" t="s">
        <v>5085</v>
      </c>
      <c r="EIU1" s="16" t="s">
        <v>5086</v>
      </c>
      <c r="EIV1" s="16" t="s">
        <v>5087</v>
      </c>
      <c r="EIW1" s="16" t="s">
        <v>5088</v>
      </c>
      <c r="EIX1" s="16" t="s">
        <v>5089</v>
      </c>
      <c r="EIY1" s="16" t="s">
        <v>5090</v>
      </c>
      <c r="EIZ1" s="16" t="s">
        <v>5091</v>
      </c>
      <c r="EJA1" s="16" t="s">
        <v>5092</v>
      </c>
      <c r="EJB1" s="16" t="s">
        <v>5093</v>
      </c>
      <c r="EJC1" s="16" t="s">
        <v>5094</v>
      </c>
      <c r="EJD1" s="16" t="s">
        <v>5095</v>
      </c>
      <c r="EJE1" s="16" t="s">
        <v>5096</v>
      </c>
      <c r="EJF1" s="16" t="s">
        <v>5097</v>
      </c>
      <c r="EJG1" s="16" t="s">
        <v>5098</v>
      </c>
      <c r="EJH1" s="16" t="s">
        <v>5099</v>
      </c>
      <c r="EJI1" s="16" t="s">
        <v>5100</v>
      </c>
      <c r="EJJ1" s="16" t="s">
        <v>5101</v>
      </c>
      <c r="EJK1" s="16" t="s">
        <v>5102</v>
      </c>
      <c r="EJL1" s="16" t="s">
        <v>5103</v>
      </c>
      <c r="EJM1" s="16" t="s">
        <v>5104</v>
      </c>
      <c r="EJN1" s="16" t="s">
        <v>5105</v>
      </c>
      <c r="EJO1" s="16" t="s">
        <v>5106</v>
      </c>
      <c r="EJP1" s="16" t="s">
        <v>5107</v>
      </c>
      <c r="EJQ1" s="16" t="s">
        <v>5108</v>
      </c>
      <c r="EJR1" s="16" t="s">
        <v>5109</v>
      </c>
      <c r="EJS1" s="16" t="s">
        <v>5110</v>
      </c>
      <c r="EJT1" s="16" t="s">
        <v>5111</v>
      </c>
      <c r="EJU1" s="16" t="s">
        <v>5112</v>
      </c>
      <c r="EJV1" s="16" t="s">
        <v>5113</v>
      </c>
      <c r="EJW1" s="16" t="s">
        <v>5114</v>
      </c>
      <c r="EJX1" s="16" t="s">
        <v>5115</v>
      </c>
      <c r="EJY1" s="16" t="s">
        <v>5116</v>
      </c>
      <c r="EJZ1" s="16" t="s">
        <v>5117</v>
      </c>
      <c r="EKA1" s="16" t="s">
        <v>5118</v>
      </c>
      <c r="EKB1" s="16" t="s">
        <v>5119</v>
      </c>
      <c r="EKC1" s="16" t="s">
        <v>5120</v>
      </c>
      <c r="EKD1" s="16" t="s">
        <v>5121</v>
      </c>
      <c r="EKE1" s="16" t="s">
        <v>5122</v>
      </c>
      <c r="EKF1" s="16" t="s">
        <v>5123</v>
      </c>
      <c r="EKG1" s="16" t="s">
        <v>5124</v>
      </c>
      <c r="EKH1" s="16" t="s">
        <v>5125</v>
      </c>
      <c r="EKI1" s="16" t="s">
        <v>5126</v>
      </c>
      <c r="EKJ1" s="16" t="s">
        <v>5127</v>
      </c>
      <c r="EKK1" s="16" t="s">
        <v>5128</v>
      </c>
      <c r="EKL1" s="16" t="s">
        <v>5129</v>
      </c>
      <c r="EKM1" s="16" t="s">
        <v>5130</v>
      </c>
      <c r="EKN1" s="16" t="s">
        <v>5131</v>
      </c>
      <c r="EKO1" s="16" t="s">
        <v>5132</v>
      </c>
      <c r="EKP1" s="16" t="s">
        <v>5133</v>
      </c>
      <c r="EKQ1" s="16" t="s">
        <v>5134</v>
      </c>
      <c r="EKR1" s="16" t="s">
        <v>5135</v>
      </c>
      <c r="EKS1" s="16" t="s">
        <v>5136</v>
      </c>
      <c r="EKT1" s="16" t="s">
        <v>5137</v>
      </c>
      <c r="EKU1" s="16" t="s">
        <v>5138</v>
      </c>
      <c r="EKV1" s="16" t="s">
        <v>5139</v>
      </c>
      <c r="EKW1" s="16" t="s">
        <v>5140</v>
      </c>
      <c r="EKX1" s="16" t="s">
        <v>5141</v>
      </c>
      <c r="EKY1" s="16" t="s">
        <v>5142</v>
      </c>
      <c r="EKZ1" s="16" t="s">
        <v>5143</v>
      </c>
      <c r="ELA1" s="16" t="s">
        <v>5144</v>
      </c>
      <c r="ELB1" s="16" t="s">
        <v>5145</v>
      </c>
      <c r="ELC1" s="16" t="s">
        <v>5146</v>
      </c>
      <c r="ELD1" s="16" t="s">
        <v>5147</v>
      </c>
      <c r="ELE1" s="16" t="s">
        <v>5148</v>
      </c>
      <c r="ELF1" s="16" t="s">
        <v>5149</v>
      </c>
      <c r="ELG1" s="16" t="s">
        <v>5150</v>
      </c>
      <c r="ELH1" s="16" t="s">
        <v>5151</v>
      </c>
      <c r="ELI1" s="16" t="s">
        <v>5152</v>
      </c>
      <c r="ELJ1" s="16" t="s">
        <v>5153</v>
      </c>
      <c r="ELK1" s="16" t="s">
        <v>5154</v>
      </c>
      <c r="ELL1" s="16" t="s">
        <v>5155</v>
      </c>
      <c r="ELM1" s="16" t="s">
        <v>5156</v>
      </c>
      <c r="ELN1" s="16" t="s">
        <v>5157</v>
      </c>
      <c r="ELO1" s="16" t="s">
        <v>5158</v>
      </c>
      <c r="ELP1" s="16" t="s">
        <v>5159</v>
      </c>
      <c r="ELQ1" s="16" t="s">
        <v>5160</v>
      </c>
      <c r="ELR1" s="16" t="s">
        <v>5161</v>
      </c>
      <c r="ELS1" s="16" t="s">
        <v>5162</v>
      </c>
      <c r="ELT1" s="16" t="s">
        <v>5163</v>
      </c>
      <c r="ELU1" s="16" t="s">
        <v>5164</v>
      </c>
      <c r="ELV1" s="16" t="s">
        <v>5165</v>
      </c>
      <c r="ELW1" s="16" t="s">
        <v>5166</v>
      </c>
      <c r="ELX1" s="16" t="s">
        <v>5167</v>
      </c>
      <c r="ELY1" s="16" t="s">
        <v>5168</v>
      </c>
      <c r="ELZ1" s="16" t="s">
        <v>5169</v>
      </c>
      <c r="EMA1" s="16" t="s">
        <v>5170</v>
      </c>
      <c r="EMB1" s="16" t="s">
        <v>5171</v>
      </c>
      <c r="EMC1" s="16" t="s">
        <v>5172</v>
      </c>
      <c r="EMD1" s="16" t="s">
        <v>5173</v>
      </c>
      <c r="EME1" s="16" t="s">
        <v>5174</v>
      </c>
      <c r="EMF1" s="16" t="s">
        <v>5175</v>
      </c>
      <c r="EMG1" s="16" t="s">
        <v>5176</v>
      </c>
      <c r="EMH1" s="16" t="s">
        <v>5177</v>
      </c>
      <c r="EMI1" s="16" t="s">
        <v>5178</v>
      </c>
      <c r="EMJ1" s="16" t="s">
        <v>5179</v>
      </c>
      <c r="EMK1" s="16" t="s">
        <v>5180</v>
      </c>
      <c r="EML1" s="16" t="s">
        <v>5181</v>
      </c>
      <c r="EMM1" s="16" t="s">
        <v>5182</v>
      </c>
      <c r="EMN1" s="16" t="s">
        <v>5183</v>
      </c>
      <c r="EMO1" s="16" t="s">
        <v>5184</v>
      </c>
      <c r="EMP1" s="16" t="s">
        <v>5185</v>
      </c>
      <c r="EMQ1" s="16" t="s">
        <v>5186</v>
      </c>
      <c r="EMR1" s="16" t="s">
        <v>5187</v>
      </c>
      <c r="EMS1" s="16" t="s">
        <v>5188</v>
      </c>
      <c r="EMT1" s="16" t="s">
        <v>5189</v>
      </c>
      <c r="EMU1" s="16" t="s">
        <v>5190</v>
      </c>
      <c r="EMV1" s="16" t="s">
        <v>5191</v>
      </c>
      <c r="EMW1" s="16" t="s">
        <v>5192</v>
      </c>
      <c r="EMX1" s="16" t="s">
        <v>5193</v>
      </c>
      <c r="EMY1" s="16" t="s">
        <v>5194</v>
      </c>
      <c r="EMZ1" s="16" t="s">
        <v>5195</v>
      </c>
      <c r="ENA1" s="16" t="s">
        <v>5196</v>
      </c>
      <c r="ENB1" s="16" t="s">
        <v>5197</v>
      </c>
      <c r="ENC1" s="16" t="s">
        <v>5198</v>
      </c>
      <c r="END1" s="16" t="s">
        <v>5199</v>
      </c>
      <c r="ENE1" s="16" t="s">
        <v>5200</v>
      </c>
      <c r="ENF1" s="16" t="s">
        <v>5201</v>
      </c>
      <c r="ENG1" s="16" t="s">
        <v>5202</v>
      </c>
      <c r="ENH1" s="16" t="s">
        <v>5203</v>
      </c>
      <c r="ENI1" s="16" t="s">
        <v>5204</v>
      </c>
      <c r="ENJ1" s="16" t="s">
        <v>5205</v>
      </c>
      <c r="ENK1" s="16" t="s">
        <v>5206</v>
      </c>
      <c r="ENL1" s="16" t="s">
        <v>5207</v>
      </c>
      <c r="ENM1" s="16" t="s">
        <v>5208</v>
      </c>
      <c r="ENN1" s="16" t="s">
        <v>5209</v>
      </c>
      <c r="ENO1" s="16" t="s">
        <v>5210</v>
      </c>
      <c r="ENP1" s="16" t="s">
        <v>5211</v>
      </c>
      <c r="ENQ1" s="16" t="s">
        <v>5212</v>
      </c>
      <c r="ENR1" s="16" t="s">
        <v>5213</v>
      </c>
      <c r="ENS1" s="16" t="s">
        <v>5214</v>
      </c>
      <c r="ENT1" s="16" t="s">
        <v>5215</v>
      </c>
      <c r="ENU1" s="16" t="s">
        <v>5216</v>
      </c>
      <c r="ENV1" s="16" t="s">
        <v>5217</v>
      </c>
      <c r="ENW1" s="16" t="s">
        <v>5218</v>
      </c>
      <c r="ENX1" s="16" t="s">
        <v>5219</v>
      </c>
      <c r="ENY1" s="16" t="s">
        <v>5220</v>
      </c>
      <c r="ENZ1" s="16" t="s">
        <v>5221</v>
      </c>
      <c r="EOA1" s="16" t="s">
        <v>5222</v>
      </c>
      <c r="EOB1" s="16" t="s">
        <v>5223</v>
      </c>
      <c r="EOC1" s="16" t="s">
        <v>5224</v>
      </c>
      <c r="EOD1" s="16" t="s">
        <v>5225</v>
      </c>
      <c r="EOE1" s="16" t="s">
        <v>5226</v>
      </c>
      <c r="EOF1" s="16" t="s">
        <v>5227</v>
      </c>
      <c r="EOG1" s="16" t="s">
        <v>5228</v>
      </c>
      <c r="EOH1" s="16" t="s">
        <v>5229</v>
      </c>
      <c r="EOI1" s="16" t="s">
        <v>5230</v>
      </c>
      <c r="EOJ1" s="16" t="s">
        <v>5231</v>
      </c>
      <c r="EOK1" s="16" t="s">
        <v>5232</v>
      </c>
      <c r="EOL1" s="16" t="s">
        <v>5233</v>
      </c>
      <c r="EOM1" s="16" t="s">
        <v>5234</v>
      </c>
      <c r="EON1" s="16" t="s">
        <v>5235</v>
      </c>
      <c r="EOO1" s="16" t="s">
        <v>5236</v>
      </c>
      <c r="EOP1" s="16" t="s">
        <v>5237</v>
      </c>
      <c r="EOQ1" s="16" t="s">
        <v>5238</v>
      </c>
      <c r="EOR1" s="16" t="s">
        <v>5239</v>
      </c>
      <c r="EOS1" s="16" t="s">
        <v>5240</v>
      </c>
      <c r="EOT1" s="16" t="s">
        <v>5241</v>
      </c>
      <c r="EOU1" s="16" t="s">
        <v>5242</v>
      </c>
      <c r="EOV1" s="16" t="s">
        <v>5243</v>
      </c>
      <c r="EOW1" s="16" t="s">
        <v>5244</v>
      </c>
      <c r="EOX1" s="16" t="s">
        <v>5245</v>
      </c>
      <c r="EOY1" s="16" t="s">
        <v>5246</v>
      </c>
      <c r="EOZ1" s="16" t="s">
        <v>5247</v>
      </c>
      <c r="EPA1" s="16" t="s">
        <v>5248</v>
      </c>
      <c r="EPB1" s="16" t="s">
        <v>5249</v>
      </c>
      <c r="EPC1" s="16" t="s">
        <v>5250</v>
      </c>
      <c r="EPD1" s="16" t="s">
        <v>5251</v>
      </c>
      <c r="EPE1" s="16" t="s">
        <v>5252</v>
      </c>
      <c r="EPF1" s="16" t="s">
        <v>5253</v>
      </c>
      <c r="EPG1" s="16" t="s">
        <v>5254</v>
      </c>
      <c r="EPH1" s="16" t="s">
        <v>5255</v>
      </c>
      <c r="EPI1" s="16" t="s">
        <v>5256</v>
      </c>
      <c r="EPJ1" s="16" t="s">
        <v>5257</v>
      </c>
      <c r="EPK1" s="16" t="s">
        <v>5258</v>
      </c>
      <c r="EPL1" s="16" t="s">
        <v>5259</v>
      </c>
      <c r="EPM1" s="16" t="s">
        <v>5260</v>
      </c>
      <c r="EPN1" s="16" t="s">
        <v>5261</v>
      </c>
      <c r="EPO1" s="16" t="s">
        <v>5262</v>
      </c>
      <c r="EPP1" s="16" t="s">
        <v>5263</v>
      </c>
      <c r="EPQ1" s="16" t="s">
        <v>5264</v>
      </c>
      <c r="EPR1" s="16" t="s">
        <v>5265</v>
      </c>
      <c r="EPS1" s="16" t="s">
        <v>5266</v>
      </c>
      <c r="EPT1" s="16" t="s">
        <v>5267</v>
      </c>
      <c r="EPU1" s="16" t="s">
        <v>5268</v>
      </c>
      <c r="EPV1" s="16" t="s">
        <v>5269</v>
      </c>
      <c r="EPW1" s="16" t="s">
        <v>5270</v>
      </c>
      <c r="EPX1" s="16" t="s">
        <v>5271</v>
      </c>
      <c r="EPY1" s="16" t="s">
        <v>5272</v>
      </c>
      <c r="EPZ1" s="16" t="s">
        <v>5273</v>
      </c>
      <c r="EQA1" s="16" t="s">
        <v>5274</v>
      </c>
      <c r="EQB1" s="16" t="s">
        <v>5275</v>
      </c>
      <c r="EQC1" s="16" t="s">
        <v>5276</v>
      </c>
      <c r="EQD1" s="16" t="s">
        <v>5277</v>
      </c>
      <c r="EQE1" s="16" t="s">
        <v>5278</v>
      </c>
      <c r="EQF1" s="16" t="s">
        <v>5279</v>
      </c>
      <c r="EQG1" s="16" t="s">
        <v>5280</v>
      </c>
      <c r="EQH1" s="16" t="s">
        <v>5281</v>
      </c>
      <c r="EQI1" s="16" t="s">
        <v>5282</v>
      </c>
      <c r="EQJ1" s="16" t="s">
        <v>5283</v>
      </c>
      <c r="EQK1" s="16" t="s">
        <v>5284</v>
      </c>
      <c r="EQL1" s="16" t="s">
        <v>5285</v>
      </c>
      <c r="EQM1" s="16" t="s">
        <v>5286</v>
      </c>
      <c r="EQN1" s="16" t="s">
        <v>5287</v>
      </c>
      <c r="EQO1" s="16" t="s">
        <v>5288</v>
      </c>
      <c r="EQP1" s="16" t="s">
        <v>5289</v>
      </c>
      <c r="EQQ1" s="16" t="s">
        <v>5290</v>
      </c>
      <c r="EQR1" s="16" t="s">
        <v>5291</v>
      </c>
      <c r="EQS1" s="16" t="s">
        <v>5292</v>
      </c>
      <c r="EQT1" s="16" t="s">
        <v>5293</v>
      </c>
      <c r="EQU1" s="16" t="s">
        <v>5294</v>
      </c>
      <c r="EQV1" s="16" t="s">
        <v>5295</v>
      </c>
      <c r="EQW1" s="16" t="s">
        <v>5296</v>
      </c>
      <c r="EQX1" s="16" t="s">
        <v>5297</v>
      </c>
      <c r="EQY1" s="16" t="s">
        <v>5298</v>
      </c>
      <c r="EQZ1" s="16" t="s">
        <v>5299</v>
      </c>
      <c r="ERA1" s="16" t="s">
        <v>5300</v>
      </c>
      <c r="ERB1" s="16" t="s">
        <v>5301</v>
      </c>
      <c r="ERC1" s="16" t="s">
        <v>5302</v>
      </c>
      <c r="ERD1" s="16" t="s">
        <v>5303</v>
      </c>
      <c r="ERE1" s="16" t="s">
        <v>5304</v>
      </c>
      <c r="ERF1" s="16" t="s">
        <v>5305</v>
      </c>
      <c r="ERG1" s="16" t="s">
        <v>5306</v>
      </c>
      <c r="ERH1" s="16" t="s">
        <v>5307</v>
      </c>
      <c r="ERI1" s="16" t="s">
        <v>5308</v>
      </c>
      <c r="ERJ1" s="16" t="s">
        <v>5309</v>
      </c>
      <c r="ERK1" s="16" t="s">
        <v>5310</v>
      </c>
      <c r="ERL1" s="16" t="s">
        <v>5311</v>
      </c>
      <c r="ERM1" s="16" t="s">
        <v>5312</v>
      </c>
      <c r="ERN1" s="16" t="s">
        <v>5313</v>
      </c>
      <c r="ERO1" s="16" t="s">
        <v>5314</v>
      </c>
      <c r="ERP1" s="16" t="s">
        <v>5315</v>
      </c>
      <c r="ERQ1" s="16" t="s">
        <v>5316</v>
      </c>
      <c r="ERR1" s="16" t="s">
        <v>5317</v>
      </c>
      <c r="ERS1" s="16" t="s">
        <v>5318</v>
      </c>
      <c r="ERT1" s="16" t="s">
        <v>5319</v>
      </c>
      <c r="ERU1" s="16" t="s">
        <v>5320</v>
      </c>
      <c r="ERV1" s="16" t="s">
        <v>5321</v>
      </c>
      <c r="ERW1" s="16" t="s">
        <v>5322</v>
      </c>
      <c r="ERX1" s="16" t="s">
        <v>5323</v>
      </c>
      <c r="ERY1" s="16" t="s">
        <v>5324</v>
      </c>
      <c r="ERZ1" s="16" t="s">
        <v>5325</v>
      </c>
      <c r="ESA1" s="16" t="s">
        <v>5326</v>
      </c>
      <c r="ESB1" s="16" t="s">
        <v>5327</v>
      </c>
      <c r="ESC1" s="16" t="s">
        <v>5328</v>
      </c>
      <c r="ESD1" s="16" t="s">
        <v>5329</v>
      </c>
      <c r="ESE1" s="16" t="s">
        <v>5330</v>
      </c>
      <c r="ESF1" s="16" t="s">
        <v>5331</v>
      </c>
      <c r="ESG1" s="16" t="s">
        <v>5332</v>
      </c>
      <c r="ESH1" s="16" t="s">
        <v>5333</v>
      </c>
      <c r="ESI1" s="16" t="s">
        <v>5334</v>
      </c>
      <c r="ESJ1" s="16" t="s">
        <v>5335</v>
      </c>
      <c r="ESK1" s="16" t="s">
        <v>5336</v>
      </c>
      <c r="ESL1" s="16" t="s">
        <v>5337</v>
      </c>
      <c r="ESM1" s="16" t="s">
        <v>5338</v>
      </c>
      <c r="ESN1" s="16" t="s">
        <v>5339</v>
      </c>
      <c r="ESO1" s="16" t="s">
        <v>5340</v>
      </c>
      <c r="ESP1" s="16" t="s">
        <v>5341</v>
      </c>
      <c r="ESQ1" s="16" t="s">
        <v>5342</v>
      </c>
      <c r="ESR1" s="16" t="s">
        <v>5343</v>
      </c>
      <c r="ESS1" s="16" t="s">
        <v>5344</v>
      </c>
      <c r="EST1" s="16" t="s">
        <v>5345</v>
      </c>
      <c r="ESU1" s="16" t="s">
        <v>5346</v>
      </c>
      <c r="ESV1" s="16" t="s">
        <v>5347</v>
      </c>
      <c r="ESW1" s="16" t="s">
        <v>5348</v>
      </c>
      <c r="ESX1" s="16" t="s">
        <v>5349</v>
      </c>
      <c r="ESY1" s="16" t="s">
        <v>5350</v>
      </c>
      <c r="ESZ1" s="16" t="s">
        <v>5351</v>
      </c>
      <c r="ETA1" s="16" t="s">
        <v>5352</v>
      </c>
      <c r="ETB1" s="16" t="s">
        <v>5353</v>
      </c>
      <c r="ETC1" s="16" t="s">
        <v>5354</v>
      </c>
      <c r="ETD1" s="16" t="s">
        <v>5355</v>
      </c>
      <c r="ETE1" s="16" t="s">
        <v>5356</v>
      </c>
      <c r="ETF1" s="16" t="s">
        <v>5357</v>
      </c>
      <c r="ETG1" s="16" t="s">
        <v>5358</v>
      </c>
      <c r="ETH1" s="16" t="s">
        <v>5359</v>
      </c>
      <c r="ETI1" s="16" t="s">
        <v>5360</v>
      </c>
      <c r="ETJ1" s="16" t="s">
        <v>5361</v>
      </c>
      <c r="ETK1" s="16" t="s">
        <v>5362</v>
      </c>
      <c r="ETL1" s="16" t="s">
        <v>5363</v>
      </c>
      <c r="ETM1" s="16" t="s">
        <v>5364</v>
      </c>
      <c r="ETN1" s="16" t="s">
        <v>5365</v>
      </c>
      <c r="ETO1" s="16" t="s">
        <v>5366</v>
      </c>
      <c r="ETP1" s="16" t="s">
        <v>5367</v>
      </c>
      <c r="ETQ1" s="16" t="s">
        <v>5368</v>
      </c>
      <c r="ETR1" s="16" t="s">
        <v>5369</v>
      </c>
      <c r="ETS1" s="16" t="s">
        <v>5370</v>
      </c>
      <c r="ETT1" s="16" t="s">
        <v>5371</v>
      </c>
      <c r="ETU1" s="16" t="s">
        <v>5372</v>
      </c>
      <c r="ETV1" s="16" t="s">
        <v>5373</v>
      </c>
      <c r="ETW1" s="16" t="s">
        <v>5374</v>
      </c>
      <c r="ETX1" s="16" t="s">
        <v>5375</v>
      </c>
      <c r="ETY1" s="16" t="s">
        <v>5376</v>
      </c>
      <c r="ETZ1" s="16" t="s">
        <v>5377</v>
      </c>
      <c r="EUA1" s="16" t="s">
        <v>5378</v>
      </c>
      <c r="EUB1" s="16" t="s">
        <v>5379</v>
      </c>
      <c r="EUC1" s="16" t="s">
        <v>5380</v>
      </c>
      <c r="EUD1" s="16" t="s">
        <v>5381</v>
      </c>
      <c r="EUE1" s="16" t="s">
        <v>5382</v>
      </c>
      <c r="EUF1" s="16" t="s">
        <v>5383</v>
      </c>
      <c r="EUG1" s="16" t="s">
        <v>5384</v>
      </c>
      <c r="EUH1" s="16" t="s">
        <v>5385</v>
      </c>
      <c r="EUI1" s="16" t="s">
        <v>5386</v>
      </c>
      <c r="EUJ1" s="16" t="s">
        <v>5387</v>
      </c>
      <c r="EUK1" s="16" t="s">
        <v>5388</v>
      </c>
      <c r="EUL1" s="16" t="s">
        <v>5389</v>
      </c>
      <c r="EUM1" s="16" t="s">
        <v>5390</v>
      </c>
      <c r="EUN1" s="16" t="s">
        <v>5391</v>
      </c>
      <c r="EUO1" s="16" t="s">
        <v>5392</v>
      </c>
      <c r="EUP1" s="16" t="s">
        <v>5393</v>
      </c>
      <c r="EUQ1" s="16" t="s">
        <v>5394</v>
      </c>
      <c r="EUR1" s="16" t="s">
        <v>5395</v>
      </c>
      <c r="EUS1" s="16" t="s">
        <v>5396</v>
      </c>
      <c r="EUT1" s="16" t="s">
        <v>5397</v>
      </c>
      <c r="EUU1" s="16" t="s">
        <v>5398</v>
      </c>
      <c r="EUV1" s="16" t="s">
        <v>5399</v>
      </c>
      <c r="EUW1" s="16" t="s">
        <v>5400</v>
      </c>
      <c r="EUX1" s="16" t="s">
        <v>5401</v>
      </c>
      <c r="EUY1" s="16" t="s">
        <v>5402</v>
      </c>
      <c r="EUZ1" s="16" t="s">
        <v>5403</v>
      </c>
      <c r="EVA1" s="16" t="s">
        <v>5404</v>
      </c>
      <c r="EVB1" s="16" t="s">
        <v>5405</v>
      </c>
      <c r="EVC1" s="16" t="s">
        <v>5406</v>
      </c>
      <c r="EVD1" s="16" t="s">
        <v>5407</v>
      </c>
      <c r="EVE1" s="16" t="s">
        <v>5408</v>
      </c>
      <c r="EVF1" s="16" t="s">
        <v>5409</v>
      </c>
      <c r="EVG1" s="16" t="s">
        <v>5410</v>
      </c>
      <c r="EVH1" s="16" t="s">
        <v>5411</v>
      </c>
      <c r="EVI1" s="16" t="s">
        <v>5412</v>
      </c>
      <c r="EVJ1" s="16" t="s">
        <v>5413</v>
      </c>
      <c r="EVK1" s="16" t="s">
        <v>5414</v>
      </c>
      <c r="EVL1" s="16" t="s">
        <v>5415</v>
      </c>
      <c r="EVM1" s="16" t="s">
        <v>5416</v>
      </c>
      <c r="EVN1" s="16" t="s">
        <v>5417</v>
      </c>
      <c r="EVO1" s="16" t="s">
        <v>5418</v>
      </c>
      <c r="EVP1" s="16" t="s">
        <v>5419</v>
      </c>
      <c r="EVQ1" s="16" t="s">
        <v>5420</v>
      </c>
      <c r="EVR1" s="16" t="s">
        <v>5421</v>
      </c>
      <c r="EVS1" s="16" t="s">
        <v>5422</v>
      </c>
      <c r="EVT1" s="16" t="s">
        <v>5423</v>
      </c>
      <c r="EVU1" s="16" t="s">
        <v>5424</v>
      </c>
      <c r="EVV1" s="16" t="s">
        <v>5425</v>
      </c>
      <c r="EVW1" s="16" t="s">
        <v>5426</v>
      </c>
      <c r="EVX1" s="16" t="s">
        <v>5427</v>
      </c>
      <c r="EVY1" s="16" t="s">
        <v>5428</v>
      </c>
      <c r="EVZ1" s="16" t="s">
        <v>5429</v>
      </c>
      <c r="EWA1" s="16" t="s">
        <v>5430</v>
      </c>
      <c r="EWB1" s="16" t="s">
        <v>5431</v>
      </c>
      <c r="EWC1" s="16" t="s">
        <v>5432</v>
      </c>
      <c r="EWD1" s="16" t="s">
        <v>5433</v>
      </c>
      <c r="EWE1" s="16" t="s">
        <v>5434</v>
      </c>
      <c r="EWF1" s="16" t="s">
        <v>5435</v>
      </c>
      <c r="EWG1" s="16" t="s">
        <v>5436</v>
      </c>
      <c r="EWH1" s="16" t="s">
        <v>5437</v>
      </c>
      <c r="EWI1" s="16" t="s">
        <v>5438</v>
      </c>
      <c r="EWJ1" s="16" t="s">
        <v>5439</v>
      </c>
      <c r="EWK1" s="16" t="s">
        <v>5440</v>
      </c>
      <c r="EWL1" s="16" t="s">
        <v>5441</v>
      </c>
      <c r="EWM1" s="16" t="s">
        <v>5442</v>
      </c>
      <c r="EWN1" s="16" t="s">
        <v>5443</v>
      </c>
      <c r="EWO1" s="16" t="s">
        <v>5444</v>
      </c>
      <c r="EWP1" s="16" t="s">
        <v>5445</v>
      </c>
      <c r="EWQ1" s="16" t="s">
        <v>5446</v>
      </c>
      <c r="EWR1" s="16" t="s">
        <v>5447</v>
      </c>
      <c r="EWS1" s="16" t="s">
        <v>5448</v>
      </c>
      <c r="EWT1" s="16" t="s">
        <v>5449</v>
      </c>
      <c r="EWU1" s="16" t="s">
        <v>5450</v>
      </c>
      <c r="EWV1" s="16" t="s">
        <v>5451</v>
      </c>
      <c r="EWW1" s="16" t="s">
        <v>5452</v>
      </c>
      <c r="EWX1" s="16" t="s">
        <v>5453</v>
      </c>
      <c r="EWY1" s="16" t="s">
        <v>5454</v>
      </c>
      <c r="EWZ1" s="16" t="s">
        <v>5455</v>
      </c>
      <c r="EXA1" s="16" t="s">
        <v>5456</v>
      </c>
      <c r="EXB1" s="16" t="s">
        <v>5457</v>
      </c>
      <c r="EXC1" s="16" t="s">
        <v>5458</v>
      </c>
      <c r="EXD1" s="16" t="s">
        <v>5459</v>
      </c>
      <c r="EXE1" s="16" t="s">
        <v>5460</v>
      </c>
      <c r="EXF1" s="16" t="s">
        <v>5461</v>
      </c>
      <c r="EXG1" s="16" t="s">
        <v>5462</v>
      </c>
      <c r="EXH1" s="16" t="s">
        <v>5463</v>
      </c>
      <c r="EXI1" s="16" t="s">
        <v>5464</v>
      </c>
      <c r="EXJ1" s="16" t="s">
        <v>5465</v>
      </c>
      <c r="EXK1" s="16" t="s">
        <v>5466</v>
      </c>
      <c r="EXL1" s="16" t="s">
        <v>5467</v>
      </c>
      <c r="EXM1" s="16" t="s">
        <v>5468</v>
      </c>
      <c r="EXN1" s="16" t="s">
        <v>5469</v>
      </c>
      <c r="EXO1" s="16" t="s">
        <v>5470</v>
      </c>
      <c r="EXP1" s="16" t="s">
        <v>5471</v>
      </c>
      <c r="EXQ1" s="16" t="s">
        <v>5472</v>
      </c>
      <c r="EXR1" s="16" t="s">
        <v>5473</v>
      </c>
      <c r="EXS1" s="16" t="s">
        <v>5474</v>
      </c>
      <c r="EXT1" s="16" t="s">
        <v>5475</v>
      </c>
      <c r="EXU1" s="16" t="s">
        <v>5476</v>
      </c>
      <c r="EXV1" s="16" t="s">
        <v>5477</v>
      </c>
      <c r="EXW1" s="16" t="s">
        <v>5478</v>
      </c>
      <c r="EXX1" s="16" t="s">
        <v>5479</v>
      </c>
      <c r="EXY1" s="16" t="s">
        <v>5480</v>
      </c>
      <c r="EXZ1" s="16" t="s">
        <v>5481</v>
      </c>
      <c r="EYA1" s="16" t="s">
        <v>5482</v>
      </c>
      <c r="EYB1" s="16" t="s">
        <v>5483</v>
      </c>
      <c r="EYC1" s="16" t="s">
        <v>5484</v>
      </c>
      <c r="EYD1" s="16" t="s">
        <v>5485</v>
      </c>
      <c r="EYE1" s="16" t="s">
        <v>5486</v>
      </c>
      <c r="EYF1" s="16" t="s">
        <v>5487</v>
      </c>
      <c r="EYG1" s="16" t="s">
        <v>5488</v>
      </c>
      <c r="EYH1" s="16" t="s">
        <v>5489</v>
      </c>
      <c r="EYI1" s="16" t="s">
        <v>5490</v>
      </c>
      <c r="EYJ1" s="16" t="s">
        <v>5491</v>
      </c>
      <c r="EYK1" s="16" t="s">
        <v>5492</v>
      </c>
      <c r="EYL1" s="16" t="s">
        <v>5493</v>
      </c>
      <c r="EYM1" s="16" t="s">
        <v>5494</v>
      </c>
      <c r="EYN1" s="16" t="s">
        <v>5495</v>
      </c>
      <c r="EYO1" s="16" t="s">
        <v>5496</v>
      </c>
      <c r="EYP1" s="16" t="s">
        <v>5497</v>
      </c>
      <c r="EYQ1" s="16" t="s">
        <v>5498</v>
      </c>
      <c r="EYR1" s="16" t="s">
        <v>5499</v>
      </c>
      <c r="EYS1" s="16" t="s">
        <v>5500</v>
      </c>
      <c r="EYT1" s="16" t="s">
        <v>5501</v>
      </c>
      <c r="EYU1" s="16" t="s">
        <v>5502</v>
      </c>
      <c r="EYV1" s="16" t="s">
        <v>5503</v>
      </c>
      <c r="EYW1" s="16" t="s">
        <v>5504</v>
      </c>
      <c r="EYX1" s="16" t="s">
        <v>5505</v>
      </c>
      <c r="EYY1" s="16" t="s">
        <v>5506</v>
      </c>
      <c r="EYZ1" s="16" t="s">
        <v>5507</v>
      </c>
      <c r="EZA1" s="16" t="s">
        <v>5508</v>
      </c>
      <c r="EZB1" s="16" t="s">
        <v>5509</v>
      </c>
      <c r="EZC1" s="16" t="s">
        <v>5510</v>
      </c>
      <c r="EZD1" s="16" t="s">
        <v>5511</v>
      </c>
      <c r="EZE1" s="16" t="s">
        <v>5512</v>
      </c>
      <c r="EZF1" s="16" t="s">
        <v>5513</v>
      </c>
      <c r="EZG1" s="16" t="s">
        <v>5514</v>
      </c>
      <c r="EZH1" s="16" t="s">
        <v>5515</v>
      </c>
      <c r="EZI1" s="16" t="s">
        <v>5516</v>
      </c>
      <c r="EZJ1" s="16" t="s">
        <v>5517</v>
      </c>
      <c r="EZK1" s="16" t="s">
        <v>5518</v>
      </c>
      <c r="EZL1" s="16" t="s">
        <v>5519</v>
      </c>
      <c r="EZM1" s="16" t="s">
        <v>5520</v>
      </c>
      <c r="EZN1" s="16" t="s">
        <v>5521</v>
      </c>
      <c r="EZO1" s="16" t="s">
        <v>5522</v>
      </c>
      <c r="EZP1" s="16" t="s">
        <v>5523</v>
      </c>
      <c r="EZQ1" s="16" t="s">
        <v>5524</v>
      </c>
      <c r="EZR1" s="16" t="s">
        <v>5525</v>
      </c>
      <c r="EZS1" s="16" t="s">
        <v>5526</v>
      </c>
      <c r="EZT1" s="16" t="s">
        <v>5527</v>
      </c>
      <c r="EZU1" s="16" t="s">
        <v>5528</v>
      </c>
      <c r="EZV1" s="16" t="s">
        <v>5529</v>
      </c>
      <c r="EZW1" s="16" t="s">
        <v>5530</v>
      </c>
      <c r="EZX1" s="16" t="s">
        <v>5531</v>
      </c>
      <c r="EZY1" s="16" t="s">
        <v>5532</v>
      </c>
      <c r="EZZ1" s="16" t="s">
        <v>5533</v>
      </c>
      <c r="FAA1" s="16" t="s">
        <v>5534</v>
      </c>
      <c r="FAB1" s="16" t="s">
        <v>5535</v>
      </c>
      <c r="FAC1" s="16" t="s">
        <v>5536</v>
      </c>
      <c r="FAD1" s="16" t="s">
        <v>5537</v>
      </c>
      <c r="FAE1" s="16" t="s">
        <v>5538</v>
      </c>
      <c r="FAF1" s="16" t="s">
        <v>5539</v>
      </c>
      <c r="FAG1" s="16" t="s">
        <v>5540</v>
      </c>
      <c r="FAH1" s="16" t="s">
        <v>5541</v>
      </c>
      <c r="FAI1" s="16" t="s">
        <v>5542</v>
      </c>
      <c r="FAJ1" s="16" t="s">
        <v>5543</v>
      </c>
      <c r="FAK1" s="16" t="s">
        <v>5544</v>
      </c>
      <c r="FAL1" s="16" t="s">
        <v>5545</v>
      </c>
      <c r="FAM1" s="16" t="s">
        <v>5546</v>
      </c>
      <c r="FAN1" s="16" t="s">
        <v>5547</v>
      </c>
      <c r="FAO1" s="16" t="s">
        <v>5548</v>
      </c>
      <c r="FAP1" s="16" t="s">
        <v>5549</v>
      </c>
      <c r="FAQ1" s="16" t="s">
        <v>5550</v>
      </c>
      <c r="FAR1" s="16" t="s">
        <v>5551</v>
      </c>
      <c r="FAS1" s="16" t="s">
        <v>5552</v>
      </c>
      <c r="FAT1" s="16" t="s">
        <v>5553</v>
      </c>
      <c r="FAU1" s="16" t="s">
        <v>5554</v>
      </c>
      <c r="FAV1" s="16" t="s">
        <v>5555</v>
      </c>
      <c r="FAW1" s="16" t="s">
        <v>5556</v>
      </c>
      <c r="FAX1" s="16" t="s">
        <v>5557</v>
      </c>
      <c r="FAY1" s="16" t="s">
        <v>5558</v>
      </c>
      <c r="FAZ1" s="16" t="s">
        <v>5559</v>
      </c>
      <c r="FBA1" s="16" t="s">
        <v>5560</v>
      </c>
      <c r="FBB1" s="16" t="s">
        <v>5561</v>
      </c>
      <c r="FBC1" s="16" t="s">
        <v>5562</v>
      </c>
      <c r="FBD1" s="16" t="s">
        <v>5563</v>
      </c>
      <c r="FBE1" s="16" t="s">
        <v>5564</v>
      </c>
      <c r="FBF1" s="16" t="s">
        <v>5565</v>
      </c>
      <c r="FBG1" s="16" t="s">
        <v>5566</v>
      </c>
      <c r="FBH1" s="16" t="s">
        <v>5567</v>
      </c>
      <c r="FBI1" s="16" t="s">
        <v>5568</v>
      </c>
      <c r="FBJ1" s="16" t="s">
        <v>5569</v>
      </c>
      <c r="FBK1" s="16" t="s">
        <v>5570</v>
      </c>
      <c r="FBL1" s="16" t="s">
        <v>5571</v>
      </c>
      <c r="FBM1" s="16" t="s">
        <v>5572</v>
      </c>
      <c r="FBN1" s="16" t="s">
        <v>5573</v>
      </c>
      <c r="FBO1" s="16" t="s">
        <v>5574</v>
      </c>
      <c r="FBP1" s="16" t="s">
        <v>5575</v>
      </c>
      <c r="FBQ1" s="16" t="s">
        <v>5576</v>
      </c>
      <c r="FBR1" s="16" t="s">
        <v>5577</v>
      </c>
      <c r="FBS1" s="16" t="s">
        <v>5578</v>
      </c>
      <c r="FBT1" s="16" t="s">
        <v>5579</v>
      </c>
      <c r="FBU1" s="16" t="s">
        <v>5580</v>
      </c>
      <c r="FBV1" s="16" t="s">
        <v>5581</v>
      </c>
      <c r="FBW1" s="16" t="s">
        <v>5582</v>
      </c>
      <c r="FBX1" s="16" t="s">
        <v>5583</v>
      </c>
      <c r="FBY1" s="16" t="s">
        <v>5584</v>
      </c>
      <c r="FBZ1" s="16" t="s">
        <v>5585</v>
      </c>
      <c r="FCA1" s="16" t="s">
        <v>5586</v>
      </c>
      <c r="FCB1" s="16" t="s">
        <v>5587</v>
      </c>
      <c r="FCC1" s="16" t="s">
        <v>5588</v>
      </c>
      <c r="FCD1" s="16" t="s">
        <v>5589</v>
      </c>
      <c r="FCE1" s="16" t="s">
        <v>5590</v>
      </c>
      <c r="FCF1" s="16" t="s">
        <v>5591</v>
      </c>
      <c r="FCG1" s="16" t="s">
        <v>5592</v>
      </c>
      <c r="FCH1" s="16" t="s">
        <v>5593</v>
      </c>
      <c r="FCI1" s="16" t="s">
        <v>5594</v>
      </c>
      <c r="FCJ1" s="16" t="s">
        <v>5595</v>
      </c>
      <c r="FCK1" s="16" t="s">
        <v>5596</v>
      </c>
      <c r="FCL1" s="16" t="s">
        <v>5597</v>
      </c>
      <c r="FCM1" s="16" t="s">
        <v>5598</v>
      </c>
      <c r="FCN1" s="16" t="s">
        <v>5599</v>
      </c>
      <c r="FCO1" s="16" t="s">
        <v>5600</v>
      </c>
      <c r="FCP1" s="16" t="s">
        <v>5601</v>
      </c>
      <c r="FCQ1" s="16" t="s">
        <v>5602</v>
      </c>
      <c r="FCR1" s="16" t="s">
        <v>5603</v>
      </c>
      <c r="FCS1" s="16" t="s">
        <v>5604</v>
      </c>
      <c r="FCT1" s="16" t="s">
        <v>5605</v>
      </c>
      <c r="FCU1" s="16" t="s">
        <v>5606</v>
      </c>
      <c r="FCV1" s="16" t="s">
        <v>5607</v>
      </c>
      <c r="FCW1" s="16" t="s">
        <v>5608</v>
      </c>
      <c r="FCX1" s="16" t="s">
        <v>5609</v>
      </c>
      <c r="FCY1" s="16" t="s">
        <v>5610</v>
      </c>
      <c r="FCZ1" s="16" t="s">
        <v>5611</v>
      </c>
      <c r="FDA1" s="16" t="s">
        <v>5612</v>
      </c>
      <c r="FDB1" s="16" t="s">
        <v>5613</v>
      </c>
      <c r="FDC1" s="16" t="s">
        <v>5614</v>
      </c>
      <c r="FDD1" s="16" t="s">
        <v>5615</v>
      </c>
      <c r="FDE1" s="16" t="s">
        <v>5616</v>
      </c>
      <c r="FDF1" s="16" t="s">
        <v>5617</v>
      </c>
      <c r="FDG1" s="16" t="s">
        <v>5618</v>
      </c>
      <c r="FDH1" s="16" t="s">
        <v>5619</v>
      </c>
      <c r="FDI1" s="16" t="s">
        <v>5620</v>
      </c>
      <c r="FDJ1" s="16" t="s">
        <v>5621</v>
      </c>
      <c r="FDK1" s="16" t="s">
        <v>5622</v>
      </c>
      <c r="FDL1" s="16" t="s">
        <v>5623</v>
      </c>
      <c r="FDM1" s="16" t="s">
        <v>5624</v>
      </c>
      <c r="FDN1" s="16" t="s">
        <v>5625</v>
      </c>
      <c r="FDO1" s="16" t="s">
        <v>5626</v>
      </c>
      <c r="FDP1" s="16" t="s">
        <v>5627</v>
      </c>
      <c r="FDQ1" s="16" t="s">
        <v>5628</v>
      </c>
      <c r="FDR1" s="16" t="s">
        <v>5629</v>
      </c>
      <c r="FDS1" s="16" t="s">
        <v>5630</v>
      </c>
      <c r="FDT1" s="16" t="s">
        <v>5631</v>
      </c>
      <c r="FDU1" s="16" t="s">
        <v>5632</v>
      </c>
      <c r="FDV1" s="16" t="s">
        <v>5633</v>
      </c>
      <c r="FDW1" s="16" t="s">
        <v>5634</v>
      </c>
      <c r="FDX1" s="16" t="s">
        <v>5635</v>
      </c>
      <c r="FDY1" s="16" t="s">
        <v>5636</v>
      </c>
      <c r="FDZ1" s="16" t="s">
        <v>5637</v>
      </c>
      <c r="FEA1" s="16" t="s">
        <v>5638</v>
      </c>
      <c r="FEB1" s="16" t="s">
        <v>5639</v>
      </c>
      <c r="FEC1" s="16" t="s">
        <v>5640</v>
      </c>
      <c r="FED1" s="16" t="s">
        <v>5641</v>
      </c>
      <c r="FEE1" s="16" t="s">
        <v>5642</v>
      </c>
      <c r="FEF1" s="16" t="s">
        <v>5643</v>
      </c>
      <c r="FEG1" s="16" t="s">
        <v>5644</v>
      </c>
      <c r="FEH1" s="16" t="s">
        <v>5645</v>
      </c>
      <c r="FEI1" s="16" t="s">
        <v>5646</v>
      </c>
      <c r="FEJ1" s="16" t="s">
        <v>5647</v>
      </c>
      <c r="FEK1" s="16" t="s">
        <v>5648</v>
      </c>
      <c r="FEL1" s="16" t="s">
        <v>5649</v>
      </c>
      <c r="FEM1" s="16" t="s">
        <v>5650</v>
      </c>
      <c r="FEN1" s="16" t="s">
        <v>5651</v>
      </c>
      <c r="FEO1" s="16" t="s">
        <v>5652</v>
      </c>
      <c r="FEP1" s="16" t="s">
        <v>5653</v>
      </c>
      <c r="FEQ1" s="16" t="s">
        <v>5654</v>
      </c>
      <c r="FER1" s="16" t="s">
        <v>5655</v>
      </c>
      <c r="FES1" s="16" t="s">
        <v>5656</v>
      </c>
      <c r="FET1" s="16" t="s">
        <v>5657</v>
      </c>
      <c r="FEU1" s="16" t="s">
        <v>5658</v>
      </c>
      <c r="FEV1" s="16" t="s">
        <v>5659</v>
      </c>
      <c r="FEW1" s="16" t="s">
        <v>5660</v>
      </c>
      <c r="FEX1" s="16" t="s">
        <v>5661</v>
      </c>
      <c r="FEY1" s="16" t="s">
        <v>5662</v>
      </c>
      <c r="FEZ1" s="16" t="s">
        <v>5663</v>
      </c>
      <c r="FFA1" s="16" t="s">
        <v>5664</v>
      </c>
      <c r="FFB1" s="16" t="s">
        <v>5665</v>
      </c>
      <c r="FFC1" s="16" t="s">
        <v>5666</v>
      </c>
      <c r="FFD1" s="16" t="s">
        <v>5667</v>
      </c>
      <c r="FFE1" s="16" t="s">
        <v>5668</v>
      </c>
      <c r="FFF1" s="16" t="s">
        <v>5669</v>
      </c>
      <c r="FFG1" s="16" t="s">
        <v>5670</v>
      </c>
      <c r="FFH1" s="16" t="s">
        <v>5671</v>
      </c>
      <c r="FFI1" s="16" t="s">
        <v>5672</v>
      </c>
      <c r="FFJ1" s="16" t="s">
        <v>5673</v>
      </c>
      <c r="FFK1" s="16" t="s">
        <v>5674</v>
      </c>
      <c r="FFL1" s="16" t="s">
        <v>5675</v>
      </c>
      <c r="FFM1" s="16" t="s">
        <v>5676</v>
      </c>
      <c r="FFN1" s="16" t="s">
        <v>5677</v>
      </c>
      <c r="FFO1" s="16" t="s">
        <v>5678</v>
      </c>
      <c r="FFP1" s="16" t="s">
        <v>5679</v>
      </c>
      <c r="FFQ1" s="16" t="s">
        <v>5680</v>
      </c>
      <c r="FFR1" s="16" t="s">
        <v>5681</v>
      </c>
      <c r="FFS1" s="16" t="s">
        <v>5682</v>
      </c>
      <c r="FFT1" s="16" t="s">
        <v>5683</v>
      </c>
      <c r="FFU1" s="16" t="s">
        <v>5684</v>
      </c>
      <c r="FFV1" s="16" t="s">
        <v>5685</v>
      </c>
      <c r="FFW1" s="16" t="s">
        <v>5686</v>
      </c>
      <c r="FFX1" s="16" t="s">
        <v>5687</v>
      </c>
      <c r="FFY1" s="16" t="s">
        <v>5688</v>
      </c>
      <c r="FFZ1" s="16" t="s">
        <v>5689</v>
      </c>
      <c r="FGA1" s="16" t="s">
        <v>5690</v>
      </c>
      <c r="FGB1" s="16" t="s">
        <v>5691</v>
      </c>
      <c r="FGC1" s="16" t="s">
        <v>5692</v>
      </c>
      <c r="FGD1" s="16" t="s">
        <v>5693</v>
      </c>
      <c r="FGE1" s="16" t="s">
        <v>5694</v>
      </c>
      <c r="FGF1" s="16" t="s">
        <v>5695</v>
      </c>
      <c r="FGG1" s="16" t="s">
        <v>5696</v>
      </c>
      <c r="FGH1" s="16" t="s">
        <v>5697</v>
      </c>
      <c r="FGI1" s="16" t="s">
        <v>5698</v>
      </c>
      <c r="FGJ1" s="16" t="s">
        <v>5699</v>
      </c>
      <c r="FGK1" s="16" t="s">
        <v>5700</v>
      </c>
      <c r="FGL1" s="16" t="s">
        <v>5701</v>
      </c>
      <c r="FGM1" s="16" t="s">
        <v>5702</v>
      </c>
      <c r="FGN1" s="16" t="s">
        <v>5703</v>
      </c>
      <c r="FGO1" s="16" t="s">
        <v>5704</v>
      </c>
      <c r="FGP1" s="16" t="s">
        <v>5705</v>
      </c>
      <c r="FGQ1" s="16" t="s">
        <v>5706</v>
      </c>
      <c r="FGR1" s="16" t="s">
        <v>5707</v>
      </c>
      <c r="FGS1" s="16" t="s">
        <v>5708</v>
      </c>
      <c r="FGT1" s="16" t="s">
        <v>5709</v>
      </c>
      <c r="FGU1" s="16" t="s">
        <v>5710</v>
      </c>
      <c r="FGV1" s="16" t="s">
        <v>5711</v>
      </c>
      <c r="FGW1" s="16" t="s">
        <v>5712</v>
      </c>
      <c r="FGX1" s="16" t="s">
        <v>5713</v>
      </c>
      <c r="FGY1" s="16" t="s">
        <v>5714</v>
      </c>
      <c r="FGZ1" s="16" t="s">
        <v>5715</v>
      </c>
      <c r="FHA1" s="16" t="s">
        <v>5716</v>
      </c>
      <c r="FHB1" s="16" t="s">
        <v>5717</v>
      </c>
      <c r="FHC1" s="16" t="s">
        <v>5718</v>
      </c>
      <c r="FHD1" s="16" t="s">
        <v>5719</v>
      </c>
      <c r="FHE1" s="16" t="s">
        <v>5720</v>
      </c>
      <c r="FHF1" s="16" t="s">
        <v>5721</v>
      </c>
      <c r="FHG1" s="16" t="s">
        <v>5722</v>
      </c>
      <c r="FHH1" s="16" t="s">
        <v>5723</v>
      </c>
      <c r="FHI1" s="16" t="s">
        <v>5724</v>
      </c>
      <c r="FHJ1" s="16" t="s">
        <v>5725</v>
      </c>
      <c r="FHK1" s="16" t="s">
        <v>5726</v>
      </c>
      <c r="FHL1" s="16" t="s">
        <v>5727</v>
      </c>
      <c r="FHM1" s="16" t="s">
        <v>5728</v>
      </c>
      <c r="FHN1" s="16" t="s">
        <v>5729</v>
      </c>
      <c r="FHO1" s="16" t="s">
        <v>5730</v>
      </c>
      <c r="FHP1" s="16" t="s">
        <v>5731</v>
      </c>
      <c r="FHQ1" s="16" t="s">
        <v>5732</v>
      </c>
      <c r="FHR1" s="16" t="s">
        <v>5733</v>
      </c>
      <c r="FHS1" s="16" t="s">
        <v>5734</v>
      </c>
      <c r="FHT1" s="16" t="s">
        <v>5735</v>
      </c>
      <c r="FHU1" s="16" t="s">
        <v>5736</v>
      </c>
      <c r="FHV1" s="16" t="s">
        <v>5737</v>
      </c>
      <c r="FHW1" s="16" t="s">
        <v>5738</v>
      </c>
      <c r="FHX1" s="16" t="s">
        <v>5739</v>
      </c>
      <c r="FHY1" s="16" t="s">
        <v>5740</v>
      </c>
      <c r="FHZ1" s="16" t="s">
        <v>5741</v>
      </c>
      <c r="FIA1" s="16" t="s">
        <v>5742</v>
      </c>
      <c r="FIB1" s="16" t="s">
        <v>5743</v>
      </c>
      <c r="FIC1" s="16" t="s">
        <v>5744</v>
      </c>
      <c r="FID1" s="16" t="s">
        <v>5745</v>
      </c>
      <c r="FIE1" s="16" t="s">
        <v>5746</v>
      </c>
      <c r="FIF1" s="16" t="s">
        <v>5747</v>
      </c>
      <c r="FIG1" s="16" t="s">
        <v>5748</v>
      </c>
      <c r="FIH1" s="16" t="s">
        <v>5749</v>
      </c>
      <c r="FII1" s="16" t="s">
        <v>5750</v>
      </c>
      <c r="FIJ1" s="16" t="s">
        <v>5751</v>
      </c>
      <c r="FIK1" s="16" t="s">
        <v>5752</v>
      </c>
      <c r="FIL1" s="16" t="s">
        <v>5753</v>
      </c>
      <c r="FIM1" s="16" t="s">
        <v>5754</v>
      </c>
      <c r="FIN1" s="16" t="s">
        <v>5755</v>
      </c>
      <c r="FIO1" s="16" t="s">
        <v>5756</v>
      </c>
      <c r="FIP1" s="16" t="s">
        <v>5757</v>
      </c>
      <c r="FIQ1" s="16" t="s">
        <v>5758</v>
      </c>
      <c r="FIR1" s="16" t="s">
        <v>5759</v>
      </c>
      <c r="FIS1" s="16" t="s">
        <v>5760</v>
      </c>
      <c r="FIT1" s="16" t="s">
        <v>5761</v>
      </c>
      <c r="FIU1" s="16" t="s">
        <v>5762</v>
      </c>
      <c r="FIV1" s="16" t="s">
        <v>5763</v>
      </c>
      <c r="FIW1" s="16" t="s">
        <v>5764</v>
      </c>
      <c r="FIX1" s="16" t="s">
        <v>5765</v>
      </c>
      <c r="FIY1" s="16" t="s">
        <v>5766</v>
      </c>
      <c r="FIZ1" s="16" t="s">
        <v>5767</v>
      </c>
      <c r="FJA1" s="16" t="s">
        <v>5768</v>
      </c>
      <c r="FJB1" s="16" t="s">
        <v>5769</v>
      </c>
      <c r="FJC1" s="16" t="s">
        <v>5770</v>
      </c>
      <c r="FJD1" s="16" t="s">
        <v>5771</v>
      </c>
      <c r="FJE1" s="16" t="s">
        <v>5772</v>
      </c>
      <c r="FJF1" s="16" t="s">
        <v>5773</v>
      </c>
      <c r="FJG1" s="16" t="s">
        <v>5774</v>
      </c>
      <c r="FJH1" s="16" t="s">
        <v>5775</v>
      </c>
      <c r="FJI1" s="16" t="s">
        <v>5776</v>
      </c>
      <c r="FJJ1" s="16" t="s">
        <v>5777</v>
      </c>
      <c r="FJK1" s="16" t="s">
        <v>5778</v>
      </c>
      <c r="FJL1" s="16" t="s">
        <v>5779</v>
      </c>
      <c r="FJM1" s="16" t="s">
        <v>5780</v>
      </c>
      <c r="FJN1" s="16" t="s">
        <v>5781</v>
      </c>
      <c r="FJO1" s="16" t="s">
        <v>5782</v>
      </c>
      <c r="FJP1" s="16" t="s">
        <v>5783</v>
      </c>
      <c r="FJQ1" s="16" t="s">
        <v>5784</v>
      </c>
      <c r="FJR1" s="16" t="s">
        <v>5785</v>
      </c>
      <c r="FJS1" s="16" t="s">
        <v>5786</v>
      </c>
      <c r="FJT1" s="16" t="s">
        <v>5787</v>
      </c>
      <c r="FJU1" s="16" t="s">
        <v>5788</v>
      </c>
      <c r="FJV1" s="16" t="s">
        <v>5789</v>
      </c>
      <c r="FJW1" s="16" t="s">
        <v>5790</v>
      </c>
      <c r="FJX1" s="16" t="s">
        <v>5791</v>
      </c>
      <c r="FJY1" s="16" t="s">
        <v>5792</v>
      </c>
      <c r="FJZ1" s="16" t="s">
        <v>5793</v>
      </c>
      <c r="FKA1" s="16" t="s">
        <v>5794</v>
      </c>
      <c r="FKB1" s="16" t="s">
        <v>5795</v>
      </c>
      <c r="FKC1" s="16" t="s">
        <v>5796</v>
      </c>
      <c r="FKD1" s="16" t="s">
        <v>5797</v>
      </c>
      <c r="FKE1" s="16" t="s">
        <v>5798</v>
      </c>
      <c r="FKF1" s="16" t="s">
        <v>5799</v>
      </c>
      <c r="FKG1" s="16" t="s">
        <v>5800</v>
      </c>
      <c r="FKH1" s="16" t="s">
        <v>5801</v>
      </c>
      <c r="FKI1" s="16" t="s">
        <v>5802</v>
      </c>
      <c r="FKJ1" s="16" t="s">
        <v>5803</v>
      </c>
      <c r="FKK1" s="16" t="s">
        <v>5804</v>
      </c>
      <c r="FKL1" s="16" t="s">
        <v>5805</v>
      </c>
      <c r="FKM1" s="16" t="s">
        <v>5806</v>
      </c>
      <c r="FKN1" s="16" t="s">
        <v>5807</v>
      </c>
      <c r="FKO1" s="16" t="s">
        <v>5808</v>
      </c>
      <c r="FKP1" s="16" t="s">
        <v>5809</v>
      </c>
      <c r="FKQ1" s="16" t="s">
        <v>5810</v>
      </c>
      <c r="FKR1" s="16" t="s">
        <v>5811</v>
      </c>
      <c r="FKS1" s="16" t="s">
        <v>5812</v>
      </c>
      <c r="FKT1" s="16" t="s">
        <v>5813</v>
      </c>
      <c r="FKU1" s="16" t="s">
        <v>5814</v>
      </c>
      <c r="FKV1" s="16" t="s">
        <v>5815</v>
      </c>
      <c r="FKW1" s="16" t="s">
        <v>5816</v>
      </c>
      <c r="FKX1" s="16" t="s">
        <v>5817</v>
      </c>
      <c r="FKY1" s="16" t="s">
        <v>5818</v>
      </c>
      <c r="FKZ1" s="16" t="s">
        <v>5819</v>
      </c>
      <c r="FLA1" s="16" t="s">
        <v>5820</v>
      </c>
      <c r="FLB1" s="16" t="s">
        <v>5821</v>
      </c>
      <c r="FLC1" s="16" t="s">
        <v>5822</v>
      </c>
      <c r="FLD1" s="16" t="s">
        <v>5823</v>
      </c>
      <c r="FLE1" s="16" t="s">
        <v>5824</v>
      </c>
      <c r="FLF1" s="16" t="s">
        <v>5825</v>
      </c>
      <c r="FLG1" s="16" t="s">
        <v>5826</v>
      </c>
      <c r="FLH1" s="16" t="s">
        <v>5827</v>
      </c>
      <c r="FLI1" s="16" t="s">
        <v>5828</v>
      </c>
      <c r="FLJ1" s="16" t="s">
        <v>5829</v>
      </c>
      <c r="FLK1" s="16" t="s">
        <v>5830</v>
      </c>
      <c r="FLL1" s="16" t="s">
        <v>5831</v>
      </c>
      <c r="FLM1" s="16" t="s">
        <v>5832</v>
      </c>
      <c r="FLN1" s="16" t="s">
        <v>5833</v>
      </c>
      <c r="FLO1" s="16" t="s">
        <v>5834</v>
      </c>
      <c r="FLP1" s="16" t="s">
        <v>5835</v>
      </c>
      <c r="FLQ1" s="16" t="s">
        <v>5836</v>
      </c>
      <c r="FLR1" s="16" t="s">
        <v>5837</v>
      </c>
      <c r="FLS1" s="16" t="s">
        <v>5838</v>
      </c>
      <c r="FLT1" s="16" t="s">
        <v>5839</v>
      </c>
      <c r="FLU1" s="16" t="s">
        <v>5840</v>
      </c>
      <c r="FLV1" s="16" t="s">
        <v>5841</v>
      </c>
      <c r="FLW1" s="16" t="s">
        <v>5842</v>
      </c>
      <c r="FLX1" s="16" t="s">
        <v>5843</v>
      </c>
      <c r="FLY1" s="16" t="s">
        <v>5844</v>
      </c>
      <c r="FLZ1" s="16" t="s">
        <v>5845</v>
      </c>
      <c r="FMA1" s="16" t="s">
        <v>5846</v>
      </c>
      <c r="FMB1" s="16" t="s">
        <v>5847</v>
      </c>
      <c r="FMC1" s="16" t="s">
        <v>5848</v>
      </c>
      <c r="FMD1" s="16" t="s">
        <v>5849</v>
      </c>
      <c r="FME1" s="16" t="s">
        <v>5850</v>
      </c>
      <c r="FMF1" s="16" t="s">
        <v>5851</v>
      </c>
      <c r="FMG1" s="16" t="s">
        <v>5852</v>
      </c>
      <c r="FMH1" s="16" t="s">
        <v>5853</v>
      </c>
      <c r="FMI1" s="16" t="s">
        <v>5854</v>
      </c>
      <c r="FMJ1" s="16" t="s">
        <v>5855</v>
      </c>
      <c r="FMK1" s="16" t="s">
        <v>5856</v>
      </c>
      <c r="FML1" s="16" t="s">
        <v>5857</v>
      </c>
      <c r="FMM1" s="16" t="s">
        <v>5858</v>
      </c>
      <c r="FMN1" s="16" t="s">
        <v>5859</v>
      </c>
      <c r="FMO1" s="16" t="s">
        <v>5860</v>
      </c>
      <c r="FMP1" s="16" t="s">
        <v>5861</v>
      </c>
      <c r="FMQ1" s="16" t="s">
        <v>5862</v>
      </c>
      <c r="FMR1" s="16" t="s">
        <v>5863</v>
      </c>
      <c r="FMS1" s="16" t="s">
        <v>5864</v>
      </c>
      <c r="FMT1" s="16" t="s">
        <v>5865</v>
      </c>
      <c r="FMU1" s="16" t="s">
        <v>5866</v>
      </c>
      <c r="FMV1" s="16" t="s">
        <v>5867</v>
      </c>
      <c r="FMW1" s="16" t="s">
        <v>5868</v>
      </c>
      <c r="FMX1" s="16" t="s">
        <v>5869</v>
      </c>
      <c r="FMY1" s="16" t="s">
        <v>5870</v>
      </c>
      <c r="FMZ1" s="16" t="s">
        <v>5871</v>
      </c>
      <c r="FNA1" s="16" t="s">
        <v>5872</v>
      </c>
      <c r="FNB1" s="16" t="s">
        <v>5873</v>
      </c>
      <c r="FNC1" s="16" t="s">
        <v>5874</v>
      </c>
      <c r="FND1" s="16" t="s">
        <v>5875</v>
      </c>
      <c r="FNE1" s="16" t="s">
        <v>5876</v>
      </c>
      <c r="FNF1" s="16" t="s">
        <v>5877</v>
      </c>
      <c r="FNG1" s="16" t="s">
        <v>5878</v>
      </c>
      <c r="FNH1" s="16" t="s">
        <v>5879</v>
      </c>
      <c r="FNI1" s="16" t="s">
        <v>5880</v>
      </c>
      <c r="FNJ1" s="16" t="s">
        <v>5881</v>
      </c>
      <c r="FNK1" s="16" t="s">
        <v>5882</v>
      </c>
      <c r="FNL1" s="16" t="s">
        <v>5883</v>
      </c>
      <c r="FNM1" s="16" t="s">
        <v>5884</v>
      </c>
      <c r="FNN1" s="16" t="s">
        <v>5885</v>
      </c>
      <c r="FNO1" s="16" t="s">
        <v>5886</v>
      </c>
      <c r="FNP1" s="16" t="s">
        <v>5887</v>
      </c>
      <c r="FNQ1" s="16" t="s">
        <v>5888</v>
      </c>
      <c r="FNR1" s="16" t="s">
        <v>5889</v>
      </c>
      <c r="FNS1" s="16" t="s">
        <v>5890</v>
      </c>
      <c r="FNT1" s="16" t="s">
        <v>5891</v>
      </c>
      <c r="FNU1" s="16" t="s">
        <v>5892</v>
      </c>
      <c r="FNV1" s="16" t="s">
        <v>5893</v>
      </c>
      <c r="FNW1" s="16" t="s">
        <v>5894</v>
      </c>
      <c r="FNX1" s="16" t="s">
        <v>5895</v>
      </c>
      <c r="FNY1" s="16" t="s">
        <v>5896</v>
      </c>
      <c r="FNZ1" s="16" t="s">
        <v>5897</v>
      </c>
      <c r="FOA1" s="16" t="s">
        <v>5898</v>
      </c>
      <c r="FOB1" s="16" t="s">
        <v>5899</v>
      </c>
      <c r="FOC1" s="16" t="s">
        <v>5900</v>
      </c>
      <c r="FOD1" s="16" t="s">
        <v>5901</v>
      </c>
      <c r="FOE1" s="16" t="s">
        <v>5902</v>
      </c>
      <c r="FOF1" s="16" t="s">
        <v>5903</v>
      </c>
      <c r="FOG1" s="16" t="s">
        <v>5904</v>
      </c>
      <c r="FOH1" s="16" t="s">
        <v>5905</v>
      </c>
      <c r="FOI1" s="16" t="s">
        <v>5906</v>
      </c>
      <c r="FOJ1" s="16" t="s">
        <v>5907</v>
      </c>
      <c r="FOK1" s="16" t="s">
        <v>5908</v>
      </c>
      <c r="FOL1" s="16" t="s">
        <v>5909</v>
      </c>
      <c r="FOM1" s="16" t="s">
        <v>5910</v>
      </c>
      <c r="FON1" s="16" t="s">
        <v>5911</v>
      </c>
      <c r="FOO1" s="16" t="s">
        <v>5912</v>
      </c>
      <c r="FOP1" s="16" t="s">
        <v>5913</v>
      </c>
      <c r="FOQ1" s="16" t="s">
        <v>5914</v>
      </c>
      <c r="FOR1" s="16" t="s">
        <v>5915</v>
      </c>
      <c r="FOS1" s="16" t="s">
        <v>5916</v>
      </c>
      <c r="FOT1" s="16" t="s">
        <v>5917</v>
      </c>
      <c r="FOU1" s="16" t="s">
        <v>5918</v>
      </c>
      <c r="FOV1" s="16" t="s">
        <v>5919</v>
      </c>
      <c r="FOW1" s="16" t="s">
        <v>5920</v>
      </c>
      <c r="FOX1" s="16" t="s">
        <v>5921</v>
      </c>
      <c r="FOY1" s="16" t="s">
        <v>5922</v>
      </c>
      <c r="FOZ1" s="16" t="s">
        <v>5923</v>
      </c>
      <c r="FPA1" s="16" t="s">
        <v>5924</v>
      </c>
      <c r="FPB1" s="16" t="s">
        <v>5925</v>
      </c>
      <c r="FPC1" s="16" t="s">
        <v>5926</v>
      </c>
      <c r="FPD1" s="16" t="s">
        <v>5927</v>
      </c>
      <c r="FPE1" s="16" t="s">
        <v>5928</v>
      </c>
      <c r="FPF1" s="16" t="s">
        <v>5929</v>
      </c>
      <c r="FPG1" s="16" t="s">
        <v>5930</v>
      </c>
      <c r="FPH1" s="16" t="s">
        <v>5931</v>
      </c>
      <c r="FPI1" s="16" t="s">
        <v>5932</v>
      </c>
      <c r="FPJ1" s="16" t="s">
        <v>5933</v>
      </c>
      <c r="FPK1" s="16" t="s">
        <v>5934</v>
      </c>
      <c r="FPL1" s="16" t="s">
        <v>5935</v>
      </c>
      <c r="FPM1" s="16" t="s">
        <v>5936</v>
      </c>
      <c r="FPN1" s="16" t="s">
        <v>5937</v>
      </c>
      <c r="FPO1" s="16" t="s">
        <v>5938</v>
      </c>
      <c r="FPP1" s="16" t="s">
        <v>5939</v>
      </c>
      <c r="FPQ1" s="16" t="s">
        <v>5940</v>
      </c>
      <c r="FPR1" s="16" t="s">
        <v>5941</v>
      </c>
      <c r="FPS1" s="16" t="s">
        <v>5942</v>
      </c>
      <c r="FPT1" s="16" t="s">
        <v>5943</v>
      </c>
      <c r="FPU1" s="16" t="s">
        <v>5944</v>
      </c>
      <c r="FPV1" s="16" t="s">
        <v>5945</v>
      </c>
      <c r="FPW1" s="16" t="s">
        <v>5946</v>
      </c>
      <c r="FPX1" s="16" t="s">
        <v>5947</v>
      </c>
      <c r="FPY1" s="16" t="s">
        <v>5948</v>
      </c>
      <c r="FPZ1" s="16" t="s">
        <v>5949</v>
      </c>
      <c r="FQA1" s="16" t="s">
        <v>5950</v>
      </c>
      <c r="FQB1" s="16" t="s">
        <v>5951</v>
      </c>
      <c r="FQC1" s="16" t="s">
        <v>5952</v>
      </c>
      <c r="FQD1" s="16" t="s">
        <v>5953</v>
      </c>
      <c r="FQE1" s="16" t="s">
        <v>5954</v>
      </c>
      <c r="FQF1" s="16" t="s">
        <v>5955</v>
      </c>
      <c r="FQG1" s="16" t="s">
        <v>5956</v>
      </c>
      <c r="FQH1" s="16" t="s">
        <v>5957</v>
      </c>
      <c r="FQI1" s="16" t="s">
        <v>5958</v>
      </c>
      <c r="FQJ1" s="16" t="s">
        <v>5959</v>
      </c>
      <c r="FQK1" s="16" t="s">
        <v>5960</v>
      </c>
      <c r="FQL1" s="16" t="s">
        <v>5961</v>
      </c>
      <c r="FQM1" s="16" t="s">
        <v>5962</v>
      </c>
      <c r="FQN1" s="16" t="s">
        <v>5963</v>
      </c>
      <c r="FQO1" s="16" t="s">
        <v>5964</v>
      </c>
      <c r="FQP1" s="16" t="s">
        <v>5965</v>
      </c>
      <c r="FQQ1" s="16" t="s">
        <v>5966</v>
      </c>
      <c r="FQR1" s="16" t="s">
        <v>5967</v>
      </c>
      <c r="FQS1" s="16" t="s">
        <v>5968</v>
      </c>
      <c r="FQT1" s="16" t="s">
        <v>5969</v>
      </c>
      <c r="FQU1" s="16" t="s">
        <v>5970</v>
      </c>
      <c r="FQV1" s="16" t="s">
        <v>5971</v>
      </c>
      <c r="FQW1" s="16" t="s">
        <v>5972</v>
      </c>
      <c r="FQX1" s="16" t="s">
        <v>5973</v>
      </c>
      <c r="FQY1" s="16" t="s">
        <v>5974</v>
      </c>
      <c r="FQZ1" s="16" t="s">
        <v>5975</v>
      </c>
      <c r="FRA1" s="16" t="s">
        <v>5976</v>
      </c>
      <c r="FRB1" s="16" t="s">
        <v>5977</v>
      </c>
      <c r="FRC1" s="16" t="s">
        <v>5978</v>
      </c>
      <c r="FRD1" s="16" t="s">
        <v>5979</v>
      </c>
      <c r="FRE1" s="16" t="s">
        <v>5980</v>
      </c>
      <c r="FRF1" s="16" t="s">
        <v>5981</v>
      </c>
      <c r="FRG1" s="16" t="s">
        <v>5982</v>
      </c>
      <c r="FRH1" s="16" t="s">
        <v>5983</v>
      </c>
      <c r="FRI1" s="16" t="s">
        <v>5984</v>
      </c>
      <c r="FRJ1" s="16" t="s">
        <v>5985</v>
      </c>
      <c r="FRK1" s="16" t="s">
        <v>5986</v>
      </c>
      <c r="FRL1" s="16" t="s">
        <v>5987</v>
      </c>
      <c r="FRM1" s="16" t="s">
        <v>5988</v>
      </c>
      <c r="FRN1" s="16" t="s">
        <v>5989</v>
      </c>
      <c r="FRO1" s="16" t="s">
        <v>5990</v>
      </c>
      <c r="FRP1" s="16" t="s">
        <v>5991</v>
      </c>
      <c r="FRQ1" s="16" t="s">
        <v>5992</v>
      </c>
      <c r="FRR1" s="16" t="s">
        <v>5993</v>
      </c>
      <c r="FRS1" s="16" t="s">
        <v>5994</v>
      </c>
      <c r="FRT1" s="16" t="s">
        <v>5995</v>
      </c>
      <c r="FRU1" s="16" t="s">
        <v>5996</v>
      </c>
      <c r="FRV1" s="16" t="s">
        <v>5997</v>
      </c>
      <c r="FRW1" s="16" t="s">
        <v>5998</v>
      </c>
      <c r="FRX1" s="16" t="s">
        <v>5999</v>
      </c>
      <c r="FRY1" s="16" t="s">
        <v>6000</v>
      </c>
      <c r="FRZ1" s="16" t="s">
        <v>6001</v>
      </c>
      <c r="FSA1" s="16" t="s">
        <v>6002</v>
      </c>
      <c r="FSB1" s="16" t="s">
        <v>6003</v>
      </c>
      <c r="FSC1" s="16" t="s">
        <v>6004</v>
      </c>
      <c r="FSD1" s="16" t="s">
        <v>6005</v>
      </c>
      <c r="FSE1" s="16" t="s">
        <v>6006</v>
      </c>
      <c r="FSF1" s="16" t="s">
        <v>6007</v>
      </c>
      <c r="FSG1" s="16" t="s">
        <v>6008</v>
      </c>
      <c r="FSH1" s="16" t="s">
        <v>6009</v>
      </c>
      <c r="FSI1" s="16" t="s">
        <v>6010</v>
      </c>
      <c r="FSJ1" s="16" t="s">
        <v>6011</v>
      </c>
      <c r="FSK1" s="16" t="s">
        <v>6012</v>
      </c>
      <c r="FSL1" s="16" t="s">
        <v>6013</v>
      </c>
      <c r="FSM1" s="16" t="s">
        <v>6014</v>
      </c>
      <c r="FSN1" s="16" t="s">
        <v>6015</v>
      </c>
      <c r="FSO1" s="16" t="s">
        <v>6016</v>
      </c>
      <c r="FSP1" s="16" t="s">
        <v>6017</v>
      </c>
      <c r="FSQ1" s="16" t="s">
        <v>6018</v>
      </c>
      <c r="FSR1" s="16" t="s">
        <v>6019</v>
      </c>
      <c r="FSS1" s="16" t="s">
        <v>6020</v>
      </c>
      <c r="FST1" s="16" t="s">
        <v>6021</v>
      </c>
      <c r="FSU1" s="16" t="s">
        <v>6022</v>
      </c>
      <c r="FSV1" s="16" t="s">
        <v>6023</v>
      </c>
      <c r="FSW1" s="16" t="s">
        <v>6024</v>
      </c>
      <c r="FSX1" s="16" t="s">
        <v>6025</v>
      </c>
      <c r="FSY1" s="16" t="s">
        <v>6026</v>
      </c>
      <c r="FSZ1" s="16" t="s">
        <v>6027</v>
      </c>
      <c r="FTA1" s="16" t="s">
        <v>6028</v>
      </c>
      <c r="FTB1" s="16" t="s">
        <v>6029</v>
      </c>
      <c r="FTC1" s="16" t="s">
        <v>6030</v>
      </c>
      <c r="FTD1" s="16" t="s">
        <v>6031</v>
      </c>
      <c r="FTE1" s="16" t="s">
        <v>6032</v>
      </c>
      <c r="FTF1" s="16" t="s">
        <v>6033</v>
      </c>
      <c r="FTG1" s="16" t="s">
        <v>6034</v>
      </c>
      <c r="FTH1" s="16" t="s">
        <v>6035</v>
      </c>
      <c r="FTI1" s="16" t="s">
        <v>6036</v>
      </c>
      <c r="FTJ1" s="16" t="s">
        <v>6037</v>
      </c>
      <c r="FTK1" s="16" t="s">
        <v>6038</v>
      </c>
      <c r="FTL1" s="16" t="s">
        <v>6039</v>
      </c>
      <c r="FTM1" s="16" t="s">
        <v>6040</v>
      </c>
      <c r="FTN1" s="16" t="s">
        <v>6041</v>
      </c>
      <c r="FTO1" s="16" t="s">
        <v>6042</v>
      </c>
      <c r="FTP1" s="16" t="s">
        <v>6043</v>
      </c>
      <c r="FTQ1" s="16" t="s">
        <v>6044</v>
      </c>
      <c r="FTR1" s="16" t="s">
        <v>6045</v>
      </c>
      <c r="FTS1" s="16" t="s">
        <v>6046</v>
      </c>
      <c r="FTT1" s="16" t="s">
        <v>6047</v>
      </c>
      <c r="FTU1" s="16" t="s">
        <v>6048</v>
      </c>
      <c r="FTV1" s="16" t="s">
        <v>6049</v>
      </c>
      <c r="FTW1" s="16" t="s">
        <v>6050</v>
      </c>
      <c r="FTX1" s="16" t="s">
        <v>6051</v>
      </c>
      <c r="FTY1" s="16" t="s">
        <v>6052</v>
      </c>
      <c r="FTZ1" s="16" t="s">
        <v>6053</v>
      </c>
      <c r="FUA1" s="16" t="s">
        <v>6054</v>
      </c>
      <c r="FUB1" s="16" t="s">
        <v>6055</v>
      </c>
      <c r="FUC1" s="16" t="s">
        <v>6056</v>
      </c>
      <c r="FUD1" s="16" t="s">
        <v>6057</v>
      </c>
      <c r="FUE1" s="16" t="s">
        <v>6058</v>
      </c>
      <c r="FUF1" s="16" t="s">
        <v>6059</v>
      </c>
      <c r="FUG1" s="16" t="s">
        <v>6060</v>
      </c>
      <c r="FUH1" s="16" t="s">
        <v>6061</v>
      </c>
      <c r="FUI1" s="16" t="s">
        <v>6062</v>
      </c>
      <c r="FUJ1" s="16" t="s">
        <v>6063</v>
      </c>
      <c r="FUK1" s="16" t="s">
        <v>6064</v>
      </c>
      <c r="FUL1" s="16" t="s">
        <v>6065</v>
      </c>
      <c r="FUM1" s="16" t="s">
        <v>6066</v>
      </c>
      <c r="FUN1" s="16" t="s">
        <v>6067</v>
      </c>
      <c r="FUO1" s="16" t="s">
        <v>6068</v>
      </c>
      <c r="FUP1" s="16" t="s">
        <v>6069</v>
      </c>
      <c r="FUQ1" s="16" t="s">
        <v>6070</v>
      </c>
      <c r="FUR1" s="16" t="s">
        <v>6071</v>
      </c>
      <c r="FUS1" s="16" t="s">
        <v>6072</v>
      </c>
      <c r="FUT1" s="16" t="s">
        <v>6073</v>
      </c>
      <c r="FUU1" s="16" t="s">
        <v>6074</v>
      </c>
      <c r="FUV1" s="16" t="s">
        <v>6075</v>
      </c>
      <c r="FUW1" s="16" t="s">
        <v>6076</v>
      </c>
      <c r="FUX1" s="16" t="s">
        <v>6077</v>
      </c>
      <c r="FUY1" s="16" t="s">
        <v>6078</v>
      </c>
      <c r="FUZ1" s="16" t="s">
        <v>6079</v>
      </c>
      <c r="FVA1" s="16" t="s">
        <v>6080</v>
      </c>
      <c r="FVB1" s="16" t="s">
        <v>6081</v>
      </c>
      <c r="FVC1" s="16" t="s">
        <v>6082</v>
      </c>
      <c r="FVD1" s="16" t="s">
        <v>6083</v>
      </c>
      <c r="FVE1" s="16" t="s">
        <v>6084</v>
      </c>
      <c r="FVF1" s="16" t="s">
        <v>6085</v>
      </c>
      <c r="FVG1" s="16" t="s">
        <v>6086</v>
      </c>
      <c r="FVH1" s="16" t="s">
        <v>6087</v>
      </c>
      <c r="FVI1" s="16" t="s">
        <v>6088</v>
      </c>
      <c r="FVJ1" s="16" t="s">
        <v>6089</v>
      </c>
      <c r="FVK1" s="16" t="s">
        <v>6090</v>
      </c>
      <c r="FVL1" s="16" t="s">
        <v>6091</v>
      </c>
      <c r="FVM1" s="16" t="s">
        <v>6092</v>
      </c>
      <c r="FVN1" s="16" t="s">
        <v>6093</v>
      </c>
      <c r="FVO1" s="16" t="s">
        <v>6094</v>
      </c>
      <c r="FVP1" s="16" t="s">
        <v>6095</v>
      </c>
      <c r="FVQ1" s="16" t="s">
        <v>6096</v>
      </c>
      <c r="FVR1" s="16" t="s">
        <v>6097</v>
      </c>
      <c r="FVS1" s="16" t="s">
        <v>6098</v>
      </c>
      <c r="FVT1" s="16" t="s">
        <v>6099</v>
      </c>
      <c r="FVU1" s="16" t="s">
        <v>6100</v>
      </c>
      <c r="FVV1" s="16" t="s">
        <v>6101</v>
      </c>
      <c r="FVW1" s="16" t="s">
        <v>6102</v>
      </c>
      <c r="FVX1" s="16" t="s">
        <v>6103</v>
      </c>
      <c r="FVY1" s="16" t="s">
        <v>6104</v>
      </c>
      <c r="FVZ1" s="16" t="s">
        <v>6105</v>
      </c>
      <c r="FWA1" s="16" t="s">
        <v>6106</v>
      </c>
      <c r="FWB1" s="16" t="s">
        <v>6107</v>
      </c>
      <c r="FWC1" s="16" t="s">
        <v>6108</v>
      </c>
      <c r="FWD1" s="16" t="s">
        <v>6109</v>
      </c>
      <c r="FWE1" s="16" t="s">
        <v>6110</v>
      </c>
      <c r="FWF1" s="16" t="s">
        <v>6111</v>
      </c>
      <c r="FWG1" s="16" t="s">
        <v>6112</v>
      </c>
      <c r="FWH1" s="16" t="s">
        <v>6113</v>
      </c>
      <c r="FWI1" s="16" t="s">
        <v>6114</v>
      </c>
      <c r="FWJ1" s="16" t="s">
        <v>6115</v>
      </c>
      <c r="FWK1" s="16" t="s">
        <v>6116</v>
      </c>
      <c r="FWL1" s="16" t="s">
        <v>6117</v>
      </c>
      <c r="FWM1" s="16" t="s">
        <v>6118</v>
      </c>
      <c r="FWN1" s="16" t="s">
        <v>6119</v>
      </c>
      <c r="FWO1" s="16" t="s">
        <v>6120</v>
      </c>
      <c r="FWP1" s="16" t="s">
        <v>6121</v>
      </c>
      <c r="FWQ1" s="16" t="s">
        <v>6122</v>
      </c>
      <c r="FWR1" s="16" t="s">
        <v>6123</v>
      </c>
      <c r="FWS1" s="16" t="s">
        <v>6124</v>
      </c>
      <c r="FWT1" s="16" t="s">
        <v>6125</v>
      </c>
      <c r="FWU1" s="16" t="s">
        <v>6126</v>
      </c>
      <c r="FWV1" s="16" t="s">
        <v>6127</v>
      </c>
      <c r="FWW1" s="16" t="s">
        <v>6128</v>
      </c>
      <c r="FWX1" s="16" t="s">
        <v>6129</v>
      </c>
      <c r="FWY1" s="16" t="s">
        <v>6130</v>
      </c>
      <c r="FWZ1" s="16" t="s">
        <v>6131</v>
      </c>
      <c r="FXA1" s="16" t="s">
        <v>6132</v>
      </c>
      <c r="FXB1" s="16" t="s">
        <v>6133</v>
      </c>
      <c r="FXC1" s="16" t="s">
        <v>6134</v>
      </c>
      <c r="FXD1" s="16" t="s">
        <v>6135</v>
      </c>
      <c r="FXE1" s="16" t="s">
        <v>6136</v>
      </c>
      <c r="FXF1" s="16" t="s">
        <v>6137</v>
      </c>
      <c r="FXG1" s="16" t="s">
        <v>6138</v>
      </c>
      <c r="FXH1" s="16" t="s">
        <v>6139</v>
      </c>
      <c r="FXI1" s="16" t="s">
        <v>6140</v>
      </c>
      <c r="FXJ1" s="16" t="s">
        <v>6141</v>
      </c>
      <c r="FXK1" s="16" t="s">
        <v>6142</v>
      </c>
      <c r="FXL1" s="16" t="s">
        <v>6143</v>
      </c>
      <c r="FXM1" s="16" t="s">
        <v>6144</v>
      </c>
      <c r="FXN1" s="16" t="s">
        <v>6145</v>
      </c>
      <c r="FXO1" s="16" t="s">
        <v>6146</v>
      </c>
      <c r="FXP1" s="16" t="s">
        <v>6147</v>
      </c>
      <c r="FXQ1" s="16" t="s">
        <v>6148</v>
      </c>
      <c r="FXR1" s="16" t="s">
        <v>6149</v>
      </c>
      <c r="FXS1" s="16" t="s">
        <v>6150</v>
      </c>
      <c r="FXT1" s="16" t="s">
        <v>6151</v>
      </c>
      <c r="FXU1" s="16" t="s">
        <v>6152</v>
      </c>
      <c r="FXV1" s="16" t="s">
        <v>6153</v>
      </c>
      <c r="FXW1" s="16" t="s">
        <v>6154</v>
      </c>
      <c r="FXX1" s="16" t="s">
        <v>6155</v>
      </c>
      <c r="FXY1" s="16" t="s">
        <v>6156</v>
      </c>
      <c r="FXZ1" s="16" t="s">
        <v>6157</v>
      </c>
      <c r="FYA1" s="16" t="s">
        <v>6158</v>
      </c>
      <c r="FYB1" s="16" t="s">
        <v>6159</v>
      </c>
      <c r="FYC1" s="16" t="s">
        <v>6160</v>
      </c>
      <c r="FYD1" s="16" t="s">
        <v>6161</v>
      </c>
      <c r="FYE1" s="16" t="s">
        <v>6162</v>
      </c>
      <c r="FYF1" s="16" t="s">
        <v>6163</v>
      </c>
      <c r="FYG1" s="16" t="s">
        <v>6164</v>
      </c>
      <c r="FYH1" s="16" t="s">
        <v>6165</v>
      </c>
      <c r="FYI1" s="16" t="s">
        <v>6166</v>
      </c>
      <c r="FYJ1" s="16" t="s">
        <v>6167</v>
      </c>
      <c r="FYK1" s="16" t="s">
        <v>6168</v>
      </c>
      <c r="FYL1" s="16" t="s">
        <v>6169</v>
      </c>
      <c r="FYM1" s="16" t="s">
        <v>6170</v>
      </c>
      <c r="FYN1" s="16" t="s">
        <v>6171</v>
      </c>
      <c r="FYO1" s="16" t="s">
        <v>6172</v>
      </c>
      <c r="FYP1" s="16" t="s">
        <v>6173</v>
      </c>
      <c r="FYQ1" s="16" t="s">
        <v>6174</v>
      </c>
      <c r="FYR1" s="16" t="s">
        <v>6175</v>
      </c>
      <c r="FYS1" s="16" t="s">
        <v>6176</v>
      </c>
      <c r="FYT1" s="16" t="s">
        <v>6177</v>
      </c>
      <c r="FYU1" s="16" t="s">
        <v>6178</v>
      </c>
      <c r="FYV1" s="16" t="s">
        <v>6179</v>
      </c>
      <c r="FYW1" s="16" t="s">
        <v>6180</v>
      </c>
      <c r="FYX1" s="16" t="s">
        <v>6181</v>
      </c>
      <c r="FYY1" s="16" t="s">
        <v>6182</v>
      </c>
      <c r="FYZ1" s="16" t="s">
        <v>6183</v>
      </c>
      <c r="FZA1" s="16" t="s">
        <v>6184</v>
      </c>
      <c r="FZB1" s="16" t="s">
        <v>6185</v>
      </c>
      <c r="FZC1" s="16" t="s">
        <v>6186</v>
      </c>
      <c r="FZD1" s="16" t="s">
        <v>6187</v>
      </c>
      <c r="FZE1" s="16" t="s">
        <v>6188</v>
      </c>
      <c r="FZF1" s="16" t="s">
        <v>6189</v>
      </c>
      <c r="FZG1" s="16" t="s">
        <v>6190</v>
      </c>
      <c r="FZH1" s="16" t="s">
        <v>6191</v>
      </c>
      <c r="FZI1" s="16" t="s">
        <v>6192</v>
      </c>
      <c r="FZJ1" s="16" t="s">
        <v>6193</v>
      </c>
      <c r="FZK1" s="16" t="s">
        <v>6194</v>
      </c>
      <c r="FZL1" s="16" t="s">
        <v>6195</v>
      </c>
      <c r="FZM1" s="16" t="s">
        <v>6196</v>
      </c>
      <c r="FZN1" s="16" t="s">
        <v>6197</v>
      </c>
      <c r="FZO1" s="16" t="s">
        <v>6198</v>
      </c>
      <c r="FZP1" s="16" t="s">
        <v>6199</v>
      </c>
      <c r="FZQ1" s="16" t="s">
        <v>6200</v>
      </c>
      <c r="FZR1" s="16" t="s">
        <v>6201</v>
      </c>
      <c r="FZS1" s="16" t="s">
        <v>6202</v>
      </c>
      <c r="FZT1" s="16" t="s">
        <v>6203</v>
      </c>
      <c r="FZU1" s="16" t="s">
        <v>6204</v>
      </c>
      <c r="FZV1" s="16" t="s">
        <v>6205</v>
      </c>
      <c r="FZW1" s="16" t="s">
        <v>6206</v>
      </c>
      <c r="FZX1" s="16" t="s">
        <v>6207</v>
      </c>
      <c r="FZY1" s="16" t="s">
        <v>6208</v>
      </c>
      <c r="FZZ1" s="16" t="s">
        <v>6209</v>
      </c>
      <c r="GAA1" s="16" t="s">
        <v>6210</v>
      </c>
      <c r="GAB1" s="16" t="s">
        <v>6211</v>
      </c>
      <c r="GAC1" s="16" t="s">
        <v>6212</v>
      </c>
      <c r="GAD1" s="16" t="s">
        <v>6213</v>
      </c>
      <c r="GAE1" s="16" t="s">
        <v>6214</v>
      </c>
      <c r="GAF1" s="16" t="s">
        <v>6215</v>
      </c>
      <c r="GAG1" s="16" t="s">
        <v>6216</v>
      </c>
      <c r="GAH1" s="16" t="s">
        <v>6217</v>
      </c>
      <c r="GAI1" s="16" t="s">
        <v>6218</v>
      </c>
      <c r="GAJ1" s="16" t="s">
        <v>6219</v>
      </c>
      <c r="GAK1" s="16" t="s">
        <v>6220</v>
      </c>
      <c r="GAL1" s="16" t="s">
        <v>6221</v>
      </c>
      <c r="GAM1" s="16" t="s">
        <v>6222</v>
      </c>
      <c r="GAN1" s="16" t="s">
        <v>6223</v>
      </c>
      <c r="GAO1" s="16" t="s">
        <v>6224</v>
      </c>
      <c r="GAP1" s="16" t="s">
        <v>6225</v>
      </c>
      <c r="GAQ1" s="16" t="s">
        <v>6226</v>
      </c>
      <c r="GAR1" s="16" t="s">
        <v>6227</v>
      </c>
      <c r="GAS1" s="16" t="s">
        <v>6228</v>
      </c>
      <c r="GAT1" s="16" t="s">
        <v>6229</v>
      </c>
      <c r="GAU1" s="16" t="s">
        <v>6230</v>
      </c>
      <c r="GAV1" s="16" t="s">
        <v>6231</v>
      </c>
      <c r="GAW1" s="16" t="s">
        <v>6232</v>
      </c>
      <c r="GAX1" s="16" t="s">
        <v>6233</v>
      </c>
      <c r="GAY1" s="16" t="s">
        <v>6234</v>
      </c>
      <c r="GAZ1" s="16" t="s">
        <v>6235</v>
      </c>
      <c r="GBA1" s="16" t="s">
        <v>6236</v>
      </c>
      <c r="GBB1" s="16" t="s">
        <v>6237</v>
      </c>
      <c r="GBC1" s="16" t="s">
        <v>6238</v>
      </c>
      <c r="GBD1" s="16" t="s">
        <v>6239</v>
      </c>
      <c r="GBE1" s="16" t="s">
        <v>6240</v>
      </c>
      <c r="GBF1" s="16" t="s">
        <v>6241</v>
      </c>
      <c r="GBG1" s="16" t="s">
        <v>6242</v>
      </c>
      <c r="GBH1" s="16" t="s">
        <v>6243</v>
      </c>
      <c r="GBI1" s="16" t="s">
        <v>6244</v>
      </c>
      <c r="GBJ1" s="16" t="s">
        <v>6245</v>
      </c>
      <c r="GBK1" s="16" t="s">
        <v>6246</v>
      </c>
      <c r="GBL1" s="16" t="s">
        <v>6247</v>
      </c>
      <c r="GBM1" s="16" t="s">
        <v>6248</v>
      </c>
      <c r="GBN1" s="16" t="s">
        <v>6249</v>
      </c>
      <c r="GBO1" s="16" t="s">
        <v>6250</v>
      </c>
      <c r="GBP1" s="16" t="s">
        <v>6251</v>
      </c>
      <c r="GBQ1" s="16" t="s">
        <v>6252</v>
      </c>
      <c r="GBR1" s="16" t="s">
        <v>6253</v>
      </c>
      <c r="GBS1" s="16" t="s">
        <v>6254</v>
      </c>
      <c r="GBT1" s="16" t="s">
        <v>6255</v>
      </c>
      <c r="GBU1" s="16" t="s">
        <v>6256</v>
      </c>
      <c r="GBV1" s="16" t="s">
        <v>6257</v>
      </c>
      <c r="GBW1" s="16" t="s">
        <v>6258</v>
      </c>
      <c r="GBX1" s="16" t="s">
        <v>6259</v>
      </c>
      <c r="GBY1" s="16" t="s">
        <v>6260</v>
      </c>
      <c r="GBZ1" s="16" t="s">
        <v>6261</v>
      </c>
      <c r="GCA1" s="16" t="s">
        <v>6262</v>
      </c>
      <c r="GCB1" s="16" t="s">
        <v>6263</v>
      </c>
      <c r="GCC1" s="16" t="s">
        <v>6264</v>
      </c>
      <c r="GCD1" s="16" t="s">
        <v>6265</v>
      </c>
      <c r="GCE1" s="16" t="s">
        <v>6266</v>
      </c>
      <c r="GCF1" s="16" t="s">
        <v>6267</v>
      </c>
      <c r="GCG1" s="16" t="s">
        <v>6268</v>
      </c>
      <c r="GCH1" s="16" t="s">
        <v>6269</v>
      </c>
      <c r="GCI1" s="16" t="s">
        <v>6270</v>
      </c>
      <c r="GCJ1" s="16" t="s">
        <v>6271</v>
      </c>
      <c r="GCK1" s="16" t="s">
        <v>6272</v>
      </c>
      <c r="GCL1" s="16" t="s">
        <v>6273</v>
      </c>
      <c r="GCM1" s="16" t="s">
        <v>6274</v>
      </c>
      <c r="GCN1" s="16" t="s">
        <v>6275</v>
      </c>
      <c r="GCO1" s="16" t="s">
        <v>6276</v>
      </c>
      <c r="GCP1" s="16" t="s">
        <v>6277</v>
      </c>
      <c r="GCQ1" s="16" t="s">
        <v>6278</v>
      </c>
      <c r="GCR1" s="16" t="s">
        <v>6279</v>
      </c>
      <c r="GCS1" s="16" t="s">
        <v>6280</v>
      </c>
      <c r="GCT1" s="16" t="s">
        <v>6281</v>
      </c>
      <c r="GCU1" s="16" t="s">
        <v>6282</v>
      </c>
      <c r="GCV1" s="16" t="s">
        <v>6283</v>
      </c>
      <c r="GCW1" s="16" t="s">
        <v>6284</v>
      </c>
      <c r="GCX1" s="16" t="s">
        <v>6285</v>
      </c>
      <c r="GCY1" s="16" t="s">
        <v>6286</v>
      </c>
      <c r="GCZ1" s="16" t="s">
        <v>6287</v>
      </c>
      <c r="GDA1" s="16" t="s">
        <v>6288</v>
      </c>
      <c r="GDB1" s="16" t="s">
        <v>6289</v>
      </c>
      <c r="GDC1" s="16" t="s">
        <v>6290</v>
      </c>
      <c r="GDD1" s="16" t="s">
        <v>6291</v>
      </c>
      <c r="GDE1" s="16" t="s">
        <v>6292</v>
      </c>
      <c r="GDF1" s="16" t="s">
        <v>6293</v>
      </c>
      <c r="GDG1" s="16" t="s">
        <v>6294</v>
      </c>
      <c r="GDH1" s="16" t="s">
        <v>6295</v>
      </c>
      <c r="GDI1" s="16" t="s">
        <v>6296</v>
      </c>
      <c r="GDJ1" s="16" t="s">
        <v>6297</v>
      </c>
      <c r="GDK1" s="16" t="s">
        <v>6298</v>
      </c>
      <c r="GDL1" s="16" t="s">
        <v>6299</v>
      </c>
      <c r="GDM1" s="16" t="s">
        <v>6300</v>
      </c>
      <c r="GDN1" s="16" t="s">
        <v>6301</v>
      </c>
      <c r="GDO1" s="16" t="s">
        <v>6302</v>
      </c>
      <c r="GDP1" s="16" t="s">
        <v>6303</v>
      </c>
      <c r="GDQ1" s="16" t="s">
        <v>6304</v>
      </c>
      <c r="GDR1" s="16" t="s">
        <v>6305</v>
      </c>
      <c r="GDS1" s="16" t="s">
        <v>6306</v>
      </c>
      <c r="GDT1" s="16" t="s">
        <v>6307</v>
      </c>
      <c r="GDU1" s="16" t="s">
        <v>6308</v>
      </c>
      <c r="GDV1" s="16" t="s">
        <v>6309</v>
      </c>
      <c r="GDW1" s="16" t="s">
        <v>6310</v>
      </c>
      <c r="GDX1" s="16" t="s">
        <v>6311</v>
      </c>
      <c r="GDY1" s="16" t="s">
        <v>6312</v>
      </c>
      <c r="GDZ1" s="16" t="s">
        <v>6313</v>
      </c>
      <c r="GEA1" s="16" t="s">
        <v>6314</v>
      </c>
      <c r="GEB1" s="16" t="s">
        <v>6315</v>
      </c>
      <c r="GEC1" s="16" t="s">
        <v>6316</v>
      </c>
      <c r="GED1" s="16" t="s">
        <v>6317</v>
      </c>
      <c r="GEE1" s="16" t="s">
        <v>6318</v>
      </c>
      <c r="GEF1" s="16" t="s">
        <v>6319</v>
      </c>
      <c r="GEG1" s="16" t="s">
        <v>6320</v>
      </c>
      <c r="GEH1" s="16" t="s">
        <v>6321</v>
      </c>
      <c r="GEI1" s="16" t="s">
        <v>6322</v>
      </c>
      <c r="GEJ1" s="16" t="s">
        <v>6323</v>
      </c>
      <c r="GEK1" s="16" t="s">
        <v>6324</v>
      </c>
      <c r="GEL1" s="16" t="s">
        <v>6325</v>
      </c>
      <c r="GEM1" s="16" t="s">
        <v>6326</v>
      </c>
      <c r="GEN1" s="16" t="s">
        <v>6327</v>
      </c>
      <c r="GEO1" s="16" t="s">
        <v>6328</v>
      </c>
      <c r="GEP1" s="16" t="s">
        <v>6329</v>
      </c>
      <c r="GEQ1" s="16" t="s">
        <v>6330</v>
      </c>
      <c r="GER1" s="16" t="s">
        <v>6331</v>
      </c>
      <c r="GES1" s="16" t="s">
        <v>6332</v>
      </c>
      <c r="GET1" s="16" t="s">
        <v>6333</v>
      </c>
      <c r="GEU1" s="16" t="s">
        <v>6334</v>
      </c>
      <c r="GEV1" s="16" t="s">
        <v>6335</v>
      </c>
      <c r="GEW1" s="16" t="s">
        <v>6336</v>
      </c>
      <c r="GEX1" s="16" t="s">
        <v>6337</v>
      </c>
      <c r="GEY1" s="16" t="s">
        <v>6338</v>
      </c>
      <c r="GEZ1" s="16" t="s">
        <v>6339</v>
      </c>
      <c r="GFA1" s="16" t="s">
        <v>6340</v>
      </c>
      <c r="GFB1" s="16" t="s">
        <v>6341</v>
      </c>
      <c r="GFC1" s="16" t="s">
        <v>6342</v>
      </c>
      <c r="GFD1" s="16" t="s">
        <v>6343</v>
      </c>
      <c r="GFE1" s="16" t="s">
        <v>6344</v>
      </c>
      <c r="GFF1" s="16" t="s">
        <v>6345</v>
      </c>
      <c r="GFG1" s="16" t="s">
        <v>6346</v>
      </c>
      <c r="GFH1" s="16" t="s">
        <v>6347</v>
      </c>
      <c r="GFI1" s="16" t="s">
        <v>6348</v>
      </c>
      <c r="GFJ1" s="16" t="s">
        <v>6349</v>
      </c>
      <c r="GFK1" s="16" t="s">
        <v>6350</v>
      </c>
      <c r="GFL1" s="16" t="s">
        <v>6351</v>
      </c>
      <c r="GFM1" s="16" t="s">
        <v>6352</v>
      </c>
      <c r="GFN1" s="16" t="s">
        <v>6353</v>
      </c>
      <c r="GFO1" s="16" t="s">
        <v>6354</v>
      </c>
      <c r="GFP1" s="16" t="s">
        <v>6355</v>
      </c>
      <c r="GFQ1" s="16" t="s">
        <v>6356</v>
      </c>
      <c r="GFR1" s="16" t="s">
        <v>6357</v>
      </c>
      <c r="GFS1" s="16" t="s">
        <v>6358</v>
      </c>
      <c r="GFT1" s="16" t="s">
        <v>6359</v>
      </c>
      <c r="GFU1" s="16" t="s">
        <v>6360</v>
      </c>
      <c r="GFV1" s="16" t="s">
        <v>6361</v>
      </c>
      <c r="GFW1" s="16" t="s">
        <v>6362</v>
      </c>
      <c r="GFX1" s="16" t="s">
        <v>6363</v>
      </c>
      <c r="GFY1" s="16" t="s">
        <v>6364</v>
      </c>
      <c r="GFZ1" s="16" t="s">
        <v>6365</v>
      </c>
      <c r="GGA1" s="16" t="s">
        <v>6366</v>
      </c>
      <c r="GGB1" s="16" t="s">
        <v>6367</v>
      </c>
      <c r="GGC1" s="16" t="s">
        <v>6368</v>
      </c>
      <c r="GGD1" s="16" t="s">
        <v>6369</v>
      </c>
      <c r="GGE1" s="16" t="s">
        <v>6370</v>
      </c>
      <c r="GGF1" s="16" t="s">
        <v>6371</v>
      </c>
      <c r="GGG1" s="16" t="s">
        <v>6372</v>
      </c>
      <c r="GGH1" s="16" t="s">
        <v>6373</v>
      </c>
      <c r="GGI1" s="16" t="s">
        <v>6374</v>
      </c>
      <c r="GGJ1" s="16" t="s">
        <v>6375</v>
      </c>
      <c r="GGK1" s="16" t="s">
        <v>6376</v>
      </c>
      <c r="GGL1" s="16" t="s">
        <v>6377</v>
      </c>
      <c r="GGM1" s="16" t="s">
        <v>6378</v>
      </c>
      <c r="GGN1" s="16" t="s">
        <v>6379</v>
      </c>
      <c r="GGO1" s="16" t="s">
        <v>6380</v>
      </c>
      <c r="GGP1" s="16" t="s">
        <v>6381</v>
      </c>
      <c r="GGQ1" s="16" t="s">
        <v>6382</v>
      </c>
      <c r="GGR1" s="16" t="s">
        <v>6383</v>
      </c>
      <c r="GGS1" s="16" t="s">
        <v>6384</v>
      </c>
      <c r="GGT1" s="16" t="s">
        <v>6385</v>
      </c>
      <c r="GGU1" s="16" t="s">
        <v>6386</v>
      </c>
      <c r="GGV1" s="16" t="s">
        <v>6387</v>
      </c>
      <c r="GGW1" s="16" t="s">
        <v>6388</v>
      </c>
      <c r="GGX1" s="16" t="s">
        <v>6389</v>
      </c>
      <c r="GGY1" s="16" t="s">
        <v>6390</v>
      </c>
      <c r="GGZ1" s="16" t="s">
        <v>6391</v>
      </c>
      <c r="GHA1" s="16" t="s">
        <v>6392</v>
      </c>
      <c r="GHB1" s="16" t="s">
        <v>6393</v>
      </c>
      <c r="GHC1" s="16" t="s">
        <v>6394</v>
      </c>
      <c r="GHD1" s="16" t="s">
        <v>6395</v>
      </c>
      <c r="GHE1" s="16" t="s">
        <v>6396</v>
      </c>
      <c r="GHF1" s="16" t="s">
        <v>6397</v>
      </c>
      <c r="GHG1" s="16" t="s">
        <v>6398</v>
      </c>
      <c r="GHH1" s="16" t="s">
        <v>6399</v>
      </c>
      <c r="GHI1" s="16" t="s">
        <v>6400</v>
      </c>
      <c r="GHJ1" s="16" t="s">
        <v>6401</v>
      </c>
      <c r="GHK1" s="16" t="s">
        <v>6402</v>
      </c>
      <c r="GHL1" s="16" t="s">
        <v>6403</v>
      </c>
      <c r="GHM1" s="16" t="s">
        <v>6404</v>
      </c>
      <c r="GHN1" s="16" t="s">
        <v>6405</v>
      </c>
      <c r="GHO1" s="16" t="s">
        <v>6406</v>
      </c>
      <c r="GHP1" s="16" t="s">
        <v>6407</v>
      </c>
      <c r="GHQ1" s="16" t="s">
        <v>6408</v>
      </c>
      <c r="GHR1" s="16" t="s">
        <v>6409</v>
      </c>
      <c r="GHS1" s="16" t="s">
        <v>6410</v>
      </c>
      <c r="GHT1" s="16" t="s">
        <v>6411</v>
      </c>
      <c r="GHU1" s="16" t="s">
        <v>6412</v>
      </c>
      <c r="GHV1" s="16" t="s">
        <v>6413</v>
      </c>
      <c r="GHW1" s="16" t="s">
        <v>6414</v>
      </c>
      <c r="GHX1" s="16" t="s">
        <v>6415</v>
      </c>
      <c r="GHY1" s="16" t="s">
        <v>6416</v>
      </c>
      <c r="GHZ1" s="16" t="s">
        <v>6417</v>
      </c>
      <c r="GIA1" s="16" t="s">
        <v>6418</v>
      </c>
      <c r="GIB1" s="16" t="s">
        <v>6419</v>
      </c>
      <c r="GIC1" s="16" t="s">
        <v>6420</v>
      </c>
      <c r="GID1" s="16" t="s">
        <v>6421</v>
      </c>
      <c r="GIE1" s="16" t="s">
        <v>6422</v>
      </c>
      <c r="GIF1" s="16" t="s">
        <v>6423</v>
      </c>
      <c r="GIG1" s="16" t="s">
        <v>6424</v>
      </c>
      <c r="GIH1" s="16" t="s">
        <v>6425</v>
      </c>
      <c r="GII1" s="16" t="s">
        <v>6426</v>
      </c>
      <c r="GIJ1" s="16" t="s">
        <v>6427</v>
      </c>
      <c r="GIK1" s="16" t="s">
        <v>6428</v>
      </c>
      <c r="GIL1" s="16" t="s">
        <v>6429</v>
      </c>
      <c r="GIM1" s="16" t="s">
        <v>6430</v>
      </c>
      <c r="GIN1" s="16" t="s">
        <v>6431</v>
      </c>
      <c r="GIO1" s="16" t="s">
        <v>6432</v>
      </c>
      <c r="GIP1" s="16" t="s">
        <v>6433</v>
      </c>
      <c r="GIQ1" s="16" t="s">
        <v>6434</v>
      </c>
      <c r="GIR1" s="16" t="s">
        <v>6435</v>
      </c>
      <c r="GIS1" s="16" t="s">
        <v>6436</v>
      </c>
      <c r="GIT1" s="16" t="s">
        <v>6437</v>
      </c>
      <c r="GIU1" s="16" t="s">
        <v>6438</v>
      </c>
      <c r="GIV1" s="16" t="s">
        <v>6439</v>
      </c>
      <c r="GIW1" s="16" t="s">
        <v>6440</v>
      </c>
      <c r="GIX1" s="16" t="s">
        <v>6441</v>
      </c>
      <c r="GIY1" s="16" t="s">
        <v>6442</v>
      </c>
      <c r="GIZ1" s="16" t="s">
        <v>6443</v>
      </c>
      <c r="GJA1" s="16" t="s">
        <v>6444</v>
      </c>
      <c r="GJB1" s="16" t="s">
        <v>6445</v>
      </c>
      <c r="GJC1" s="16" t="s">
        <v>6446</v>
      </c>
      <c r="GJD1" s="16" t="s">
        <v>6447</v>
      </c>
      <c r="GJE1" s="16" t="s">
        <v>6448</v>
      </c>
      <c r="GJF1" s="16" t="s">
        <v>6449</v>
      </c>
      <c r="GJG1" s="16" t="s">
        <v>6450</v>
      </c>
      <c r="GJH1" s="16" t="s">
        <v>6451</v>
      </c>
      <c r="GJI1" s="16" t="s">
        <v>6452</v>
      </c>
      <c r="GJJ1" s="16" t="s">
        <v>6453</v>
      </c>
      <c r="GJK1" s="16" t="s">
        <v>6454</v>
      </c>
      <c r="GJL1" s="16" t="s">
        <v>6455</v>
      </c>
      <c r="GJM1" s="16" t="s">
        <v>6456</v>
      </c>
      <c r="GJN1" s="16" t="s">
        <v>6457</v>
      </c>
      <c r="GJO1" s="16" t="s">
        <v>6458</v>
      </c>
      <c r="GJP1" s="16" t="s">
        <v>6459</v>
      </c>
      <c r="GJQ1" s="16" t="s">
        <v>6460</v>
      </c>
      <c r="GJR1" s="16" t="s">
        <v>6461</v>
      </c>
      <c r="GJS1" s="16" t="s">
        <v>6462</v>
      </c>
      <c r="GJT1" s="16" t="s">
        <v>6463</v>
      </c>
      <c r="GJU1" s="16" t="s">
        <v>6464</v>
      </c>
      <c r="GJV1" s="16" t="s">
        <v>6465</v>
      </c>
      <c r="GJW1" s="16" t="s">
        <v>6466</v>
      </c>
      <c r="GJX1" s="16" t="s">
        <v>6467</v>
      </c>
      <c r="GJY1" s="16" t="s">
        <v>6468</v>
      </c>
      <c r="GJZ1" s="16" t="s">
        <v>6469</v>
      </c>
      <c r="GKA1" s="16" t="s">
        <v>6470</v>
      </c>
      <c r="GKB1" s="16" t="s">
        <v>6471</v>
      </c>
      <c r="GKC1" s="16" t="s">
        <v>6472</v>
      </c>
      <c r="GKD1" s="16" t="s">
        <v>6473</v>
      </c>
      <c r="GKE1" s="16" t="s">
        <v>6474</v>
      </c>
      <c r="GKF1" s="16" t="s">
        <v>6475</v>
      </c>
      <c r="GKG1" s="16" t="s">
        <v>6476</v>
      </c>
      <c r="GKH1" s="16" t="s">
        <v>6477</v>
      </c>
      <c r="GKI1" s="16" t="s">
        <v>6478</v>
      </c>
      <c r="GKJ1" s="16" t="s">
        <v>6479</v>
      </c>
      <c r="GKK1" s="16" t="s">
        <v>6480</v>
      </c>
      <c r="GKL1" s="16" t="s">
        <v>6481</v>
      </c>
      <c r="GKM1" s="16" t="s">
        <v>6482</v>
      </c>
      <c r="GKN1" s="16" t="s">
        <v>6483</v>
      </c>
      <c r="GKO1" s="16" t="s">
        <v>6484</v>
      </c>
      <c r="GKP1" s="16" t="s">
        <v>6485</v>
      </c>
      <c r="GKQ1" s="16" t="s">
        <v>6486</v>
      </c>
      <c r="GKR1" s="16" t="s">
        <v>6487</v>
      </c>
      <c r="GKS1" s="16" t="s">
        <v>6488</v>
      </c>
      <c r="GKT1" s="16" t="s">
        <v>6489</v>
      </c>
      <c r="GKU1" s="16" t="s">
        <v>6490</v>
      </c>
      <c r="GKV1" s="16" t="s">
        <v>6491</v>
      </c>
      <c r="GKW1" s="16" t="s">
        <v>6492</v>
      </c>
      <c r="GKX1" s="16" t="s">
        <v>6493</v>
      </c>
      <c r="GKY1" s="16" t="s">
        <v>6494</v>
      </c>
      <c r="GKZ1" s="16" t="s">
        <v>6495</v>
      </c>
      <c r="GLA1" s="16" t="s">
        <v>6496</v>
      </c>
      <c r="GLB1" s="16" t="s">
        <v>6497</v>
      </c>
      <c r="GLC1" s="16" t="s">
        <v>6498</v>
      </c>
      <c r="GLD1" s="16" t="s">
        <v>6499</v>
      </c>
      <c r="GLE1" s="16" t="s">
        <v>6500</v>
      </c>
      <c r="GLF1" s="16" t="s">
        <v>6501</v>
      </c>
      <c r="GLG1" s="16" t="s">
        <v>6502</v>
      </c>
      <c r="GLH1" s="16" t="s">
        <v>6503</v>
      </c>
      <c r="GLI1" s="16" t="s">
        <v>6504</v>
      </c>
      <c r="GLJ1" s="16" t="s">
        <v>6505</v>
      </c>
      <c r="GLK1" s="16" t="s">
        <v>6506</v>
      </c>
      <c r="GLL1" s="16" t="s">
        <v>6507</v>
      </c>
      <c r="GLM1" s="16" t="s">
        <v>6508</v>
      </c>
      <c r="GLN1" s="16" t="s">
        <v>6509</v>
      </c>
      <c r="GLO1" s="16" t="s">
        <v>6510</v>
      </c>
      <c r="GLP1" s="16" t="s">
        <v>6511</v>
      </c>
      <c r="GLQ1" s="16" t="s">
        <v>6512</v>
      </c>
      <c r="GLR1" s="16" t="s">
        <v>6513</v>
      </c>
      <c r="GLS1" s="16" t="s">
        <v>6514</v>
      </c>
      <c r="GLT1" s="16" t="s">
        <v>6515</v>
      </c>
      <c r="GLU1" s="16" t="s">
        <v>6516</v>
      </c>
      <c r="GLV1" s="16" t="s">
        <v>6517</v>
      </c>
      <c r="GLW1" s="16" t="s">
        <v>6518</v>
      </c>
      <c r="GLX1" s="16" t="s">
        <v>6519</v>
      </c>
      <c r="GLY1" s="16" t="s">
        <v>6520</v>
      </c>
      <c r="GLZ1" s="16" t="s">
        <v>6521</v>
      </c>
      <c r="GMA1" s="16" t="s">
        <v>6522</v>
      </c>
      <c r="GMB1" s="16" t="s">
        <v>6523</v>
      </c>
      <c r="GMC1" s="16" t="s">
        <v>6524</v>
      </c>
      <c r="GMD1" s="16" t="s">
        <v>6525</v>
      </c>
      <c r="GME1" s="16" t="s">
        <v>6526</v>
      </c>
      <c r="GMF1" s="16" t="s">
        <v>6527</v>
      </c>
      <c r="GMG1" s="16" t="s">
        <v>6528</v>
      </c>
      <c r="GMH1" s="16" t="s">
        <v>6529</v>
      </c>
      <c r="GMI1" s="16" t="s">
        <v>6530</v>
      </c>
      <c r="GMJ1" s="16" t="s">
        <v>6531</v>
      </c>
      <c r="GMK1" s="16" t="s">
        <v>6532</v>
      </c>
      <c r="GML1" s="16" t="s">
        <v>6533</v>
      </c>
      <c r="GMM1" s="16" t="s">
        <v>6534</v>
      </c>
      <c r="GMN1" s="16" t="s">
        <v>6535</v>
      </c>
      <c r="GMO1" s="16" t="s">
        <v>6536</v>
      </c>
      <c r="GMP1" s="16" t="s">
        <v>6537</v>
      </c>
      <c r="GMQ1" s="16" t="s">
        <v>6538</v>
      </c>
      <c r="GMR1" s="16" t="s">
        <v>6539</v>
      </c>
      <c r="GMS1" s="16" t="s">
        <v>6540</v>
      </c>
      <c r="GMT1" s="16" t="s">
        <v>6541</v>
      </c>
      <c r="GMU1" s="16" t="s">
        <v>6542</v>
      </c>
      <c r="GMV1" s="16" t="s">
        <v>6543</v>
      </c>
      <c r="GMW1" s="16" t="s">
        <v>6544</v>
      </c>
      <c r="GMX1" s="16" t="s">
        <v>6545</v>
      </c>
      <c r="GMY1" s="16" t="s">
        <v>6546</v>
      </c>
      <c r="GMZ1" s="16" t="s">
        <v>6547</v>
      </c>
      <c r="GNA1" s="16" t="s">
        <v>6548</v>
      </c>
      <c r="GNB1" s="16" t="s">
        <v>6549</v>
      </c>
      <c r="GNC1" s="16" t="s">
        <v>6550</v>
      </c>
      <c r="GND1" s="16" t="s">
        <v>6551</v>
      </c>
      <c r="GNE1" s="16" t="s">
        <v>6552</v>
      </c>
      <c r="GNF1" s="16" t="s">
        <v>6553</v>
      </c>
      <c r="GNG1" s="16" t="s">
        <v>6554</v>
      </c>
      <c r="GNH1" s="16" t="s">
        <v>6555</v>
      </c>
      <c r="GNI1" s="16" t="s">
        <v>6556</v>
      </c>
      <c r="GNJ1" s="16" t="s">
        <v>6557</v>
      </c>
      <c r="GNK1" s="16" t="s">
        <v>6558</v>
      </c>
      <c r="GNL1" s="16" t="s">
        <v>6559</v>
      </c>
      <c r="GNM1" s="16" t="s">
        <v>6560</v>
      </c>
      <c r="GNN1" s="16" t="s">
        <v>6561</v>
      </c>
      <c r="GNO1" s="16" t="s">
        <v>6562</v>
      </c>
      <c r="GNP1" s="16" t="s">
        <v>6563</v>
      </c>
      <c r="GNQ1" s="16" t="s">
        <v>6564</v>
      </c>
      <c r="GNR1" s="16" t="s">
        <v>6565</v>
      </c>
      <c r="GNS1" s="16" t="s">
        <v>6566</v>
      </c>
      <c r="GNT1" s="16" t="s">
        <v>6567</v>
      </c>
      <c r="GNU1" s="16" t="s">
        <v>6568</v>
      </c>
      <c r="GNV1" s="16" t="s">
        <v>6569</v>
      </c>
      <c r="GNW1" s="16" t="s">
        <v>6570</v>
      </c>
      <c r="GNX1" s="16" t="s">
        <v>6571</v>
      </c>
      <c r="GNY1" s="16" t="s">
        <v>6572</v>
      </c>
      <c r="GNZ1" s="16" t="s">
        <v>6573</v>
      </c>
      <c r="GOA1" s="16" t="s">
        <v>6574</v>
      </c>
      <c r="GOB1" s="16" t="s">
        <v>6575</v>
      </c>
      <c r="GOC1" s="16" t="s">
        <v>6576</v>
      </c>
      <c r="GOD1" s="16" t="s">
        <v>6577</v>
      </c>
      <c r="GOE1" s="16" t="s">
        <v>6578</v>
      </c>
      <c r="GOF1" s="16" t="s">
        <v>6579</v>
      </c>
      <c r="GOG1" s="16" t="s">
        <v>6580</v>
      </c>
      <c r="GOH1" s="16" t="s">
        <v>6581</v>
      </c>
      <c r="GOI1" s="16" t="s">
        <v>6582</v>
      </c>
      <c r="GOJ1" s="16" t="s">
        <v>6583</v>
      </c>
      <c r="GOK1" s="16" t="s">
        <v>6584</v>
      </c>
      <c r="GOL1" s="16" t="s">
        <v>6585</v>
      </c>
      <c r="GOM1" s="16" t="s">
        <v>6586</v>
      </c>
      <c r="GON1" s="16" t="s">
        <v>6587</v>
      </c>
      <c r="GOO1" s="16" t="s">
        <v>6588</v>
      </c>
      <c r="GOP1" s="16" t="s">
        <v>6589</v>
      </c>
      <c r="GOQ1" s="16" t="s">
        <v>6590</v>
      </c>
      <c r="GOR1" s="16" t="s">
        <v>6591</v>
      </c>
      <c r="GOS1" s="16" t="s">
        <v>6592</v>
      </c>
      <c r="GOT1" s="16" t="s">
        <v>6593</v>
      </c>
      <c r="GOU1" s="16" t="s">
        <v>6594</v>
      </c>
      <c r="GOV1" s="16" t="s">
        <v>6595</v>
      </c>
      <c r="GOW1" s="16" t="s">
        <v>6596</v>
      </c>
      <c r="GOX1" s="16" t="s">
        <v>6597</v>
      </c>
      <c r="GOY1" s="16" t="s">
        <v>6598</v>
      </c>
      <c r="GOZ1" s="16" t="s">
        <v>6599</v>
      </c>
      <c r="GPA1" s="16" t="s">
        <v>6600</v>
      </c>
      <c r="GPB1" s="16" t="s">
        <v>6601</v>
      </c>
      <c r="GPC1" s="16" t="s">
        <v>6602</v>
      </c>
      <c r="GPD1" s="16" t="s">
        <v>6603</v>
      </c>
      <c r="GPE1" s="16" t="s">
        <v>6604</v>
      </c>
      <c r="GPF1" s="16" t="s">
        <v>6605</v>
      </c>
      <c r="GPG1" s="16" t="s">
        <v>6606</v>
      </c>
      <c r="GPH1" s="16" t="s">
        <v>6607</v>
      </c>
      <c r="GPI1" s="16" t="s">
        <v>6608</v>
      </c>
      <c r="GPJ1" s="16" t="s">
        <v>6609</v>
      </c>
      <c r="GPK1" s="16" t="s">
        <v>6610</v>
      </c>
      <c r="GPL1" s="16" t="s">
        <v>6611</v>
      </c>
      <c r="GPM1" s="16" t="s">
        <v>6612</v>
      </c>
      <c r="GPN1" s="16" t="s">
        <v>6613</v>
      </c>
      <c r="GPO1" s="16" t="s">
        <v>6614</v>
      </c>
      <c r="GPP1" s="16" t="s">
        <v>6615</v>
      </c>
      <c r="GPQ1" s="16" t="s">
        <v>6616</v>
      </c>
      <c r="GPR1" s="16" t="s">
        <v>6617</v>
      </c>
      <c r="GPS1" s="16" t="s">
        <v>6618</v>
      </c>
      <c r="GPT1" s="16" t="s">
        <v>6619</v>
      </c>
      <c r="GPU1" s="16" t="s">
        <v>6620</v>
      </c>
      <c r="GPV1" s="16" t="s">
        <v>6621</v>
      </c>
      <c r="GPW1" s="16" t="s">
        <v>6622</v>
      </c>
      <c r="GPX1" s="16" t="s">
        <v>6623</v>
      </c>
      <c r="GPY1" s="16" t="s">
        <v>6624</v>
      </c>
      <c r="GPZ1" s="16" t="s">
        <v>6625</v>
      </c>
      <c r="GQA1" s="16" t="s">
        <v>6626</v>
      </c>
      <c r="GQB1" s="16" t="s">
        <v>6627</v>
      </c>
      <c r="GQC1" s="16" t="s">
        <v>6628</v>
      </c>
      <c r="GQD1" s="16" t="s">
        <v>6629</v>
      </c>
      <c r="GQE1" s="16" t="s">
        <v>6630</v>
      </c>
      <c r="GQF1" s="16" t="s">
        <v>6631</v>
      </c>
      <c r="GQG1" s="16" t="s">
        <v>6632</v>
      </c>
      <c r="GQH1" s="16" t="s">
        <v>6633</v>
      </c>
      <c r="GQI1" s="16" t="s">
        <v>6634</v>
      </c>
      <c r="GQJ1" s="16" t="s">
        <v>6635</v>
      </c>
      <c r="GQK1" s="16" t="s">
        <v>6636</v>
      </c>
      <c r="GQL1" s="16" t="s">
        <v>6637</v>
      </c>
      <c r="GQM1" s="16" t="s">
        <v>6638</v>
      </c>
      <c r="GQN1" s="16" t="s">
        <v>6639</v>
      </c>
      <c r="GQO1" s="16" t="s">
        <v>6640</v>
      </c>
      <c r="GQP1" s="16" t="s">
        <v>6641</v>
      </c>
      <c r="GQQ1" s="16" t="s">
        <v>6642</v>
      </c>
      <c r="GQR1" s="16" t="s">
        <v>6643</v>
      </c>
      <c r="GQS1" s="16" t="s">
        <v>6644</v>
      </c>
      <c r="GQT1" s="16" t="s">
        <v>6645</v>
      </c>
      <c r="GQU1" s="16" t="s">
        <v>6646</v>
      </c>
      <c r="GQV1" s="16" t="s">
        <v>6647</v>
      </c>
      <c r="GQW1" s="16" t="s">
        <v>6648</v>
      </c>
      <c r="GQX1" s="16" t="s">
        <v>6649</v>
      </c>
      <c r="GQY1" s="16" t="s">
        <v>6650</v>
      </c>
      <c r="GQZ1" s="16" t="s">
        <v>6651</v>
      </c>
      <c r="GRA1" s="16" t="s">
        <v>6652</v>
      </c>
      <c r="GRB1" s="16" t="s">
        <v>6653</v>
      </c>
      <c r="GRC1" s="16" t="s">
        <v>6654</v>
      </c>
      <c r="GRD1" s="16" t="s">
        <v>6655</v>
      </c>
      <c r="GRE1" s="16" t="s">
        <v>6656</v>
      </c>
      <c r="GRF1" s="16" t="s">
        <v>6657</v>
      </c>
      <c r="GRG1" s="16" t="s">
        <v>6658</v>
      </c>
      <c r="GRH1" s="16" t="s">
        <v>6659</v>
      </c>
      <c r="GRI1" s="16" t="s">
        <v>6660</v>
      </c>
      <c r="GRJ1" s="16" t="s">
        <v>6661</v>
      </c>
      <c r="GRK1" s="16" t="s">
        <v>6662</v>
      </c>
      <c r="GRL1" s="16" t="s">
        <v>6663</v>
      </c>
      <c r="GRM1" s="16" t="s">
        <v>6664</v>
      </c>
      <c r="GRN1" s="16" t="s">
        <v>6665</v>
      </c>
      <c r="GRO1" s="16" t="s">
        <v>6666</v>
      </c>
      <c r="GRP1" s="16" t="s">
        <v>6667</v>
      </c>
      <c r="GRQ1" s="16" t="s">
        <v>6668</v>
      </c>
      <c r="GRR1" s="16" t="s">
        <v>6669</v>
      </c>
      <c r="GRS1" s="16" t="s">
        <v>6670</v>
      </c>
      <c r="GRT1" s="16" t="s">
        <v>6671</v>
      </c>
      <c r="GRU1" s="16" t="s">
        <v>6672</v>
      </c>
      <c r="GRV1" s="16" t="s">
        <v>6673</v>
      </c>
      <c r="GRW1" s="16" t="s">
        <v>6674</v>
      </c>
      <c r="GRX1" s="16" t="s">
        <v>6675</v>
      </c>
      <c r="GRY1" s="16" t="s">
        <v>6676</v>
      </c>
      <c r="GRZ1" s="16" t="s">
        <v>6677</v>
      </c>
      <c r="GSA1" s="16" t="s">
        <v>6678</v>
      </c>
      <c r="GSB1" s="16" t="s">
        <v>6679</v>
      </c>
      <c r="GSC1" s="16" t="s">
        <v>6680</v>
      </c>
      <c r="GSD1" s="16" t="s">
        <v>6681</v>
      </c>
      <c r="GSE1" s="16" t="s">
        <v>6682</v>
      </c>
      <c r="GSF1" s="16" t="s">
        <v>6683</v>
      </c>
      <c r="GSG1" s="16" t="s">
        <v>6684</v>
      </c>
      <c r="GSH1" s="16" t="s">
        <v>6685</v>
      </c>
      <c r="GSI1" s="16" t="s">
        <v>6686</v>
      </c>
      <c r="GSJ1" s="16" t="s">
        <v>6687</v>
      </c>
      <c r="GSK1" s="16" t="s">
        <v>6688</v>
      </c>
      <c r="GSL1" s="16" t="s">
        <v>6689</v>
      </c>
      <c r="GSM1" s="16" t="s">
        <v>6690</v>
      </c>
      <c r="GSN1" s="16" t="s">
        <v>6691</v>
      </c>
      <c r="GSO1" s="16" t="s">
        <v>6692</v>
      </c>
      <c r="GSP1" s="16" t="s">
        <v>6693</v>
      </c>
      <c r="GSQ1" s="16" t="s">
        <v>6694</v>
      </c>
      <c r="GSR1" s="16" t="s">
        <v>6695</v>
      </c>
      <c r="GSS1" s="16" t="s">
        <v>6696</v>
      </c>
      <c r="GST1" s="16" t="s">
        <v>6697</v>
      </c>
      <c r="GSU1" s="16" t="s">
        <v>6698</v>
      </c>
      <c r="GSV1" s="16" t="s">
        <v>6699</v>
      </c>
      <c r="GSW1" s="16" t="s">
        <v>6700</v>
      </c>
      <c r="GSX1" s="16" t="s">
        <v>6701</v>
      </c>
      <c r="GSY1" s="16" t="s">
        <v>6702</v>
      </c>
      <c r="GSZ1" s="16" t="s">
        <v>6703</v>
      </c>
      <c r="GTA1" s="16" t="s">
        <v>6704</v>
      </c>
      <c r="GTB1" s="16" t="s">
        <v>6705</v>
      </c>
      <c r="GTC1" s="16" t="s">
        <v>6706</v>
      </c>
      <c r="GTD1" s="16" t="s">
        <v>6707</v>
      </c>
      <c r="GTE1" s="16" t="s">
        <v>6708</v>
      </c>
      <c r="GTF1" s="16" t="s">
        <v>6709</v>
      </c>
      <c r="GTG1" s="16" t="s">
        <v>6710</v>
      </c>
      <c r="GTH1" s="16" t="s">
        <v>6711</v>
      </c>
      <c r="GTI1" s="16" t="s">
        <v>6712</v>
      </c>
      <c r="GTJ1" s="16" t="s">
        <v>6713</v>
      </c>
      <c r="GTK1" s="16" t="s">
        <v>6714</v>
      </c>
      <c r="GTL1" s="16" t="s">
        <v>6715</v>
      </c>
      <c r="GTM1" s="16" t="s">
        <v>6716</v>
      </c>
      <c r="GTN1" s="16" t="s">
        <v>6717</v>
      </c>
      <c r="GTO1" s="16" t="s">
        <v>6718</v>
      </c>
      <c r="GTP1" s="16" t="s">
        <v>6719</v>
      </c>
      <c r="GTQ1" s="16" t="s">
        <v>6720</v>
      </c>
      <c r="GTR1" s="16" t="s">
        <v>6721</v>
      </c>
      <c r="GTS1" s="16" t="s">
        <v>6722</v>
      </c>
      <c r="GTT1" s="16" t="s">
        <v>6723</v>
      </c>
      <c r="GTU1" s="16" t="s">
        <v>6724</v>
      </c>
      <c r="GTV1" s="16" t="s">
        <v>6725</v>
      </c>
      <c r="GTW1" s="16" t="s">
        <v>6726</v>
      </c>
      <c r="GTX1" s="16" t="s">
        <v>6727</v>
      </c>
      <c r="GTY1" s="16" t="s">
        <v>6728</v>
      </c>
      <c r="GTZ1" s="16" t="s">
        <v>6729</v>
      </c>
      <c r="GUA1" s="16" t="s">
        <v>6730</v>
      </c>
      <c r="GUB1" s="16" t="s">
        <v>6731</v>
      </c>
      <c r="GUC1" s="16" t="s">
        <v>6732</v>
      </c>
      <c r="GUD1" s="16" t="s">
        <v>6733</v>
      </c>
      <c r="GUE1" s="16" t="s">
        <v>6734</v>
      </c>
      <c r="GUF1" s="16" t="s">
        <v>6735</v>
      </c>
      <c r="GUG1" s="16" t="s">
        <v>6736</v>
      </c>
      <c r="GUH1" s="16" t="s">
        <v>6737</v>
      </c>
      <c r="GUI1" s="16" t="s">
        <v>6738</v>
      </c>
      <c r="GUJ1" s="16" t="s">
        <v>6739</v>
      </c>
      <c r="GUK1" s="16" t="s">
        <v>6740</v>
      </c>
      <c r="GUL1" s="16" t="s">
        <v>6741</v>
      </c>
      <c r="GUM1" s="16" t="s">
        <v>6742</v>
      </c>
      <c r="GUN1" s="16" t="s">
        <v>6743</v>
      </c>
      <c r="GUO1" s="16" t="s">
        <v>6744</v>
      </c>
      <c r="GUP1" s="16" t="s">
        <v>6745</v>
      </c>
      <c r="GUQ1" s="16" t="s">
        <v>6746</v>
      </c>
      <c r="GUR1" s="16" t="s">
        <v>6747</v>
      </c>
      <c r="GUS1" s="16" t="s">
        <v>6748</v>
      </c>
      <c r="GUT1" s="16" t="s">
        <v>6749</v>
      </c>
      <c r="GUU1" s="16" t="s">
        <v>6750</v>
      </c>
      <c r="GUV1" s="16" t="s">
        <v>6751</v>
      </c>
      <c r="GUW1" s="16" t="s">
        <v>6752</v>
      </c>
      <c r="GUX1" s="16" t="s">
        <v>6753</v>
      </c>
      <c r="GUY1" s="16" t="s">
        <v>6754</v>
      </c>
      <c r="GUZ1" s="16" t="s">
        <v>6755</v>
      </c>
      <c r="GVA1" s="16" t="s">
        <v>6756</v>
      </c>
      <c r="GVB1" s="16" t="s">
        <v>6757</v>
      </c>
      <c r="GVC1" s="16" t="s">
        <v>6758</v>
      </c>
      <c r="GVD1" s="16" t="s">
        <v>6759</v>
      </c>
      <c r="GVE1" s="16" t="s">
        <v>6760</v>
      </c>
      <c r="GVF1" s="16" t="s">
        <v>6761</v>
      </c>
      <c r="GVG1" s="16" t="s">
        <v>6762</v>
      </c>
      <c r="GVH1" s="16" t="s">
        <v>6763</v>
      </c>
      <c r="GVI1" s="16" t="s">
        <v>6764</v>
      </c>
      <c r="GVJ1" s="16" t="s">
        <v>6765</v>
      </c>
      <c r="GVK1" s="16" t="s">
        <v>6766</v>
      </c>
      <c r="GVL1" s="16" t="s">
        <v>6767</v>
      </c>
      <c r="GVM1" s="16" t="s">
        <v>6768</v>
      </c>
      <c r="GVN1" s="16" t="s">
        <v>6769</v>
      </c>
      <c r="GVO1" s="16" t="s">
        <v>6770</v>
      </c>
      <c r="GVP1" s="16" t="s">
        <v>6771</v>
      </c>
      <c r="GVQ1" s="16" t="s">
        <v>6772</v>
      </c>
      <c r="GVR1" s="16" t="s">
        <v>6773</v>
      </c>
      <c r="GVS1" s="16" t="s">
        <v>6774</v>
      </c>
      <c r="GVT1" s="16" t="s">
        <v>6775</v>
      </c>
      <c r="GVU1" s="16" t="s">
        <v>6776</v>
      </c>
      <c r="GVV1" s="16" t="s">
        <v>6777</v>
      </c>
      <c r="GVW1" s="16" t="s">
        <v>6778</v>
      </c>
      <c r="GVX1" s="16" t="s">
        <v>6779</v>
      </c>
      <c r="GVY1" s="16" t="s">
        <v>6780</v>
      </c>
      <c r="GVZ1" s="16" t="s">
        <v>6781</v>
      </c>
      <c r="GWA1" s="16" t="s">
        <v>6782</v>
      </c>
      <c r="GWB1" s="16" t="s">
        <v>6783</v>
      </c>
      <c r="GWC1" s="16" t="s">
        <v>6784</v>
      </c>
      <c r="GWD1" s="16" t="s">
        <v>6785</v>
      </c>
      <c r="GWE1" s="16" t="s">
        <v>6786</v>
      </c>
      <c r="GWF1" s="16" t="s">
        <v>6787</v>
      </c>
      <c r="GWG1" s="16" t="s">
        <v>6788</v>
      </c>
      <c r="GWH1" s="16" t="s">
        <v>6789</v>
      </c>
      <c r="GWI1" s="16" t="s">
        <v>6790</v>
      </c>
      <c r="GWJ1" s="16" t="s">
        <v>6791</v>
      </c>
      <c r="GWK1" s="16" t="s">
        <v>6792</v>
      </c>
      <c r="GWL1" s="16" t="s">
        <v>6793</v>
      </c>
      <c r="GWM1" s="16" t="s">
        <v>6794</v>
      </c>
      <c r="GWN1" s="16" t="s">
        <v>6795</v>
      </c>
      <c r="GWO1" s="16" t="s">
        <v>6796</v>
      </c>
      <c r="GWP1" s="16" t="s">
        <v>6797</v>
      </c>
      <c r="GWQ1" s="16" t="s">
        <v>6798</v>
      </c>
      <c r="GWR1" s="16" t="s">
        <v>6799</v>
      </c>
      <c r="GWS1" s="16" t="s">
        <v>6800</v>
      </c>
      <c r="GWT1" s="16" t="s">
        <v>6801</v>
      </c>
      <c r="GWU1" s="16" t="s">
        <v>6802</v>
      </c>
      <c r="GWV1" s="16" t="s">
        <v>6803</v>
      </c>
      <c r="GWW1" s="16" t="s">
        <v>6804</v>
      </c>
      <c r="GWX1" s="16" t="s">
        <v>6805</v>
      </c>
      <c r="GWY1" s="16" t="s">
        <v>6806</v>
      </c>
      <c r="GWZ1" s="16" t="s">
        <v>6807</v>
      </c>
      <c r="GXA1" s="16" t="s">
        <v>6808</v>
      </c>
      <c r="GXB1" s="16" t="s">
        <v>6809</v>
      </c>
      <c r="GXC1" s="16" t="s">
        <v>6810</v>
      </c>
      <c r="GXD1" s="16" t="s">
        <v>6811</v>
      </c>
      <c r="GXE1" s="16" t="s">
        <v>6812</v>
      </c>
      <c r="GXF1" s="16" t="s">
        <v>6813</v>
      </c>
      <c r="GXG1" s="16" t="s">
        <v>6814</v>
      </c>
      <c r="GXH1" s="16" t="s">
        <v>6815</v>
      </c>
      <c r="GXI1" s="16" t="s">
        <v>6816</v>
      </c>
      <c r="GXJ1" s="16" t="s">
        <v>6817</v>
      </c>
      <c r="GXK1" s="16" t="s">
        <v>6818</v>
      </c>
      <c r="GXL1" s="16" t="s">
        <v>6819</v>
      </c>
      <c r="GXM1" s="16" t="s">
        <v>6820</v>
      </c>
      <c r="GXN1" s="16" t="s">
        <v>6821</v>
      </c>
      <c r="GXO1" s="16" t="s">
        <v>6822</v>
      </c>
      <c r="GXP1" s="16" t="s">
        <v>6823</v>
      </c>
      <c r="GXQ1" s="16" t="s">
        <v>6824</v>
      </c>
      <c r="GXR1" s="16" t="s">
        <v>6825</v>
      </c>
      <c r="GXS1" s="16" t="s">
        <v>6826</v>
      </c>
      <c r="GXT1" s="16" t="s">
        <v>6827</v>
      </c>
      <c r="GXU1" s="16" t="s">
        <v>6828</v>
      </c>
      <c r="GXV1" s="16" t="s">
        <v>6829</v>
      </c>
      <c r="GXW1" s="16" t="s">
        <v>6830</v>
      </c>
      <c r="GXX1" s="16" t="s">
        <v>6831</v>
      </c>
      <c r="GXY1" s="16" t="s">
        <v>6832</v>
      </c>
      <c r="GXZ1" s="16" t="s">
        <v>6833</v>
      </c>
      <c r="GYA1" s="16" t="s">
        <v>6834</v>
      </c>
      <c r="GYB1" s="16" t="s">
        <v>6835</v>
      </c>
      <c r="GYC1" s="16" t="s">
        <v>6836</v>
      </c>
      <c r="GYD1" s="16" t="s">
        <v>6837</v>
      </c>
      <c r="GYE1" s="16" t="s">
        <v>6838</v>
      </c>
      <c r="GYF1" s="16" t="s">
        <v>6839</v>
      </c>
      <c r="GYG1" s="16" t="s">
        <v>6840</v>
      </c>
      <c r="GYH1" s="16" t="s">
        <v>6841</v>
      </c>
      <c r="GYI1" s="16" t="s">
        <v>6842</v>
      </c>
      <c r="GYJ1" s="16" t="s">
        <v>6843</v>
      </c>
      <c r="GYK1" s="16" t="s">
        <v>6844</v>
      </c>
      <c r="GYL1" s="16" t="s">
        <v>6845</v>
      </c>
      <c r="GYM1" s="16" t="s">
        <v>6846</v>
      </c>
      <c r="GYN1" s="16" t="s">
        <v>6847</v>
      </c>
      <c r="GYO1" s="16" t="s">
        <v>6848</v>
      </c>
      <c r="GYP1" s="16" t="s">
        <v>6849</v>
      </c>
      <c r="GYQ1" s="16" t="s">
        <v>6850</v>
      </c>
      <c r="GYR1" s="16" t="s">
        <v>6851</v>
      </c>
      <c r="GYS1" s="16" t="s">
        <v>6852</v>
      </c>
      <c r="GYT1" s="16" t="s">
        <v>6853</v>
      </c>
      <c r="GYU1" s="16" t="s">
        <v>6854</v>
      </c>
      <c r="GYV1" s="16" t="s">
        <v>6855</v>
      </c>
      <c r="GYW1" s="16" t="s">
        <v>6856</v>
      </c>
      <c r="GYX1" s="16" t="s">
        <v>6857</v>
      </c>
      <c r="GYY1" s="16" t="s">
        <v>6858</v>
      </c>
      <c r="GYZ1" s="16" t="s">
        <v>6859</v>
      </c>
      <c r="GZA1" s="16" t="s">
        <v>6860</v>
      </c>
      <c r="GZB1" s="16" t="s">
        <v>6861</v>
      </c>
      <c r="GZC1" s="16" t="s">
        <v>6862</v>
      </c>
      <c r="GZD1" s="16" t="s">
        <v>6863</v>
      </c>
      <c r="GZE1" s="16" t="s">
        <v>6864</v>
      </c>
      <c r="GZF1" s="16" t="s">
        <v>6865</v>
      </c>
      <c r="GZG1" s="16" t="s">
        <v>6866</v>
      </c>
      <c r="GZH1" s="16" t="s">
        <v>6867</v>
      </c>
      <c r="GZI1" s="16" t="s">
        <v>6868</v>
      </c>
      <c r="GZJ1" s="16" t="s">
        <v>6869</v>
      </c>
      <c r="GZK1" s="16" t="s">
        <v>6870</v>
      </c>
      <c r="GZL1" s="16" t="s">
        <v>6871</v>
      </c>
      <c r="GZM1" s="16" t="s">
        <v>6872</v>
      </c>
      <c r="GZN1" s="16" t="s">
        <v>6873</v>
      </c>
      <c r="GZO1" s="16" t="s">
        <v>6874</v>
      </c>
      <c r="GZP1" s="16" t="s">
        <v>6875</v>
      </c>
      <c r="GZQ1" s="16" t="s">
        <v>6876</v>
      </c>
      <c r="GZR1" s="16" t="s">
        <v>6877</v>
      </c>
      <c r="GZS1" s="16" t="s">
        <v>6878</v>
      </c>
      <c r="GZT1" s="16" t="s">
        <v>6879</v>
      </c>
      <c r="GZU1" s="16" t="s">
        <v>6880</v>
      </c>
      <c r="GZV1" s="16" t="s">
        <v>6881</v>
      </c>
      <c r="GZW1" s="16" t="s">
        <v>6882</v>
      </c>
      <c r="GZX1" s="16" t="s">
        <v>6883</v>
      </c>
      <c r="GZY1" s="16" t="s">
        <v>6884</v>
      </c>
      <c r="GZZ1" s="16" t="s">
        <v>6885</v>
      </c>
      <c r="HAA1" s="16" t="s">
        <v>6886</v>
      </c>
      <c r="HAB1" s="16" t="s">
        <v>6887</v>
      </c>
      <c r="HAC1" s="16" t="s">
        <v>6888</v>
      </c>
      <c r="HAD1" s="16" t="s">
        <v>6889</v>
      </c>
      <c r="HAE1" s="16" t="s">
        <v>6890</v>
      </c>
      <c r="HAF1" s="16" t="s">
        <v>6891</v>
      </c>
      <c r="HAG1" s="16" t="s">
        <v>6892</v>
      </c>
      <c r="HAH1" s="16" t="s">
        <v>6893</v>
      </c>
      <c r="HAI1" s="16" t="s">
        <v>6894</v>
      </c>
      <c r="HAJ1" s="16" t="s">
        <v>6895</v>
      </c>
      <c r="HAK1" s="16" t="s">
        <v>6896</v>
      </c>
      <c r="HAL1" s="16" t="s">
        <v>6897</v>
      </c>
      <c r="HAM1" s="16" t="s">
        <v>6898</v>
      </c>
      <c r="HAN1" s="16" t="s">
        <v>6899</v>
      </c>
      <c r="HAO1" s="16" t="s">
        <v>6900</v>
      </c>
      <c r="HAP1" s="16" t="s">
        <v>6901</v>
      </c>
      <c r="HAQ1" s="16" t="s">
        <v>6902</v>
      </c>
      <c r="HAR1" s="16" t="s">
        <v>6903</v>
      </c>
      <c r="HAS1" s="16" t="s">
        <v>6904</v>
      </c>
      <c r="HAT1" s="16" t="s">
        <v>6905</v>
      </c>
      <c r="HAU1" s="16" t="s">
        <v>6906</v>
      </c>
      <c r="HAV1" s="16" t="s">
        <v>6907</v>
      </c>
      <c r="HAW1" s="16" t="s">
        <v>6908</v>
      </c>
      <c r="HAX1" s="16" t="s">
        <v>6909</v>
      </c>
      <c r="HAY1" s="16" t="s">
        <v>6910</v>
      </c>
      <c r="HAZ1" s="16" t="s">
        <v>6911</v>
      </c>
      <c r="HBA1" s="16" t="s">
        <v>6912</v>
      </c>
      <c r="HBB1" s="16" t="s">
        <v>6913</v>
      </c>
      <c r="HBC1" s="16" t="s">
        <v>6914</v>
      </c>
      <c r="HBD1" s="16" t="s">
        <v>6915</v>
      </c>
      <c r="HBE1" s="16" t="s">
        <v>6916</v>
      </c>
      <c r="HBF1" s="16" t="s">
        <v>6917</v>
      </c>
      <c r="HBG1" s="16" t="s">
        <v>6918</v>
      </c>
      <c r="HBH1" s="16" t="s">
        <v>6919</v>
      </c>
      <c r="HBI1" s="16" t="s">
        <v>6920</v>
      </c>
      <c r="HBJ1" s="16" t="s">
        <v>6921</v>
      </c>
      <c r="HBK1" s="16" t="s">
        <v>6922</v>
      </c>
      <c r="HBL1" s="16" t="s">
        <v>6923</v>
      </c>
      <c r="HBM1" s="16" t="s">
        <v>6924</v>
      </c>
      <c r="HBN1" s="16" t="s">
        <v>6925</v>
      </c>
      <c r="HBO1" s="16" t="s">
        <v>6926</v>
      </c>
      <c r="HBP1" s="16" t="s">
        <v>6927</v>
      </c>
      <c r="HBQ1" s="16" t="s">
        <v>6928</v>
      </c>
      <c r="HBR1" s="16" t="s">
        <v>6929</v>
      </c>
      <c r="HBS1" s="16" t="s">
        <v>6930</v>
      </c>
      <c r="HBT1" s="16" t="s">
        <v>6931</v>
      </c>
      <c r="HBU1" s="16" t="s">
        <v>6932</v>
      </c>
      <c r="HBV1" s="16" t="s">
        <v>6933</v>
      </c>
      <c r="HBW1" s="16" t="s">
        <v>6934</v>
      </c>
      <c r="HBX1" s="16" t="s">
        <v>6935</v>
      </c>
      <c r="HBY1" s="16" t="s">
        <v>6936</v>
      </c>
      <c r="HBZ1" s="16" t="s">
        <v>6937</v>
      </c>
      <c r="HCA1" s="16" t="s">
        <v>6938</v>
      </c>
      <c r="HCB1" s="16" t="s">
        <v>6939</v>
      </c>
      <c r="HCC1" s="16" t="s">
        <v>6940</v>
      </c>
      <c r="HCD1" s="16" t="s">
        <v>6941</v>
      </c>
      <c r="HCE1" s="16" t="s">
        <v>6942</v>
      </c>
      <c r="HCF1" s="16" t="s">
        <v>6943</v>
      </c>
      <c r="HCG1" s="16" t="s">
        <v>6944</v>
      </c>
      <c r="HCH1" s="16" t="s">
        <v>6945</v>
      </c>
      <c r="HCI1" s="16" t="s">
        <v>6946</v>
      </c>
      <c r="HCJ1" s="16" t="s">
        <v>6947</v>
      </c>
      <c r="HCK1" s="16" t="s">
        <v>6948</v>
      </c>
      <c r="HCL1" s="16" t="s">
        <v>6949</v>
      </c>
      <c r="HCM1" s="16" t="s">
        <v>6950</v>
      </c>
      <c r="HCN1" s="16" t="s">
        <v>6951</v>
      </c>
      <c r="HCO1" s="16" t="s">
        <v>6952</v>
      </c>
      <c r="HCP1" s="16" t="s">
        <v>6953</v>
      </c>
      <c r="HCQ1" s="16" t="s">
        <v>6954</v>
      </c>
      <c r="HCR1" s="16" t="s">
        <v>6955</v>
      </c>
      <c r="HCS1" s="16" t="s">
        <v>6956</v>
      </c>
      <c r="HCT1" s="16" t="s">
        <v>6957</v>
      </c>
      <c r="HCU1" s="16" t="s">
        <v>6958</v>
      </c>
      <c r="HCV1" s="16" t="s">
        <v>6959</v>
      </c>
      <c r="HCW1" s="16" t="s">
        <v>6960</v>
      </c>
      <c r="HCX1" s="16" t="s">
        <v>6961</v>
      </c>
      <c r="HCY1" s="16" t="s">
        <v>6962</v>
      </c>
      <c r="HCZ1" s="16" t="s">
        <v>6963</v>
      </c>
      <c r="HDA1" s="16" t="s">
        <v>6964</v>
      </c>
      <c r="HDB1" s="16" t="s">
        <v>6965</v>
      </c>
      <c r="HDC1" s="16" t="s">
        <v>6966</v>
      </c>
      <c r="HDD1" s="16" t="s">
        <v>6967</v>
      </c>
      <c r="HDE1" s="16" t="s">
        <v>6968</v>
      </c>
      <c r="HDF1" s="16" t="s">
        <v>6969</v>
      </c>
      <c r="HDG1" s="16" t="s">
        <v>6970</v>
      </c>
      <c r="HDH1" s="16" t="s">
        <v>6971</v>
      </c>
      <c r="HDI1" s="16" t="s">
        <v>6972</v>
      </c>
      <c r="HDJ1" s="16" t="s">
        <v>6973</v>
      </c>
      <c r="HDK1" s="16" t="s">
        <v>6974</v>
      </c>
      <c r="HDL1" s="16" t="s">
        <v>6975</v>
      </c>
      <c r="HDM1" s="16" t="s">
        <v>6976</v>
      </c>
      <c r="HDN1" s="16" t="s">
        <v>6977</v>
      </c>
      <c r="HDO1" s="16" t="s">
        <v>6978</v>
      </c>
      <c r="HDP1" s="16" t="s">
        <v>6979</v>
      </c>
      <c r="HDQ1" s="16" t="s">
        <v>6980</v>
      </c>
      <c r="HDR1" s="16" t="s">
        <v>6981</v>
      </c>
      <c r="HDS1" s="16" t="s">
        <v>6982</v>
      </c>
      <c r="HDT1" s="16" t="s">
        <v>6983</v>
      </c>
      <c r="HDU1" s="16" t="s">
        <v>6984</v>
      </c>
      <c r="HDV1" s="16" t="s">
        <v>6985</v>
      </c>
      <c r="HDW1" s="16" t="s">
        <v>6986</v>
      </c>
      <c r="HDX1" s="16" t="s">
        <v>6987</v>
      </c>
      <c r="HDY1" s="16" t="s">
        <v>6988</v>
      </c>
      <c r="HDZ1" s="16" t="s">
        <v>6989</v>
      </c>
      <c r="HEA1" s="16" t="s">
        <v>6990</v>
      </c>
      <c r="HEB1" s="16" t="s">
        <v>6991</v>
      </c>
      <c r="HEC1" s="16" t="s">
        <v>6992</v>
      </c>
      <c r="HED1" s="16" t="s">
        <v>6993</v>
      </c>
      <c r="HEE1" s="16" t="s">
        <v>6994</v>
      </c>
      <c r="HEF1" s="16" t="s">
        <v>6995</v>
      </c>
      <c r="HEG1" s="16" t="s">
        <v>6996</v>
      </c>
      <c r="HEH1" s="16" t="s">
        <v>6997</v>
      </c>
      <c r="HEI1" s="16" t="s">
        <v>6998</v>
      </c>
      <c r="HEJ1" s="16" t="s">
        <v>6999</v>
      </c>
      <c r="HEK1" s="16" t="s">
        <v>7000</v>
      </c>
      <c r="HEL1" s="16" t="s">
        <v>7001</v>
      </c>
      <c r="HEM1" s="16" t="s">
        <v>7002</v>
      </c>
      <c r="HEN1" s="16" t="s">
        <v>7003</v>
      </c>
      <c r="HEO1" s="16" t="s">
        <v>7004</v>
      </c>
      <c r="HEP1" s="16" t="s">
        <v>7005</v>
      </c>
      <c r="HEQ1" s="16" t="s">
        <v>7006</v>
      </c>
      <c r="HER1" s="16" t="s">
        <v>7007</v>
      </c>
      <c r="HES1" s="16" t="s">
        <v>7008</v>
      </c>
      <c r="HET1" s="16" t="s">
        <v>7009</v>
      </c>
      <c r="HEU1" s="16" t="s">
        <v>7010</v>
      </c>
      <c r="HEV1" s="16" t="s">
        <v>7011</v>
      </c>
      <c r="HEW1" s="16" t="s">
        <v>7012</v>
      </c>
      <c r="HEX1" s="16" t="s">
        <v>7013</v>
      </c>
      <c r="HEY1" s="16" t="s">
        <v>7014</v>
      </c>
      <c r="HEZ1" s="16" t="s">
        <v>7015</v>
      </c>
      <c r="HFA1" s="16" t="s">
        <v>7016</v>
      </c>
      <c r="HFB1" s="16" t="s">
        <v>7017</v>
      </c>
      <c r="HFC1" s="16" t="s">
        <v>7018</v>
      </c>
      <c r="HFD1" s="16" t="s">
        <v>7019</v>
      </c>
      <c r="HFE1" s="16" t="s">
        <v>7020</v>
      </c>
      <c r="HFF1" s="16" t="s">
        <v>7021</v>
      </c>
      <c r="HFG1" s="16" t="s">
        <v>7022</v>
      </c>
      <c r="HFH1" s="16" t="s">
        <v>7023</v>
      </c>
      <c r="HFI1" s="16" t="s">
        <v>7024</v>
      </c>
      <c r="HFJ1" s="16" t="s">
        <v>7025</v>
      </c>
      <c r="HFK1" s="16" t="s">
        <v>7026</v>
      </c>
      <c r="HFL1" s="16" t="s">
        <v>7027</v>
      </c>
      <c r="HFM1" s="16" t="s">
        <v>7028</v>
      </c>
      <c r="HFN1" s="16" t="s">
        <v>7029</v>
      </c>
      <c r="HFO1" s="16" t="s">
        <v>7030</v>
      </c>
      <c r="HFP1" s="16" t="s">
        <v>7031</v>
      </c>
      <c r="HFQ1" s="16" t="s">
        <v>7032</v>
      </c>
      <c r="HFR1" s="16" t="s">
        <v>7033</v>
      </c>
      <c r="HFS1" s="16" t="s">
        <v>7034</v>
      </c>
      <c r="HFT1" s="16" t="s">
        <v>7035</v>
      </c>
      <c r="HFU1" s="16" t="s">
        <v>7036</v>
      </c>
      <c r="HFV1" s="16" t="s">
        <v>7037</v>
      </c>
      <c r="HFW1" s="16" t="s">
        <v>7038</v>
      </c>
      <c r="HFX1" s="16" t="s">
        <v>7039</v>
      </c>
      <c r="HFY1" s="16" t="s">
        <v>7040</v>
      </c>
      <c r="HFZ1" s="16" t="s">
        <v>7041</v>
      </c>
      <c r="HGA1" s="16" t="s">
        <v>7042</v>
      </c>
      <c r="HGB1" s="16" t="s">
        <v>7043</v>
      </c>
      <c r="HGC1" s="16" t="s">
        <v>7044</v>
      </c>
      <c r="HGD1" s="16" t="s">
        <v>7045</v>
      </c>
      <c r="HGE1" s="16" t="s">
        <v>7046</v>
      </c>
      <c r="HGF1" s="16" t="s">
        <v>7047</v>
      </c>
      <c r="HGG1" s="16" t="s">
        <v>7048</v>
      </c>
      <c r="HGH1" s="16" t="s">
        <v>7049</v>
      </c>
      <c r="HGI1" s="16" t="s">
        <v>7050</v>
      </c>
      <c r="HGJ1" s="16" t="s">
        <v>7051</v>
      </c>
      <c r="HGK1" s="16" t="s">
        <v>7052</v>
      </c>
      <c r="HGL1" s="16" t="s">
        <v>7053</v>
      </c>
      <c r="HGM1" s="16" t="s">
        <v>7054</v>
      </c>
      <c r="HGN1" s="16" t="s">
        <v>7055</v>
      </c>
      <c r="HGO1" s="16" t="s">
        <v>7056</v>
      </c>
      <c r="HGP1" s="16" t="s">
        <v>7057</v>
      </c>
      <c r="HGQ1" s="16" t="s">
        <v>7058</v>
      </c>
      <c r="HGR1" s="16" t="s">
        <v>7059</v>
      </c>
      <c r="HGS1" s="16" t="s">
        <v>7060</v>
      </c>
      <c r="HGT1" s="16" t="s">
        <v>7061</v>
      </c>
      <c r="HGU1" s="16" t="s">
        <v>7062</v>
      </c>
      <c r="HGV1" s="16" t="s">
        <v>7063</v>
      </c>
      <c r="HGW1" s="16" t="s">
        <v>7064</v>
      </c>
      <c r="HGX1" s="16" t="s">
        <v>7065</v>
      </c>
      <c r="HGY1" s="16" t="s">
        <v>7066</v>
      </c>
      <c r="HGZ1" s="16" t="s">
        <v>7067</v>
      </c>
      <c r="HHA1" s="16" t="s">
        <v>7068</v>
      </c>
      <c r="HHB1" s="16" t="s">
        <v>7069</v>
      </c>
      <c r="HHC1" s="16" t="s">
        <v>7070</v>
      </c>
      <c r="HHD1" s="16" t="s">
        <v>7071</v>
      </c>
      <c r="HHE1" s="16" t="s">
        <v>7072</v>
      </c>
      <c r="HHF1" s="16" t="s">
        <v>7073</v>
      </c>
      <c r="HHG1" s="16" t="s">
        <v>7074</v>
      </c>
      <c r="HHH1" s="16" t="s">
        <v>7075</v>
      </c>
      <c r="HHI1" s="16" t="s">
        <v>7076</v>
      </c>
      <c r="HHJ1" s="16" t="s">
        <v>7077</v>
      </c>
      <c r="HHK1" s="16" t="s">
        <v>7078</v>
      </c>
      <c r="HHL1" s="16" t="s">
        <v>7079</v>
      </c>
      <c r="HHM1" s="16" t="s">
        <v>7080</v>
      </c>
      <c r="HHN1" s="16" t="s">
        <v>7081</v>
      </c>
      <c r="HHO1" s="16" t="s">
        <v>7082</v>
      </c>
      <c r="HHP1" s="16" t="s">
        <v>7083</v>
      </c>
      <c r="HHQ1" s="16" t="s">
        <v>7084</v>
      </c>
      <c r="HHR1" s="16" t="s">
        <v>7085</v>
      </c>
      <c r="HHS1" s="16" t="s">
        <v>7086</v>
      </c>
      <c r="HHT1" s="16" t="s">
        <v>7087</v>
      </c>
      <c r="HHU1" s="16" t="s">
        <v>7088</v>
      </c>
      <c r="HHV1" s="16" t="s">
        <v>7089</v>
      </c>
      <c r="HHW1" s="16" t="s">
        <v>7090</v>
      </c>
      <c r="HHX1" s="16" t="s">
        <v>7091</v>
      </c>
      <c r="HHY1" s="16" t="s">
        <v>7092</v>
      </c>
      <c r="HHZ1" s="16" t="s">
        <v>7093</v>
      </c>
      <c r="HIA1" s="16" t="s">
        <v>7094</v>
      </c>
      <c r="HIB1" s="16" t="s">
        <v>7095</v>
      </c>
      <c r="HIC1" s="16" t="s">
        <v>7096</v>
      </c>
      <c r="HID1" s="16" t="s">
        <v>7097</v>
      </c>
      <c r="HIE1" s="16" t="s">
        <v>7098</v>
      </c>
      <c r="HIF1" s="16" t="s">
        <v>7099</v>
      </c>
      <c r="HIG1" s="16" t="s">
        <v>7100</v>
      </c>
      <c r="HIH1" s="16" t="s">
        <v>7101</v>
      </c>
      <c r="HII1" s="16" t="s">
        <v>7102</v>
      </c>
      <c r="HIJ1" s="16" t="s">
        <v>7103</v>
      </c>
      <c r="HIK1" s="16" t="s">
        <v>7104</v>
      </c>
      <c r="HIL1" s="16" t="s">
        <v>7105</v>
      </c>
      <c r="HIM1" s="16" t="s">
        <v>7106</v>
      </c>
      <c r="HIN1" s="16" t="s">
        <v>7107</v>
      </c>
      <c r="HIO1" s="16" t="s">
        <v>7108</v>
      </c>
      <c r="HIP1" s="16" t="s">
        <v>7109</v>
      </c>
      <c r="HIQ1" s="16" t="s">
        <v>7110</v>
      </c>
      <c r="HIR1" s="16" t="s">
        <v>7111</v>
      </c>
      <c r="HIS1" s="16" t="s">
        <v>7112</v>
      </c>
      <c r="HIT1" s="16" t="s">
        <v>7113</v>
      </c>
      <c r="HIU1" s="16" t="s">
        <v>7114</v>
      </c>
      <c r="HIV1" s="16" t="s">
        <v>7115</v>
      </c>
      <c r="HIW1" s="16" t="s">
        <v>7116</v>
      </c>
      <c r="HIX1" s="16" t="s">
        <v>7117</v>
      </c>
      <c r="HIY1" s="16" t="s">
        <v>7118</v>
      </c>
      <c r="HIZ1" s="16" t="s">
        <v>7119</v>
      </c>
      <c r="HJA1" s="16" t="s">
        <v>7120</v>
      </c>
      <c r="HJB1" s="16" t="s">
        <v>7121</v>
      </c>
      <c r="HJC1" s="16" t="s">
        <v>7122</v>
      </c>
      <c r="HJD1" s="16" t="s">
        <v>7123</v>
      </c>
      <c r="HJE1" s="16" t="s">
        <v>7124</v>
      </c>
      <c r="HJF1" s="16" t="s">
        <v>7125</v>
      </c>
      <c r="HJG1" s="16" t="s">
        <v>7126</v>
      </c>
      <c r="HJH1" s="16" t="s">
        <v>7127</v>
      </c>
      <c r="HJI1" s="16" t="s">
        <v>7128</v>
      </c>
      <c r="HJJ1" s="16" t="s">
        <v>7129</v>
      </c>
      <c r="HJK1" s="16" t="s">
        <v>7130</v>
      </c>
      <c r="HJL1" s="16" t="s">
        <v>7131</v>
      </c>
      <c r="HJM1" s="16" t="s">
        <v>7132</v>
      </c>
      <c r="HJN1" s="16" t="s">
        <v>7133</v>
      </c>
      <c r="HJO1" s="16" t="s">
        <v>7134</v>
      </c>
      <c r="HJP1" s="16" t="s">
        <v>7135</v>
      </c>
      <c r="HJQ1" s="16" t="s">
        <v>7136</v>
      </c>
      <c r="HJR1" s="16" t="s">
        <v>7137</v>
      </c>
      <c r="HJS1" s="16" t="s">
        <v>7138</v>
      </c>
      <c r="HJT1" s="16" t="s">
        <v>7139</v>
      </c>
      <c r="HJU1" s="16" t="s">
        <v>7140</v>
      </c>
      <c r="HJV1" s="16" t="s">
        <v>7141</v>
      </c>
      <c r="HJW1" s="16" t="s">
        <v>7142</v>
      </c>
      <c r="HJX1" s="16" t="s">
        <v>7143</v>
      </c>
      <c r="HJY1" s="16" t="s">
        <v>7144</v>
      </c>
      <c r="HJZ1" s="16" t="s">
        <v>7145</v>
      </c>
      <c r="HKA1" s="16" t="s">
        <v>7146</v>
      </c>
      <c r="HKB1" s="16" t="s">
        <v>7147</v>
      </c>
      <c r="HKC1" s="16" t="s">
        <v>7148</v>
      </c>
      <c r="HKD1" s="16" t="s">
        <v>7149</v>
      </c>
      <c r="HKE1" s="16" t="s">
        <v>7150</v>
      </c>
      <c r="HKF1" s="16" t="s">
        <v>7151</v>
      </c>
      <c r="HKG1" s="16" t="s">
        <v>7152</v>
      </c>
      <c r="HKH1" s="16" t="s">
        <v>7153</v>
      </c>
      <c r="HKI1" s="16" t="s">
        <v>7154</v>
      </c>
      <c r="HKJ1" s="16" t="s">
        <v>7155</v>
      </c>
      <c r="HKK1" s="16" t="s">
        <v>7156</v>
      </c>
      <c r="HKL1" s="16" t="s">
        <v>7157</v>
      </c>
      <c r="HKM1" s="16" t="s">
        <v>7158</v>
      </c>
      <c r="HKN1" s="16" t="s">
        <v>7159</v>
      </c>
      <c r="HKO1" s="16" t="s">
        <v>7160</v>
      </c>
      <c r="HKP1" s="16" t="s">
        <v>7161</v>
      </c>
      <c r="HKQ1" s="16" t="s">
        <v>7162</v>
      </c>
      <c r="HKR1" s="16" t="s">
        <v>7163</v>
      </c>
      <c r="HKS1" s="16" t="s">
        <v>7164</v>
      </c>
      <c r="HKT1" s="16" t="s">
        <v>7165</v>
      </c>
      <c r="HKU1" s="16" t="s">
        <v>7166</v>
      </c>
      <c r="HKV1" s="16" t="s">
        <v>7167</v>
      </c>
      <c r="HKW1" s="16" t="s">
        <v>7168</v>
      </c>
      <c r="HKX1" s="16" t="s">
        <v>7169</v>
      </c>
      <c r="HKY1" s="16" t="s">
        <v>7170</v>
      </c>
      <c r="HKZ1" s="16" t="s">
        <v>7171</v>
      </c>
      <c r="HLA1" s="16" t="s">
        <v>7172</v>
      </c>
      <c r="HLB1" s="16" t="s">
        <v>7173</v>
      </c>
      <c r="HLC1" s="16" t="s">
        <v>7174</v>
      </c>
      <c r="HLD1" s="16" t="s">
        <v>7175</v>
      </c>
      <c r="HLE1" s="16" t="s">
        <v>7176</v>
      </c>
      <c r="HLF1" s="16" t="s">
        <v>7177</v>
      </c>
      <c r="HLG1" s="16" t="s">
        <v>7178</v>
      </c>
      <c r="HLH1" s="16" t="s">
        <v>7179</v>
      </c>
      <c r="HLI1" s="16" t="s">
        <v>7180</v>
      </c>
      <c r="HLJ1" s="16" t="s">
        <v>7181</v>
      </c>
      <c r="HLK1" s="16" t="s">
        <v>7182</v>
      </c>
      <c r="HLL1" s="16" t="s">
        <v>7183</v>
      </c>
      <c r="HLM1" s="16" t="s">
        <v>7184</v>
      </c>
      <c r="HLN1" s="16" t="s">
        <v>7185</v>
      </c>
      <c r="HLO1" s="16" t="s">
        <v>7186</v>
      </c>
      <c r="HLP1" s="16" t="s">
        <v>7187</v>
      </c>
      <c r="HLQ1" s="16" t="s">
        <v>7188</v>
      </c>
      <c r="HLR1" s="16" t="s">
        <v>7189</v>
      </c>
      <c r="HLS1" s="16" t="s">
        <v>7190</v>
      </c>
      <c r="HLT1" s="16" t="s">
        <v>7191</v>
      </c>
      <c r="HLU1" s="16" t="s">
        <v>7192</v>
      </c>
      <c r="HLV1" s="16" t="s">
        <v>7193</v>
      </c>
      <c r="HLW1" s="16" t="s">
        <v>7194</v>
      </c>
      <c r="HLX1" s="16" t="s">
        <v>7195</v>
      </c>
      <c r="HLY1" s="16" t="s">
        <v>7196</v>
      </c>
      <c r="HLZ1" s="16" t="s">
        <v>7197</v>
      </c>
      <c r="HMA1" s="16" t="s">
        <v>7198</v>
      </c>
      <c r="HMB1" s="16" t="s">
        <v>7199</v>
      </c>
      <c r="HMC1" s="16" t="s">
        <v>7200</v>
      </c>
      <c r="HMD1" s="16" t="s">
        <v>7201</v>
      </c>
      <c r="HME1" s="16" t="s">
        <v>7202</v>
      </c>
      <c r="HMF1" s="16" t="s">
        <v>7203</v>
      </c>
      <c r="HMG1" s="16" t="s">
        <v>7204</v>
      </c>
      <c r="HMH1" s="16" t="s">
        <v>7205</v>
      </c>
      <c r="HMI1" s="16" t="s">
        <v>7206</v>
      </c>
      <c r="HMJ1" s="16" t="s">
        <v>7207</v>
      </c>
      <c r="HMK1" s="16" t="s">
        <v>7208</v>
      </c>
      <c r="HML1" s="16" t="s">
        <v>7209</v>
      </c>
      <c r="HMM1" s="16" t="s">
        <v>7210</v>
      </c>
      <c r="HMN1" s="16" t="s">
        <v>7211</v>
      </c>
      <c r="HMO1" s="16" t="s">
        <v>7212</v>
      </c>
      <c r="HMP1" s="16" t="s">
        <v>7213</v>
      </c>
      <c r="HMQ1" s="16" t="s">
        <v>7214</v>
      </c>
      <c r="HMR1" s="16" t="s">
        <v>7215</v>
      </c>
      <c r="HMS1" s="16" t="s">
        <v>7216</v>
      </c>
      <c r="HMT1" s="16" t="s">
        <v>7217</v>
      </c>
      <c r="HMU1" s="16" t="s">
        <v>7218</v>
      </c>
      <c r="HMV1" s="16" t="s">
        <v>7219</v>
      </c>
      <c r="HMW1" s="16" t="s">
        <v>7220</v>
      </c>
      <c r="HMX1" s="16" t="s">
        <v>7221</v>
      </c>
      <c r="HMY1" s="16" t="s">
        <v>7222</v>
      </c>
      <c r="HMZ1" s="16" t="s">
        <v>7223</v>
      </c>
      <c r="HNA1" s="16" t="s">
        <v>7224</v>
      </c>
      <c r="HNB1" s="16" t="s">
        <v>7225</v>
      </c>
      <c r="HNC1" s="16" t="s">
        <v>7226</v>
      </c>
      <c r="HND1" s="16" t="s">
        <v>7227</v>
      </c>
      <c r="HNE1" s="16" t="s">
        <v>7228</v>
      </c>
      <c r="HNF1" s="16" t="s">
        <v>7229</v>
      </c>
      <c r="HNG1" s="16" t="s">
        <v>7230</v>
      </c>
      <c r="HNH1" s="16" t="s">
        <v>7231</v>
      </c>
      <c r="HNI1" s="16" t="s">
        <v>7232</v>
      </c>
      <c r="HNJ1" s="16" t="s">
        <v>7233</v>
      </c>
      <c r="HNK1" s="16" t="s">
        <v>7234</v>
      </c>
      <c r="HNL1" s="16" t="s">
        <v>7235</v>
      </c>
      <c r="HNM1" s="16" t="s">
        <v>7236</v>
      </c>
      <c r="HNN1" s="16" t="s">
        <v>7237</v>
      </c>
      <c r="HNO1" s="16" t="s">
        <v>7238</v>
      </c>
      <c r="HNP1" s="16" t="s">
        <v>7239</v>
      </c>
      <c r="HNQ1" s="16" t="s">
        <v>7240</v>
      </c>
      <c r="HNR1" s="16" t="s">
        <v>7241</v>
      </c>
      <c r="HNS1" s="16" t="s">
        <v>7242</v>
      </c>
      <c r="HNT1" s="16" t="s">
        <v>7243</v>
      </c>
      <c r="HNU1" s="16" t="s">
        <v>7244</v>
      </c>
      <c r="HNV1" s="16" t="s">
        <v>7245</v>
      </c>
      <c r="HNW1" s="16" t="s">
        <v>7246</v>
      </c>
      <c r="HNX1" s="16" t="s">
        <v>7247</v>
      </c>
      <c r="HNY1" s="16" t="s">
        <v>7248</v>
      </c>
      <c r="HNZ1" s="16" t="s">
        <v>7249</v>
      </c>
      <c r="HOA1" s="16" t="s">
        <v>7250</v>
      </c>
      <c r="HOB1" s="16" t="s">
        <v>7251</v>
      </c>
      <c r="HOC1" s="16" t="s">
        <v>7252</v>
      </c>
      <c r="HOD1" s="16" t="s">
        <v>7253</v>
      </c>
      <c r="HOE1" s="16" t="s">
        <v>7254</v>
      </c>
      <c r="HOF1" s="16" t="s">
        <v>7255</v>
      </c>
      <c r="HOG1" s="16" t="s">
        <v>7256</v>
      </c>
      <c r="HOH1" s="16" t="s">
        <v>7257</v>
      </c>
      <c r="HOI1" s="16" t="s">
        <v>7258</v>
      </c>
      <c r="HOJ1" s="16" t="s">
        <v>7259</v>
      </c>
      <c r="HOK1" s="16" t="s">
        <v>7260</v>
      </c>
      <c r="HOL1" s="16" t="s">
        <v>7261</v>
      </c>
      <c r="HOM1" s="16" t="s">
        <v>7262</v>
      </c>
      <c r="HON1" s="16" t="s">
        <v>7263</v>
      </c>
      <c r="HOO1" s="16" t="s">
        <v>7264</v>
      </c>
      <c r="HOP1" s="16" t="s">
        <v>7265</v>
      </c>
      <c r="HOQ1" s="16" t="s">
        <v>7266</v>
      </c>
      <c r="HOR1" s="16" t="s">
        <v>7267</v>
      </c>
      <c r="HOS1" s="16" t="s">
        <v>7268</v>
      </c>
      <c r="HOT1" s="16" t="s">
        <v>7269</v>
      </c>
      <c r="HOU1" s="16" t="s">
        <v>7270</v>
      </c>
      <c r="HOV1" s="16" t="s">
        <v>7271</v>
      </c>
      <c r="HOW1" s="16" t="s">
        <v>7272</v>
      </c>
      <c r="HOX1" s="16" t="s">
        <v>7273</v>
      </c>
      <c r="HOY1" s="16" t="s">
        <v>7274</v>
      </c>
      <c r="HOZ1" s="16" t="s">
        <v>7275</v>
      </c>
      <c r="HPA1" s="16" t="s">
        <v>7276</v>
      </c>
      <c r="HPB1" s="16" t="s">
        <v>7277</v>
      </c>
      <c r="HPC1" s="16" t="s">
        <v>7278</v>
      </c>
      <c r="HPD1" s="16" t="s">
        <v>7279</v>
      </c>
      <c r="HPE1" s="16" t="s">
        <v>7280</v>
      </c>
      <c r="HPF1" s="16" t="s">
        <v>7281</v>
      </c>
      <c r="HPG1" s="16" t="s">
        <v>7282</v>
      </c>
      <c r="HPH1" s="16" t="s">
        <v>7283</v>
      </c>
      <c r="HPI1" s="16" t="s">
        <v>7284</v>
      </c>
      <c r="HPJ1" s="16" t="s">
        <v>7285</v>
      </c>
      <c r="HPK1" s="16" t="s">
        <v>7286</v>
      </c>
      <c r="HPL1" s="16" t="s">
        <v>7287</v>
      </c>
      <c r="HPM1" s="16" t="s">
        <v>7288</v>
      </c>
      <c r="HPN1" s="16" t="s">
        <v>7289</v>
      </c>
      <c r="HPO1" s="16" t="s">
        <v>7290</v>
      </c>
      <c r="HPP1" s="16" t="s">
        <v>7291</v>
      </c>
      <c r="HPQ1" s="16" t="s">
        <v>7292</v>
      </c>
      <c r="HPR1" s="16" t="s">
        <v>7293</v>
      </c>
      <c r="HPS1" s="16" t="s">
        <v>7294</v>
      </c>
      <c r="HPT1" s="16" t="s">
        <v>7295</v>
      </c>
      <c r="HPU1" s="16" t="s">
        <v>7296</v>
      </c>
      <c r="HPV1" s="16" t="s">
        <v>7297</v>
      </c>
      <c r="HPW1" s="16" t="s">
        <v>7298</v>
      </c>
      <c r="HPX1" s="16" t="s">
        <v>7299</v>
      </c>
      <c r="HPY1" s="16" t="s">
        <v>7300</v>
      </c>
      <c r="HPZ1" s="16" t="s">
        <v>7301</v>
      </c>
      <c r="HQA1" s="16" t="s">
        <v>7302</v>
      </c>
      <c r="HQB1" s="16" t="s">
        <v>7303</v>
      </c>
      <c r="HQC1" s="16" t="s">
        <v>7304</v>
      </c>
      <c r="HQD1" s="16" t="s">
        <v>7305</v>
      </c>
      <c r="HQE1" s="16" t="s">
        <v>7306</v>
      </c>
      <c r="HQF1" s="16" t="s">
        <v>7307</v>
      </c>
      <c r="HQG1" s="16" t="s">
        <v>7308</v>
      </c>
      <c r="HQH1" s="16" t="s">
        <v>7309</v>
      </c>
      <c r="HQI1" s="16" t="s">
        <v>7310</v>
      </c>
      <c r="HQJ1" s="16" t="s">
        <v>7311</v>
      </c>
      <c r="HQK1" s="16" t="s">
        <v>7312</v>
      </c>
      <c r="HQL1" s="16" t="s">
        <v>7313</v>
      </c>
      <c r="HQM1" s="16" t="s">
        <v>7314</v>
      </c>
      <c r="HQN1" s="16" t="s">
        <v>7315</v>
      </c>
      <c r="HQO1" s="16" t="s">
        <v>7316</v>
      </c>
      <c r="HQP1" s="16" t="s">
        <v>7317</v>
      </c>
      <c r="HQQ1" s="16" t="s">
        <v>7318</v>
      </c>
      <c r="HQR1" s="16" t="s">
        <v>7319</v>
      </c>
      <c r="HQS1" s="16" t="s">
        <v>7320</v>
      </c>
      <c r="HQT1" s="16" t="s">
        <v>7321</v>
      </c>
      <c r="HQU1" s="16" t="s">
        <v>7322</v>
      </c>
      <c r="HQV1" s="16" t="s">
        <v>7323</v>
      </c>
      <c r="HQW1" s="16" t="s">
        <v>7324</v>
      </c>
      <c r="HQX1" s="16" t="s">
        <v>7325</v>
      </c>
      <c r="HQY1" s="16" t="s">
        <v>7326</v>
      </c>
      <c r="HQZ1" s="16" t="s">
        <v>7327</v>
      </c>
      <c r="HRA1" s="16" t="s">
        <v>7328</v>
      </c>
      <c r="HRB1" s="16" t="s">
        <v>7329</v>
      </c>
      <c r="HRC1" s="16" t="s">
        <v>7330</v>
      </c>
      <c r="HRD1" s="16" t="s">
        <v>7331</v>
      </c>
      <c r="HRE1" s="16" t="s">
        <v>7332</v>
      </c>
      <c r="HRF1" s="16" t="s">
        <v>7333</v>
      </c>
      <c r="HRG1" s="16" t="s">
        <v>7334</v>
      </c>
      <c r="HRH1" s="16" t="s">
        <v>7335</v>
      </c>
      <c r="HRI1" s="16" t="s">
        <v>7336</v>
      </c>
      <c r="HRJ1" s="16" t="s">
        <v>7337</v>
      </c>
      <c r="HRK1" s="16" t="s">
        <v>7338</v>
      </c>
      <c r="HRL1" s="16" t="s">
        <v>7339</v>
      </c>
      <c r="HRM1" s="16" t="s">
        <v>7340</v>
      </c>
      <c r="HRN1" s="16" t="s">
        <v>7341</v>
      </c>
      <c r="HRO1" s="16" t="s">
        <v>7342</v>
      </c>
      <c r="HRP1" s="16" t="s">
        <v>7343</v>
      </c>
      <c r="HRQ1" s="16" t="s">
        <v>7344</v>
      </c>
      <c r="HRR1" s="16" t="s">
        <v>7345</v>
      </c>
      <c r="HRS1" s="16" t="s">
        <v>7346</v>
      </c>
      <c r="HRT1" s="16" t="s">
        <v>7347</v>
      </c>
      <c r="HRU1" s="16" t="s">
        <v>7348</v>
      </c>
      <c r="HRV1" s="16" t="s">
        <v>7349</v>
      </c>
      <c r="HRW1" s="16" t="s">
        <v>7350</v>
      </c>
      <c r="HRX1" s="16" t="s">
        <v>7351</v>
      </c>
      <c r="HRY1" s="16" t="s">
        <v>7352</v>
      </c>
      <c r="HRZ1" s="16" t="s">
        <v>7353</v>
      </c>
      <c r="HSA1" s="16" t="s">
        <v>7354</v>
      </c>
      <c r="HSB1" s="16" t="s">
        <v>7355</v>
      </c>
      <c r="HSC1" s="16" t="s">
        <v>7356</v>
      </c>
      <c r="HSD1" s="16" t="s">
        <v>7357</v>
      </c>
      <c r="HSE1" s="16" t="s">
        <v>7358</v>
      </c>
      <c r="HSF1" s="16" t="s">
        <v>7359</v>
      </c>
      <c r="HSG1" s="16" t="s">
        <v>7360</v>
      </c>
      <c r="HSH1" s="16" t="s">
        <v>7361</v>
      </c>
      <c r="HSI1" s="16" t="s">
        <v>7362</v>
      </c>
      <c r="HSJ1" s="16" t="s">
        <v>7363</v>
      </c>
      <c r="HSK1" s="16" t="s">
        <v>7364</v>
      </c>
      <c r="HSL1" s="16" t="s">
        <v>7365</v>
      </c>
      <c r="HSM1" s="16" t="s">
        <v>7366</v>
      </c>
      <c r="HSN1" s="16" t="s">
        <v>7367</v>
      </c>
      <c r="HSO1" s="16" t="s">
        <v>7368</v>
      </c>
      <c r="HSP1" s="16" t="s">
        <v>7369</v>
      </c>
      <c r="HSQ1" s="16" t="s">
        <v>7370</v>
      </c>
      <c r="HSR1" s="16" t="s">
        <v>7371</v>
      </c>
      <c r="HSS1" s="16" t="s">
        <v>7372</v>
      </c>
      <c r="HST1" s="16" t="s">
        <v>7373</v>
      </c>
      <c r="HSU1" s="16" t="s">
        <v>7374</v>
      </c>
      <c r="HSV1" s="16" t="s">
        <v>7375</v>
      </c>
      <c r="HSW1" s="16" t="s">
        <v>7376</v>
      </c>
      <c r="HSX1" s="16" t="s">
        <v>7377</v>
      </c>
      <c r="HSY1" s="16" t="s">
        <v>7378</v>
      </c>
      <c r="HSZ1" s="16" t="s">
        <v>7379</v>
      </c>
      <c r="HTA1" s="16" t="s">
        <v>7380</v>
      </c>
      <c r="HTB1" s="16" t="s">
        <v>7381</v>
      </c>
      <c r="HTC1" s="16" t="s">
        <v>7382</v>
      </c>
      <c r="HTD1" s="16" t="s">
        <v>7383</v>
      </c>
      <c r="HTE1" s="16" t="s">
        <v>7384</v>
      </c>
      <c r="HTF1" s="16" t="s">
        <v>7385</v>
      </c>
      <c r="HTG1" s="16" t="s">
        <v>7386</v>
      </c>
      <c r="HTH1" s="16" t="s">
        <v>7387</v>
      </c>
      <c r="HTI1" s="16" t="s">
        <v>7388</v>
      </c>
      <c r="HTJ1" s="16" t="s">
        <v>7389</v>
      </c>
      <c r="HTK1" s="16" t="s">
        <v>7390</v>
      </c>
      <c r="HTL1" s="16" t="s">
        <v>7391</v>
      </c>
      <c r="HTM1" s="16" t="s">
        <v>7392</v>
      </c>
      <c r="HTN1" s="16" t="s">
        <v>7393</v>
      </c>
      <c r="HTO1" s="16" t="s">
        <v>7394</v>
      </c>
      <c r="HTP1" s="16" t="s">
        <v>7395</v>
      </c>
      <c r="HTQ1" s="16" t="s">
        <v>7396</v>
      </c>
      <c r="HTR1" s="16" t="s">
        <v>7397</v>
      </c>
      <c r="HTS1" s="16" t="s">
        <v>7398</v>
      </c>
      <c r="HTT1" s="16" t="s">
        <v>7399</v>
      </c>
      <c r="HTU1" s="16" t="s">
        <v>7400</v>
      </c>
      <c r="HTV1" s="16" t="s">
        <v>7401</v>
      </c>
      <c r="HTW1" s="16" t="s">
        <v>7402</v>
      </c>
      <c r="HTX1" s="16" t="s">
        <v>7403</v>
      </c>
      <c r="HTY1" s="16" t="s">
        <v>7404</v>
      </c>
      <c r="HTZ1" s="16" t="s">
        <v>7405</v>
      </c>
      <c r="HUA1" s="16" t="s">
        <v>7406</v>
      </c>
      <c r="HUB1" s="16" t="s">
        <v>7407</v>
      </c>
      <c r="HUC1" s="16" t="s">
        <v>7408</v>
      </c>
      <c r="HUD1" s="16" t="s">
        <v>7409</v>
      </c>
      <c r="HUE1" s="16" t="s">
        <v>7410</v>
      </c>
      <c r="HUF1" s="16" t="s">
        <v>7411</v>
      </c>
      <c r="HUG1" s="16" t="s">
        <v>7412</v>
      </c>
      <c r="HUH1" s="16" t="s">
        <v>7413</v>
      </c>
      <c r="HUI1" s="16" t="s">
        <v>7414</v>
      </c>
      <c r="HUJ1" s="16" t="s">
        <v>7415</v>
      </c>
      <c r="HUK1" s="16" t="s">
        <v>7416</v>
      </c>
      <c r="HUL1" s="16" t="s">
        <v>7417</v>
      </c>
      <c r="HUM1" s="16" t="s">
        <v>7418</v>
      </c>
      <c r="HUN1" s="16" t="s">
        <v>7419</v>
      </c>
      <c r="HUO1" s="16" t="s">
        <v>7420</v>
      </c>
      <c r="HUP1" s="16" t="s">
        <v>7421</v>
      </c>
      <c r="HUQ1" s="16" t="s">
        <v>7422</v>
      </c>
      <c r="HUR1" s="16" t="s">
        <v>7423</v>
      </c>
      <c r="HUS1" s="16" t="s">
        <v>7424</v>
      </c>
      <c r="HUT1" s="16" t="s">
        <v>7425</v>
      </c>
      <c r="HUU1" s="16" t="s">
        <v>7426</v>
      </c>
      <c r="HUV1" s="16" t="s">
        <v>7427</v>
      </c>
      <c r="HUW1" s="16" t="s">
        <v>7428</v>
      </c>
      <c r="HUX1" s="16" t="s">
        <v>7429</v>
      </c>
      <c r="HUY1" s="16" t="s">
        <v>7430</v>
      </c>
      <c r="HUZ1" s="16" t="s">
        <v>7431</v>
      </c>
      <c r="HVA1" s="16" t="s">
        <v>7432</v>
      </c>
      <c r="HVB1" s="16" t="s">
        <v>7433</v>
      </c>
      <c r="HVC1" s="16" t="s">
        <v>7434</v>
      </c>
      <c r="HVD1" s="16" t="s">
        <v>7435</v>
      </c>
      <c r="HVE1" s="16" t="s">
        <v>7436</v>
      </c>
      <c r="HVF1" s="16" t="s">
        <v>7437</v>
      </c>
      <c r="HVG1" s="16" t="s">
        <v>7438</v>
      </c>
      <c r="HVH1" s="16" t="s">
        <v>7439</v>
      </c>
      <c r="HVI1" s="16" t="s">
        <v>7440</v>
      </c>
      <c r="HVJ1" s="16" t="s">
        <v>7441</v>
      </c>
      <c r="HVK1" s="16" t="s">
        <v>7442</v>
      </c>
      <c r="HVL1" s="16" t="s">
        <v>7443</v>
      </c>
      <c r="HVM1" s="16" t="s">
        <v>7444</v>
      </c>
      <c r="HVN1" s="16" t="s">
        <v>7445</v>
      </c>
      <c r="HVO1" s="16" t="s">
        <v>7446</v>
      </c>
      <c r="HVP1" s="16" t="s">
        <v>7447</v>
      </c>
      <c r="HVQ1" s="16" t="s">
        <v>7448</v>
      </c>
      <c r="HVR1" s="16" t="s">
        <v>7449</v>
      </c>
      <c r="HVS1" s="16" t="s">
        <v>7450</v>
      </c>
      <c r="HVT1" s="16" t="s">
        <v>7451</v>
      </c>
      <c r="HVU1" s="16" t="s">
        <v>7452</v>
      </c>
      <c r="HVV1" s="16" t="s">
        <v>7453</v>
      </c>
      <c r="HVW1" s="16" t="s">
        <v>7454</v>
      </c>
      <c r="HVX1" s="16" t="s">
        <v>7455</v>
      </c>
      <c r="HVY1" s="16" t="s">
        <v>7456</v>
      </c>
      <c r="HVZ1" s="16" t="s">
        <v>7457</v>
      </c>
      <c r="HWA1" s="16" t="s">
        <v>7458</v>
      </c>
      <c r="HWB1" s="16" t="s">
        <v>7459</v>
      </c>
      <c r="HWC1" s="16" t="s">
        <v>7460</v>
      </c>
      <c r="HWD1" s="16" t="s">
        <v>7461</v>
      </c>
      <c r="HWE1" s="16" t="s">
        <v>7462</v>
      </c>
      <c r="HWF1" s="16" t="s">
        <v>7463</v>
      </c>
      <c r="HWG1" s="16" t="s">
        <v>7464</v>
      </c>
      <c r="HWH1" s="16" t="s">
        <v>7465</v>
      </c>
      <c r="HWI1" s="16" t="s">
        <v>7466</v>
      </c>
      <c r="HWJ1" s="16" t="s">
        <v>7467</v>
      </c>
      <c r="HWK1" s="16" t="s">
        <v>7468</v>
      </c>
      <c r="HWL1" s="16" t="s">
        <v>7469</v>
      </c>
      <c r="HWM1" s="16" t="s">
        <v>7470</v>
      </c>
      <c r="HWN1" s="16" t="s">
        <v>7471</v>
      </c>
      <c r="HWO1" s="16" t="s">
        <v>7472</v>
      </c>
      <c r="HWP1" s="16" t="s">
        <v>7473</v>
      </c>
      <c r="HWQ1" s="16" t="s">
        <v>7474</v>
      </c>
      <c r="HWR1" s="16" t="s">
        <v>7475</v>
      </c>
      <c r="HWS1" s="16" t="s">
        <v>7476</v>
      </c>
      <c r="HWT1" s="16" t="s">
        <v>7477</v>
      </c>
      <c r="HWU1" s="16" t="s">
        <v>7478</v>
      </c>
      <c r="HWV1" s="16" t="s">
        <v>7479</v>
      </c>
      <c r="HWW1" s="16" t="s">
        <v>7480</v>
      </c>
      <c r="HWX1" s="16" t="s">
        <v>7481</v>
      </c>
      <c r="HWY1" s="16" t="s">
        <v>7482</v>
      </c>
      <c r="HWZ1" s="16" t="s">
        <v>7483</v>
      </c>
      <c r="HXA1" s="16" t="s">
        <v>7484</v>
      </c>
      <c r="HXB1" s="16" t="s">
        <v>7485</v>
      </c>
      <c r="HXC1" s="16" t="s">
        <v>7486</v>
      </c>
      <c r="HXD1" s="16" t="s">
        <v>7487</v>
      </c>
      <c r="HXE1" s="16" t="s">
        <v>7488</v>
      </c>
      <c r="HXF1" s="16" t="s">
        <v>7489</v>
      </c>
      <c r="HXG1" s="16" t="s">
        <v>7490</v>
      </c>
      <c r="HXH1" s="16" t="s">
        <v>7491</v>
      </c>
      <c r="HXI1" s="16" t="s">
        <v>7492</v>
      </c>
      <c r="HXJ1" s="16" t="s">
        <v>7493</v>
      </c>
      <c r="HXK1" s="16" t="s">
        <v>7494</v>
      </c>
      <c r="HXL1" s="16" t="s">
        <v>7495</v>
      </c>
      <c r="HXM1" s="16" t="s">
        <v>7496</v>
      </c>
      <c r="HXN1" s="16" t="s">
        <v>7497</v>
      </c>
      <c r="HXO1" s="16" t="s">
        <v>7498</v>
      </c>
      <c r="HXP1" s="16" t="s">
        <v>7499</v>
      </c>
      <c r="HXQ1" s="16" t="s">
        <v>7500</v>
      </c>
      <c r="HXR1" s="16" t="s">
        <v>7501</v>
      </c>
      <c r="HXS1" s="16" t="s">
        <v>7502</v>
      </c>
      <c r="HXT1" s="16" t="s">
        <v>7503</v>
      </c>
      <c r="HXU1" s="16" t="s">
        <v>7504</v>
      </c>
      <c r="HXV1" s="16" t="s">
        <v>7505</v>
      </c>
      <c r="HXW1" s="16" t="s">
        <v>7506</v>
      </c>
      <c r="HXX1" s="16" t="s">
        <v>7507</v>
      </c>
      <c r="HXY1" s="16" t="s">
        <v>7508</v>
      </c>
      <c r="HXZ1" s="16" t="s">
        <v>7509</v>
      </c>
      <c r="HYA1" s="16" t="s">
        <v>7510</v>
      </c>
      <c r="HYB1" s="16" t="s">
        <v>7511</v>
      </c>
      <c r="HYC1" s="16" t="s">
        <v>7512</v>
      </c>
      <c r="HYD1" s="16" t="s">
        <v>7513</v>
      </c>
      <c r="HYE1" s="16" t="s">
        <v>7514</v>
      </c>
      <c r="HYF1" s="16" t="s">
        <v>7515</v>
      </c>
      <c r="HYG1" s="16" t="s">
        <v>7516</v>
      </c>
      <c r="HYH1" s="16" t="s">
        <v>7517</v>
      </c>
      <c r="HYI1" s="16" t="s">
        <v>7518</v>
      </c>
      <c r="HYJ1" s="16" t="s">
        <v>7519</v>
      </c>
      <c r="HYK1" s="16" t="s">
        <v>7520</v>
      </c>
      <c r="HYL1" s="16" t="s">
        <v>7521</v>
      </c>
      <c r="HYM1" s="16" t="s">
        <v>7522</v>
      </c>
      <c r="HYN1" s="16" t="s">
        <v>7523</v>
      </c>
      <c r="HYO1" s="16" t="s">
        <v>7524</v>
      </c>
      <c r="HYP1" s="16" t="s">
        <v>7525</v>
      </c>
      <c r="HYQ1" s="16" t="s">
        <v>7526</v>
      </c>
      <c r="HYR1" s="16" t="s">
        <v>7527</v>
      </c>
      <c r="HYS1" s="16" t="s">
        <v>7528</v>
      </c>
      <c r="HYT1" s="16" t="s">
        <v>7529</v>
      </c>
      <c r="HYU1" s="16" t="s">
        <v>7530</v>
      </c>
      <c r="HYV1" s="16" t="s">
        <v>7531</v>
      </c>
      <c r="HYW1" s="16" t="s">
        <v>7532</v>
      </c>
      <c r="HYX1" s="16" t="s">
        <v>7533</v>
      </c>
      <c r="HYY1" s="16" t="s">
        <v>7534</v>
      </c>
      <c r="HYZ1" s="16" t="s">
        <v>7535</v>
      </c>
      <c r="HZA1" s="16" t="s">
        <v>7536</v>
      </c>
      <c r="HZB1" s="16" t="s">
        <v>7537</v>
      </c>
      <c r="HZC1" s="16" t="s">
        <v>7538</v>
      </c>
      <c r="HZD1" s="16" t="s">
        <v>7539</v>
      </c>
      <c r="HZE1" s="16" t="s">
        <v>7540</v>
      </c>
      <c r="HZF1" s="16" t="s">
        <v>7541</v>
      </c>
      <c r="HZG1" s="16" t="s">
        <v>7542</v>
      </c>
      <c r="HZH1" s="16" t="s">
        <v>7543</v>
      </c>
      <c r="HZI1" s="16" t="s">
        <v>7544</v>
      </c>
      <c r="HZJ1" s="16" t="s">
        <v>7545</v>
      </c>
      <c r="HZK1" s="16" t="s">
        <v>7546</v>
      </c>
      <c r="HZL1" s="16" t="s">
        <v>7547</v>
      </c>
      <c r="HZM1" s="16" t="s">
        <v>7548</v>
      </c>
      <c r="HZN1" s="16" t="s">
        <v>7549</v>
      </c>
      <c r="HZO1" s="16" t="s">
        <v>7550</v>
      </c>
      <c r="HZP1" s="16" t="s">
        <v>7551</v>
      </c>
      <c r="HZQ1" s="16" t="s">
        <v>7552</v>
      </c>
      <c r="HZR1" s="16" t="s">
        <v>7553</v>
      </c>
      <c r="HZS1" s="16" t="s">
        <v>7554</v>
      </c>
      <c r="HZT1" s="16" t="s">
        <v>7555</v>
      </c>
      <c r="HZU1" s="16" t="s">
        <v>7556</v>
      </c>
      <c r="HZV1" s="16" t="s">
        <v>7557</v>
      </c>
      <c r="HZW1" s="16" t="s">
        <v>7558</v>
      </c>
      <c r="HZX1" s="16" t="s">
        <v>7559</v>
      </c>
      <c r="HZY1" s="16" t="s">
        <v>7560</v>
      </c>
      <c r="HZZ1" s="16" t="s">
        <v>7561</v>
      </c>
      <c r="IAA1" s="16" t="s">
        <v>7562</v>
      </c>
      <c r="IAB1" s="16" t="s">
        <v>7563</v>
      </c>
      <c r="IAC1" s="16" t="s">
        <v>7564</v>
      </c>
      <c r="IAD1" s="16" t="s">
        <v>7565</v>
      </c>
      <c r="IAE1" s="16" t="s">
        <v>7566</v>
      </c>
      <c r="IAF1" s="16" t="s">
        <v>7567</v>
      </c>
      <c r="IAG1" s="16" t="s">
        <v>7568</v>
      </c>
      <c r="IAH1" s="16" t="s">
        <v>7569</v>
      </c>
      <c r="IAI1" s="16" t="s">
        <v>7570</v>
      </c>
      <c r="IAJ1" s="16" t="s">
        <v>7571</v>
      </c>
      <c r="IAK1" s="16" t="s">
        <v>7572</v>
      </c>
      <c r="IAL1" s="16" t="s">
        <v>7573</v>
      </c>
      <c r="IAM1" s="16" t="s">
        <v>7574</v>
      </c>
      <c r="IAN1" s="16" t="s">
        <v>7575</v>
      </c>
      <c r="IAO1" s="16" t="s">
        <v>7576</v>
      </c>
      <c r="IAP1" s="16" t="s">
        <v>7577</v>
      </c>
      <c r="IAQ1" s="16" t="s">
        <v>7578</v>
      </c>
      <c r="IAR1" s="16" t="s">
        <v>7579</v>
      </c>
      <c r="IAS1" s="16" t="s">
        <v>7580</v>
      </c>
      <c r="IAT1" s="16" t="s">
        <v>7581</v>
      </c>
      <c r="IAU1" s="16" t="s">
        <v>7582</v>
      </c>
      <c r="IAV1" s="16" t="s">
        <v>7583</v>
      </c>
      <c r="IAW1" s="16" t="s">
        <v>7584</v>
      </c>
      <c r="IAX1" s="16" t="s">
        <v>7585</v>
      </c>
      <c r="IAY1" s="16" t="s">
        <v>7586</v>
      </c>
      <c r="IAZ1" s="16" t="s">
        <v>7587</v>
      </c>
      <c r="IBA1" s="16" t="s">
        <v>7588</v>
      </c>
      <c r="IBB1" s="16" t="s">
        <v>7589</v>
      </c>
      <c r="IBC1" s="16" t="s">
        <v>7590</v>
      </c>
      <c r="IBD1" s="16" t="s">
        <v>7591</v>
      </c>
      <c r="IBE1" s="16" t="s">
        <v>7592</v>
      </c>
      <c r="IBF1" s="16" t="s">
        <v>7593</v>
      </c>
      <c r="IBG1" s="16" t="s">
        <v>7594</v>
      </c>
      <c r="IBH1" s="16" t="s">
        <v>7595</v>
      </c>
      <c r="IBI1" s="16" t="s">
        <v>7596</v>
      </c>
      <c r="IBJ1" s="16" t="s">
        <v>7597</v>
      </c>
      <c r="IBK1" s="16" t="s">
        <v>7598</v>
      </c>
      <c r="IBL1" s="16" t="s">
        <v>7599</v>
      </c>
      <c r="IBM1" s="16" t="s">
        <v>7600</v>
      </c>
      <c r="IBN1" s="16" t="s">
        <v>7601</v>
      </c>
      <c r="IBO1" s="16" t="s">
        <v>7602</v>
      </c>
      <c r="IBP1" s="16" t="s">
        <v>7603</v>
      </c>
      <c r="IBQ1" s="16" t="s">
        <v>7604</v>
      </c>
      <c r="IBR1" s="16" t="s">
        <v>7605</v>
      </c>
      <c r="IBS1" s="16" t="s">
        <v>7606</v>
      </c>
      <c r="IBT1" s="16" t="s">
        <v>7607</v>
      </c>
      <c r="IBU1" s="16" t="s">
        <v>7608</v>
      </c>
      <c r="IBV1" s="16" t="s">
        <v>7609</v>
      </c>
      <c r="IBW1" s="16" t="s">
        <v>7610</v>
      </c>
      <c r="IBX1" s="16" t="s">
        <v>7611</v>
      </c>
      <c r="IBY1" s="16" t="s">
        <v>7612</v>
      </c>
      <c r="IBZ1" s="16" t="s">
        <v>7613</v>
      </c>
      <c r="ICA1" s="16" t="s">
        <v>7614</v>
      </c>
      <c r="ICB1" s="16" t="s">
        <v>7615</v>
      </c>
      <c r="ICC1" s="16" t="s">
        <v>7616</v>
      </c>
      <c r="ICD1" s="16" t="s">
        <v>7617</v>
      </c>
      <c r="ICE1" s="16" t="s">
        <v>7618</v>
      </c>
      <c r="ICF1" s="16" t="s">
        <v>7619</v>
      </c>
      <c r="ICG1" s="16" t="s">
        <v>7620</v>
      </c>
      <c r="ICH1" s="16" t="s">
        <v>7621</v>
      </c>
      <c r="ICI1" s="16" t="s">
        <v>7622</v>
      </c>
      <c r="ICJ1" s="16" t="s">
        <v>7623</v>
      </c>
      <c r="ICK1" s="16" t="s">
        <v>7624</v>
      </c>
      <c r="ICL1" s="16" t="s">
        <v>7625</v>
      </c>
      <c r="ICM1" s="16" t="s">
        <v>7626</v>
      </c>
      <c r="ICN1" s="16" t="s">
        <v>7627</v>
      </c>
      <c r="ICO1" s="16" t="s">
        <v>7628</v>
      </c>
      <c r="ICP1" s="16" t="s">
        <v>7629</v>
      </c>
      <c r="ICQ1" s="16" t="s">
        <v>7630</v>
      </c>
      <c r="ICR1" s="16" t="s">
        <v>7631</v>
      </c>
      <c r="ICS1" s="16" t="s">
        <v>7632</v>
      </c>
      <c r="ICT1" s="16" t="s">
        <v>7633</v>
      </c>
      <c r="ICU1" s="16" t="s">
        <v>7634</v>
      </c>
      <c r="ICV1" s="16" t="s">
        <v>7635</v>
      </c>
      <c r="ICW1" s="16" t="s">
        <v>7636</v>
      </c>
      <c r="ICX1" s="16" t="s">
        <v>7637</v>
      </c>
      <c r="ICY1" s="16" t="s">
        <v>7638</v>
      </c>
      <c r="ICZ1" s="16" t="s">
        <v>7639</v>
      </c>
      <c r="IDA1" s="16" t="s">
        <v>7640</v>
      </c>
      <c r="IDB1" s="16" t="s">
        <v>7641</v>
      </c>
      <c r="IDC1" s="16" t="s">
        <v>7642</v>
      </c>
      <c r="IDD1" s="16" t="s">
        <v>7643</v>
      </c>
      <c r="IDE1" s="16" t="s">
        <v>7644</v>
      </c>
      <c r="IDF1" s="16" t="s">
        <v>7645</v>
      </c>
      <c r="IDG1" s="16" t="s">
        <v>7646</v>
      </c>
      <c r="IDH1" s="16" t="s">
        <v>7647</v>
      </c>
      <c r="IDI1" s="16" t="s">
        <v>7648</v>
      </c>
      <c r="IDJ1" s="16" t="s">
        <v>7649</v>
      </c>
      <c r="IDK1" s="16" t="s">
        <v>7650</v>
      </c>
      <c r="IDL1" s="16" t="s">
        <v>7651</v>
      </c>
      <c r="IDM1" s="16" t="s">
        <v>7652</v>
      </c>
      <c r="IDN1" s="16" t="s">
        <v>7653</v>
      </c>
      <c r="IDO1" s="16" t="s">
        <v>7654</v>
      </c>
      <c r="IDP1" s="16" t="s">
        <v>7655</v>
      </c>
      <c r="IDQ1" s="16" t="s">
        <v>7656</v>
      </c>
      <c r="IDR1" s="16" t="s">
        <v>7657</v>
      </c>
      <c r="IDS1" s="16" t="s">
        <v>7658</v>
      </c>
      <c r="IDT1" s="16" t="s">
        <v>7659</v>
      </c>
      <c r="IDU1" s="16" t="s">
        <v>7660</v>
      </c>
      <c r="IDV1" s="16" t="s">
        <v>7661</v>
      </c>
      <c r="IDW1" s="16" t="s">
        <v>7662</v>
      </c>
      <c r="IDX1" s="16" t="s">
        <v>7663</v>
      </c>
      <c r="IDY1" s="16" t="s">
        <v>7664</v>
      </c>
      <c r="IDZ1" s="16" t="s">
        <v>7665</v>
      </c>
      <c r="IEA1" s="16" t="s">
        <v>7666</v>
      </c>
      <c r="IEB1" s="16" t="s">
        <v>7667</v>
      </c>
      <c r="IEC1" s="16" t="s">
        <v>7668</v>
      </c>
      <c r="IED1" s="16" t="s">
        <v>7669</v>
      </c>
      <c r="IEE1" s="16" t="s">
        <v>7670</v>
      </c>
      <c r="IEF1" s="16" t="s">
        <v>7671</v>
      </c>
      <c r="IEG1" s="16" t="s">
        <v>7672</v>
      </c>
      <c r="IEH1" s="16" t="s">
        <v>7673</v>
      </c>
      <c r="IEI1" s="16" t="s">
        <v>7674</v>
      </c>
      <c r="IEJ1" s="16" t="s">
        <v>7675</v>
      </c>
      <c r="IEK1" s="16" t="s">
        <v>7676</v>
      </c>
      <c r="IEL1" s="16" t="s">
        <v>7677</v>
      </c>
      <c r="IEM1" s="16" t="s">
        <v>7678</v>
      </c>
      <c r="IEN1" s="16" t="s">
        <v>7679</v>
      </c>
      <c r="IEO1" s="16" t="s">
        <v>7680</v>
      </c>
      <c r="IEP1" s="16" t="s">
        <v>7681</v>
      </c>
      <c r="IEQ1" s="16" t="s">
        <v>7682</v>
      </c>
      <c r="IER1" s="16" t="s">
        <v>7683</v>
      </c>
      <c r="IES1" s="16" t="s">
        <v>7684</v>
      </c>
      <c r="IET1" s="16" t="s">
        <v>7685</v>
      </c>
      <c r="IEU1" s="16" t="s">
        <v>7686</v>
      </c>
      <c r="IEV1" s="16" t="s">
        <v>7687</v>
      </c>
      <c r="IEW1" s="16" t="s">
        <v>7688</v>
      </c>
      <c r="IEX1" s="16" t="s">
        <v>7689</v>
      </c>
      <c r="IEY1" s="16" t="s">
        <v>7690</v>
      </c>
      <c r="IEZ1" s="16" t="s">
        <v>7691</v>
      </c>
      <c r="IFA1" s="16" t="s">
        <v>7692</v>
      </c>
      <c r="IFB1" s="16" t="s">
        <v>7693</v>
      </c>
      <c r="IFC1" s="16" t="s">
        <v>7694</v>
      </c>
      <c r="IFD1" s="16" t="s">
        <v>7695</v>
      </c>
      <c r="IFE1" s="16" t="s">
        <v>7696</v>
      </c>
      <c r="IFF1" s="16" t="s">
        <v>7697</v>
      </c>
      <c r="IFG1" s="16" t="s">
        <v>7698</v>
      </c>
      <c r="IFH1" s="16" t="s">
        <v>7699</v>
      </c>
      <c r="IFI1" s="16" t="s">
        <v>7700</v>
      </c>
      <c r="IFJ1" s="16" t="s">
        <v>7701</v>
      </c>
      <c r="IFK1" s="16" t="s">
        <v>7702</v>
      </c>
      <c r="IFL1" s="16" t="s">
        <v>7703</v>
      </c>
      <c r="IFM1" s="16" t="s">
        <v>7704</v>
      </c>
      <c r="IFN1" s="16" t="s">
        <v>7705</v>
      </c>
      <c r="IFO1" s="16" t="s">
        <v>7706</v>
      </c>
      <c r="IFP1" s="16" t="s">
        <v>7707</v>
      </c>
      <c r="IFQ1" s="16" t="s">
        <v>7708</v>
      </c>
      <c r="IFR1" s="16" t="s">
        <v>7709</v>
      </c>
      <c r="IFS1" s="16" t="s">
        <v>7710</v>
      </c>
      <c r="IFT1" s="16" t="s">
        <v>7711</v>
      </c>
      <c r="IFU1" s="16" t="s">
        <v>7712</v>
      </c>
      <c r="IFV1" s="16" t="s">
        <v>7713</v>
      </c>
      <c r="IFW1" s="16" t="s">
        <v>7714</v>
      </c>
      <c r="IFX1" s="16" t="s">
        <v>7715</v>
      </c>
      <c r="IFY1" s="16" t="s">
        <v>7716</v>
      </c>
      <c r="IFZ1" s="16" t="s">
        <v>7717</v>
      </c>
      <c r="IGA1" s="16" t="s">
        <v>7718</v>
      </c>
      <c r="IGB1" s="16" t="s">
        <v>7719</v>
      </c>
      <c r="IGC1" s="16" t="s">
        <v>7720</v>
      </c>
      <c r="IGD1" s="16" t="s">
        <v>7721</v>
      </c>
      <c r="IGE1" s="16" t="s">
        <v>7722</v>
      </c>
      <c r="IGF1" s="16" t="s">
        <v>7723</v>
      </c>
      <c r="IGG1" s="16" t="s">
        <v>7724</v>
      </c>
      <c r="IGH1" s="16" t="s">
        <v>7725</v>
      </c>
      <c r="IGI1" s="16" t="s">
        <v>7726</v>
      </c>
      <c r="IGJ1" s="16" t="s">
        <v>7727</v>
      </c>
      <c r="IGK1" s="16" t="s">
        <v>7728</v>
      </c>
      <c r="IGL1" s="16" t="s">
        <v>7729</v>
      </c>
      <c r="IGM1" s="16" t="s">
        <v>7730</v>
      </c>
      <c r="IGN1" s="16" t="s">
        <v>7731</v>
      </c>
      <c r="IGO1" s="16" t="s">
        <v>7732</v>
      </c>
      <c r="IGP1" s="16" t="s">
        <v>7733</v>
      </c>
      <c r="IGQ1" s="16" t="s">
        <v>7734</v>
      </c>
      <c r="IGR1" s="16" t="s">
        <v>7735</v>
      </c>
      <c r="IGS1" s="16" t="s">
        <v>7736</v>
      </c>
      <c r="IGT1" s="16" t="s">
        <v>7737</v>
      </c>
      <c r="IGU1" s="16" t="s">
        <v>7738</v>
      </c>
      <c r="IGV1" s="16" t="s">
        <v>7739</v>
      </c>
      <c r="IGW1" s="16" t="s">
        <v>7740</v>
      </c>
      <c r="IGX1" s="16" t="s">
        <v>7741</v>
      </c>
      <c r="IGY1" s="16" t="s">
        <v>7742</v>
      </c>
      <c r="IGZ1" s="16" t="s">
        <v>7743</v>
      </c>
      <c r="IHA1" s="16" t="s">
        <v>7744</v>
      </c>
      <c r="IHB1" s="16" t="s">
        <v>7745</v>
      </c>
      <c r="IHC1" s="16" t="s">
        <v>7746</v>
      </c>
      <c r="IHD1" s="16" t="s">
        <v>7747</v>
      </c>
      <c r="IHE1" s="16" t="s">
        <v>7748</v>
      </c>
      <c r="IHF1" s="16" t="s">
        <v>7749</v>
      </c>
      <c r="IHG1" s="16" t="s">
        <v>7750</v>
      </c>
      <c r="IHH1" s="16" t="s">
        <v>7751</v>
      </c>
      <c r="IHI1" s="16" t="s">
        <v>7752</v>
      </c>
      <c r="IHJ1" s="16" t="s">
        <v>7753</v>
      </c>
      <c r="IHK1" s="16" t="s">
        <v>7754</v>
      </c>
      <c r="IHL1" s="16" t="s">
        <v>7755</v>
      </c>
      <c r="IHM1" s="16" t="s">
        <v>7756</v>
      </c>
      <c r="IHN1" s="16" t="s">
        <v>7757</v>
      </c>
      <c r="IHO1" s="16" t="s">
        <v>7758</v>
      </c>
      <c r="IHP1" s="16" t="s">
        <v>7759</v>
      </c>
      <c r="IHQ1" s="16" t="s">
        <v>7760</v>
      </c>
      <c r="IHR1" s="16" t="s">
        <v>7761</v>
      </c>
      <c r="IHS1" s="16" t="s">
        <v>7762</v>
      </c>
      <c r="IHT1" s="16" t="s">
        <v>7763</v>
      </c>
      <c r="IHU1" s="16" t="s">
        <v>7764</v>
      </c>
      <c r="IHV1" s="16" t="s">
        <v>7765</v>
      </c>
      <c r="IHW1" s="16" t="s">
        <v>7766</v>
      </c>
      <c r="IHX1" s="16" t="s">
        <v>7767</v>
      </c>
      <c r="IHY1" s="16" t="s">
        <v>7768</v>
      </c>
      <c r="IHZ1" s="16" t="s">
        <v>7769</v>
      </c>
      <c r="IIA1" s="16" t="s">
        <v>7770</v>
      </c>
      <c r="IIB1" s="16" t="s">
        <v>7771</v>
      </c>
      <c r="IIC1" s="16" t="s">
        <v>7772</v>
      </c>
      <c r="IID1" s="16" t="s">
        <v>7773</v>
      </c>
      <c r="IIE1" s="16" t="s">
        <v>7774</v>
      </c>
      <c r="IIF1" s="16" t="s">
        <v>7775</v>
      </c>
      <c r="IIG1" s="16" t="s">
        <v>7776</v>
      </c>
      <c r="IIH1" s="16" t="s">
        <v>7777</v>
      </c>
      <c r="III1" s="16" t="s">
        <v>7778</v>
      </c>
      <c r="IIJ1" s="16" t="s">
        <v>7779</v>
      </c>
      <c r="IIK1" s="16" t="s">
        <v>7780</v>
      </c>
      <c r="IIL1" s="16" t="s">
        <v>7781</v>
      </c>
      <c r="IIM1" s="16" t="s">
        <v>7782</v>
      </c>
      <c r="IIN1" s="16" t="s">
        <v>7783</v>
      </c>
      <c r="IIO1" s="16" t="s">
        <v>7784</v>
      </c>
      <c r="IIP1" s="16" t="s">
        <v>7785</v>
      </c>
      <c r="IIQ1" s="16" t="s">
        <v>7786</v>
      </c>
      <c r="IIR1" s="16" t="s">
        <v>7787</v>
      </c>
      <c r="IIS1" s="16" t="s">
        <v>7788</v>
      </c>
      <c r="IIT1" s="16" t="s">
        <v>7789</v>
      </c>
      <c r="IIU1" s="16" t="s">
        <v>7790</v>
      </c>
      <c r="IIV1" s="16" t="s">
        <v>7791</v>
      </c>
      <c r="IIW1" s="16" t="s">
        <v>7792</v>
      </c>
      <c r="IIX1" s="16" t="s">
        <v>7793</v>
      </c>
      <c r="IIY1" s="16" t="s">
        <v>7794</v>
      </c>
      <c r="IIZ1" s="16" t="s">
        <v>7795</v>
      </c>
      <c r="IJA1" s="16" t="s">
        <v>7796</v>
      </c>
      <c r="IJB1" s="16" t="s">
        <v>7797</v>
      </c>
      <c r="IJC1" s="16" t="s">
        <v>7798</v>
      </c>
      <c r="IJD1" s="16" t="s">
        <v>7799</v>
      </c>
      <c r="IJE1" s="16" t="s">
        <v>7800</v>
      </c>
      <c r="IJF1" s="16" t="s">
        <v>7801</v>
      </c>
      <c r="IJG1" s="16" t="s">
        <v>7802</v>
      </c>
      <c r="IJH1" s="16" t="s">
        <v>7803</v>
      </c>
      <c r="IJI1" s="16" t="s">
        <v>7804</v>
      </c>
      <c r="IJJ1" s="16" t="s">
        <v>7805</v>
      </c>
      <c r="IJK1" s="16" t="s">
        <v>7806</v>
      </c>
      <c r="IJL1" s="16" t="s">
        <v>7807</v>
      </c>
      <c r="IJM1" s="16" t="s">
        <v>7808</v>
      </c>
      <c r="IJN1" s="16" t="s">
        <v>7809</v>
      </c>
      <c r="IJO1" s="16" t="s">
        <v>7810</v>
      </c>
      <c r="IJP1" s="16" t="s">
        <v>7811</v>
      </c>
      <c r="IJQ1" s="16" t="s">
        <v>7812</v>
      </c>
      <c r="IJR1" s="16" t="s">
        <v>7813</v>
      </c>
      <c r="IJS1" s="16" t="s">
        <v>7814</v>
      </c>
      <c r="IJT1" s="16" t="s">
        <v>7815</v>
      </c>
      <c r="IJU1" s="16" t="s">
        <v>7816</v>
      </c>
      <c r="IJV1" s="16" t="s">
        <v>7817</v>
      </c>
      <c r="IJW1" s="16" t="s">
        <v>7818</v>
      </c>
      <c r="IJX1" s="16" t="s">
        <v>7819</v>
      </c>
      <c r="IJY1" s="16" t="s">
        <v>7820</v>
      </c>
      <c r="IJZ1" s="16" t="s">
        <v>7821</v>
      </c>
      <c r="IKA1" s="16" t="s">
        <v>7822</v>
      </c>
      <c r="IKB1" s="16" t="s">
        <v>7823</v>
      </c>
      <c r="IKC1" s="16" t="s">
        <v>7824</v>
      </c>
      <c r="IKD1" s="16" t="s">
        <v>7825</v>
      </c>
      <c r="IKE1" s="16" t="s">
        <v>7826</v>
      </c>
      <c r="IKF1" s="16" t="s">
        <v>7827</v>
      </c>
      <c r="IKG1" s="16" t="s">
        <v>7828</v>
      </c>
      <c r="IKH1" s="16" t="s">
        <v>7829</v>
      </c>
      <c r="IKI1" s="16" t="s">
        <v>7830</v>
      </c>
      <c r="IKJ1" s="16" t="s">
        <v>7831</v>
      </c>
      <c r="IKK1" s="16" t="s">
        <v>7832</v>
      </c>
      <c r="IKL1" s="16" t="s">
        <v>7833</v>
      </c>
      <c r="IKM1" s="16" t="s">
        <v>7834</v>
      </c>
      <c r="IKN1" s="16" t="s">
        <v>7835</v>
      </c>
      <c r="IKO1" s="16" t="s">
        <v>7836</v>
      </c>
      <c r="IKP1" s="16" t="s">
        <v>7837</v>
      </c>
      <c r="IKQ1" s="16" t="s">
        <v>7838</v>
      </c>
      <c r="IKR1" s="16" t="s">
        <v>7839</v>
      </c>
      <c r="IKS1" s="16" t="s">
        <v>7840</v>
      </c>
      <c r="IKT1" s="16" t="s">
        <v>7841</v>
      </c>
      <c r="IKU1" s="16" t="s">
        <v>7842</v>
      </c>
      <c r="IKV1" s="16" t="s">
        <v>7843</v>
      </c>
      <c r="IKW1" s="16" t="s">
        <v>7844</v>
      </c>
      <c r="IKX1" s="16" t="s">
        <v>7845</v>
      </c>
      <c r="IKY1" s="16" t="s">
        <v>7846</v>
      </c>
      <c r="IKZ1" s="16" t="s">
        <v>7847</v>
      </c>
      <c r="ILA1" s="16" t="s">
        <v>7848</v>
      </c>
      <c r="ILB1" s="16" t="s">
        <v>7849</v>
      </c>
      <c r="ILC1" s="16" t="s">
        <v>7850</v>
      </c>
      <c r="ILD1" s="16" t="s">
        <v>7851</v>
      </c>
      <c r="ILE1" s="16" t="s">
        <v>7852</v>
      </c>
      <c r="ILF1" s="16" t="s">
        <v>7853</v>
      </c>
      <c r="ILG1" s="16" t="s">
        <v>7854</v>
      </c>
      <c r="ILH1" s="16" t="s">
        <v>7855</v>
      </c>
      <c r="ILI1" s="16" t="s">
        <v>7856</v>
      </c>
      <c r="ILJ1" s="16" t="s">
        <v>7857</v>
      </c>
      <c r="ILK1" s="16" t="s">
        <v>7858</v>
      </c>
      <c r="ILL1" s="16" t="s">
        <v>7859</v>
      </c>
      <c r="ILM1" s="16" t="s">
        <v>7860</v>
      </c>
      <c r="ILN1" s="16" t="s">
        <v>7861</v>
      </c>
      <c r="ILO1" s="16" t="s">
        <v>7862</v>
      </c>
      <c r="ILP1" s="16" t="s">
        <v>7863</v>
      </c>
      <c r="ILQ1" s="16" t="s">
        <v>7864</v>
      </c>
      <c r="ILR1" s="16" t="s">
        <v>7865</v>
      </c>
      <c r="ILS1" s="16" t="s">
        <v>7866</v>
      </c>
      <c r="ILT1" s="16" t="s">
        <v>7867</v>
      </c>
      <c r="ILU1" s="16" t="s">
        <v>7868</v>
      </c>
      <c r="ILV1" s="16" t="s">
        <v>7869</v>
      </c>
      <c r="ILW1" s="16" t="s">
        <v>7870</v>
      </c>
      <c r="ILX1" s="16" t="s">
        <v>7871</v>
      </c>
      <c r="ILY1" s="16" t="s">
        <v>7872</v>
      </c>
      <c r="ILZ1" s="16" t="s">
        <v>7873</v>
      </c>
      <c r="IMA1" s="16" t="s">
        <v>7874</v>
      </c>
      <c r="IMB1" s="16" t="s">
        <v>7875</v>
      </c>
      <c r="IMC1" s="16" t="s">
        <v>7876</v>
      </c>
      <c r="IMD1" s="16" t="s">
        <v>7877</v>
      </c>
      <c r="IME1" s="16" t="s">
        <v>7878</v>
      </c>
      <c r="IMF1" s="16" t="s">
        <v>7879</v>
      </c>
      <c r="IMG1" s="16" t="s">
        <v>7880</v>
      </c>
      <c r="IMH1" s="16" t="s">
        <v>7881</v>
      </c>
      <c r="IMI1" s="16" t="s">
        <v>7882</v>
      </c>
      <c r="IMJ1" s="16" t="s">
        <v>7883</v>
      </c>
      <c r="IMK1" s="16" t="s">
        <v>7884</v>
      </c>
      <c r="IML1" s="16" t="s">
        <v>7885</v>
      </c>
      <c r="IMM1" s="16" t="s">
        <v>7886</v>
      </c>
      <c r="IMN1" s="16" t="s">
        <v>7887</v>
      </c>
      <c r="IMO1" s="16" t="s">
        <v>7888</v>
      </c>
      <c r="IMP1" s="16" t="s">
        <v>7889</v>
      </c>
      <c r="IMQ1" s="16" t="s">
        <v>7890</v>
      </c>
      <c r="IMR1" s="16" t="s">
        <v>7891</v>
      </c>
      <c r="IMS1" s="16" t="s">
        <v>7892</v>
      </c>
      <c r="IMT1" s="16" t="s">
        <v>7893</v>
      </c>
      <c r="IMU1" s="16" t="s">
        <v>7894</v>
      </c>
      <c r="IMV1" s="16" t="s">
        <v>7895</v>
      </c>
      <c r="IMW1" s="16" t="s">
        <v>7896</v>
      </c>
      <c r="IMX1" s="16" t="s">
        <v>7897</v>
      </c>
      <c r="IMY1" s="16" t="s">
        <v>7898</v>
      </c>
      <c r="IMZ1" s="16" t="s">
        <v>7899</v>
      </c>
      <c r="INA1" s="16" t="s">
        <v>7900</v>
      </c>
      <c r="INB1" s="16" t="s">
        <v>7901</v>
      </c>
      <c r="INC1" s="16" t="s">
        <v>7902</v>
      </c>
      <c r="IND1" s="16" t="s">
        <v>7903</v>
      </c>
      <c r="INE1" s="16" t="s">
        <v>7904</v>
      </c>
      <c r="INF1" s="16" t="s">
        <v>7905</v>
      </c>
      <c r="ING1" s="16" t="s">
        <v>7906</v>
      </c>
      <c r="INH1" s="16" t="s">
        <v>7907</v>
      </c>
      <c r="INI1" s="16" t="s">
        <v>7908</v>
      </c>
      <c r="INJ1" s="16" t="s">
        <v>7909</v>
      </c>
      <c r="INK1" s="16" t="s">
        <v>7910</v>
      </c>
      <c r="INL1" s="16" t="s">
        <v>7911</v>
      </c>
      <c r="INM1" s="16" t="s">
        <v>7912</v>
      </c>
      <c r="INN1" s="16" t="s">
        <v>7913</v>
      </c>
      <c r="INO1" s="16" t="s">
        <v>7914</v>
      </c>
      <c r="INP1" s="16" t="s">
        <v>7915</v>
      </c>
      <c r="INQ1" s="16" t="s">
        <v>7916</v>
      </c>
      <c r="INR1" s="16" t="s">
        <v>7917</v>
      </c>
      <c r="INS1" s="16" t="s">
        <v>7918</v>
      </c>
      <c r="INT1" s="16" t="s">
        <v>7919</v>
      </c>
      <c r="INU1" s="16" t="s">
        <v>7920</v>
      </c>
      <c r="INV1" s="16" t="s">
        <v>7921</v>
      </c>
      <c r="INW1" s="16" t="s">
        <v>7922</v>
      </c>
      <c r="INX1" s="16" t="s">
        <v>7923</v>
      </c>
      <c r="INY1" s="16" t="s">
        <v>7924</v>
      </c>
      <c r="INZ1" s="16" t="s">
        <v>7925</v>
      </c>
      <c r="IOA1" s="16" t="s">
        <v>7926</v>
      </c>
      <c r="IOB1" s="16" t="s">
        <v>7927</v>
      </c>
      <c r="IOC1" s="16" t="s">
        <v>7928</v>
      </c>
      <c r="IOD1" s="16" t="s">
        <v>7929</v>
      </c>
      <c r="IOE1" s="16" t="s">
        <v>7930</v>
      </c>
      <c r="IOF1" s="16" t="s">
        <v>7931</v>
      </c>
      <c r="IOG1" s="16" t="s">
        <v>7932</v>
      </c>
      <c r="IOH1" s="16" t="s">
        <v>7933</v>
      </c>
      <c r="IOI1" s="16" t="s">
        <v>7934</v>
      </c>
      <c r="IOJ1" s="16" t="s">
        <v>7935</v>
      </c>
      <c r="IOK1" s="16" t="s">
        <v>7936</v>
      </c>
      <c r="IOL1" s="16" t="s">
        <v>7937</v>
      </c>
      <c r="IOM1" s="16" t="s">
        <v>7938</v>
      </c>
      <c r="ION1" s="16" t="s">
        <v>7939</v>
      </c>
      <c r="IOO1" s="16" t="s">
        <v>7940</v>
      </c>
      <c r="IOP1" s="16" t="s">
        <v>7941</v>
      </c>
      <c r="IOQ1" s="16" t="s">
        <v>7942</v>
      </c>
      <c r="IOR1" s="16" t="s">
        <v>7943</v>
      </c>
      <c r="IOS1" s="16" t="s">
        <v>7944</v>
      </c>
      <c r="IOT1" s="16" t="s">
        <v>7945</v>
      </c>
      <c r="IOU1" s="16" t="s">
        <v>7946</v>
      </c>
      <c r="IOV1" s="16" t="s">
        <v>7947</v>
      </c>
      <c r="IOW1" s="16" t="s">
        <v>7948</v>
      </c>
      <c r="IOX1" s="16" t="s">
        <v>7949</v>
      </c>
      <c r="IOY1" s="16" t="s">
        <v>7950</v>
      </c>
      <c r="IOZ1" s="16" t="s">
        <v>7951</v>
      </c>
      <c r="IPA1" s="16" t="s">
        <v>7952</v>
      </c>
      <c r="IPB1" s="16" t="s">
        <v>7953</v>
      </c>
      <c r="IPC1" s="16" t="s">
        <v>7954</v>
      </c>
      <c r="IPD1" s="16" t="s">
        <v>7955</v>
      </c>
      <c r="IPE1" s="16" t="s">
        <v>7956</v>
      </c>
      <c r="IPF1" s="16" t="s">
        <v>7957</v>
      </c>
      <c r="IPG1" s="16" t="s">
        <v>7958</v>
      </c>
      <c r="IPH1" s="16" t="s">
        <v>7959</v>
      </c>
      <c r="IPI1" s="16" t="s">
        <v>7960</v>
      </c>
      <c r="IPJ1" s="16" t="s">
        <v>7961</v>
      </c>
      <c r="IPK1" s="16" t="s">
        <v>7962</v>
      </c>
      <c r="IPL1" s="16" t="s">
        <v>7963</v>
      </c>
      <c r="IPM1" s="16" t="s">
        <v>7964</v>
      </c>
      <c r="IPN1" s="16" t="s">
        <v>7965</v>
      </c>
      <c r="IPO1" s="16" t="s">
        <v>7966</v>
      </c>
      <c r="IPP1" s="16" t="s">
        <v>7967</v>
      </c>
      <c r="IPQ1" s="16" t="s">
        <v>7968</v>
      </c>
      <c r="IPR1" s="16" t="s">
        <v>7969</v>
      </c>
      <c r="IPS1" s="16" t="s">
        <v>7970</v>
      </c>
      <c r="IPT1" s="16" t="s">
        <v>7971</v>
      </c>
      <c r="IPU1" s="16" t="s">
        <v>7972</v>
      </c>
      <c r="IPV1" s="16" t="s">
        <v>7973</v>
      </c>
      <c r="IPW1" s="16" t="s">
        <v>7974</v>
      </c>
      <c r="IPX1" s="16" t="s">
        <v>7975</v>
      </c>
      <c r="IPY1" s="16" t="s">
        <v>7976</v>
      </c>
      <c r="IPZ1" s="16" t="s">
        <v>7977</v>
      </c>
      <c r="IQA1" s="16" t="s">
        <v>7978</v>
      </c>
      <c r="IQB1" s="16" t="s">
        <v>7979</v>
      </c>
      <c r="IQC1" s="16" t="s">
        <v>7980</v>
      </c>
      <c r="IQD1" s="16" t="s">
        <v>7981</v>
      </c>
      <c r="IQE1" s="16" t="s">
        <v>7982</v>
      </c>
      <c r="IQF1" s="16" t="s">
        <v>7983</v>
      </c>
      <c r="IQG1" s="16" t="s">
        <v>7984</v>
      </c>
      <c r="IQH1" s="16" t="s">
        <v>7985</v>
      </c>
      <c r="IQI1" s="16" t="s">
        <v>7986</v>
      </c>
      <c r="IQJ1" s="16" t="s">
        <v>7987</v>
      </c>
      <c r="IQK1" s="16" t="s">
        <v>7988</v>
      </c>
      <c r="IQL1" s="16" t="s">
        <v>7989</v>
      </c>
      <c r="IQM1" s="16" t="s">
        <v>7990</v>
      </c>
      <c r="IQN1" s="16" t="s">
        <v>7991</v>
      </c>
      <c r="IQO1" s="16" t="s">
        <v>7992</v>
      </c>
      <c r="IQP1" s="16" t="s">
        <v>7993</v>
      </c>
      <c r="IQQ1" s="16" t="s">
        <v>7994</v>
      </c>
      <c r="IQR1" s="16" t="s">
        <v>7995</v>
      </c>
      <c r="IQS1" s="16" t="s">
        <v>7996</v>
      </c>
      <c r="IQT1" s="16" t="s">
        <v>7997</v>
      </c>
      <c r="IQU1" s="16" t="s">
        <v>7998</v>
      </c>
      <c r="IQV1" s="16" t="s">
        <v>7999</v>
      </c>
      <c r="IQW1" s="16" t="s">
        <v>8000</v>
      </c>
      <c r="IQX1" s="16" t="s">
        <v>8001</v>
      </c>
      <c r="IQY1" s="16" t="s">
        <v>8002</v>
      </c>
      <c r="IQZ1" s="16" t="s">
        <v>8003</v>
      </c>
      <c r="IRA1" s="16" t="s">
        <v>8004</v>
      </c>
      <c r="IRB1" s="16" t="s">
        <v>8005</v>
      </c>
      <c r="IRC1" s="16" t="s">
        <v>8006</v>
      </c>
      <c r="IRD1" s="16" t="s">
        <v>8007</v>
      </c>
      <c r="IRE1" s="16" t="s">
        <v>8008</v>
      </c>
      <c r="IRF1" s="16" t="s">
        <v>8009</v>
      </c>
      <c r="IRG1" s="16" t="s">
        <v>8010</v>
      </c>
      <c r="IRH1" s="16" t="s">
        <v>8011</v>
      </c>
      <c r="IRI1" s="16" t="s">
        <v>8012</v>
      </c>
      <c r="IRJ1" s="16" t="s">
        <v>8013</v>
      </c>
      <c r="IRK1" s="16" t="s">
        <v>8014</v>
      </c>
      <c r="IRL1" s="16" t="s">
        <v>8015</v>
      </c>
      <c r="IRM1" s="16" t="s">
        <v>8016</v>
      </c>
      <c r="IRN1" s="16" t="s">
        <v>8017</v>
      </c>
      <c r="IRO1" s="16" t="s">
        <v>8018</v>
      </c>
      <c r="IRP1" s="16" t="s">
        <v>8019</v>
      </c>
      <c r="IRQ1" s="16" t="s">
        <v>8020</v>
      </c>
      <c r="IRR1" s="16" t="s">
        <v>8021</v>
      </c>
      <c r="IRS1" s="16" t="s">
        <v>8022</v>
      </c>
      <c r="IRT1" s="16" t="s">
        <v>8023</v>
      </c>
      <c r="IRU1" s="16" t="s">
        <v>8024</v>
      </c>
      <c r="IRV1" s="16" t="s">
        <v>8025</v>
      </c>
      <c r="IRW1" s="16" t="s">
        <v>8026</v>
      </c>
      <c r="IRX1" s="16" t="s">
        <v>8027</v>
      </c>
      <c r="IRY1" s="16" t="s">
        <v>8028</v>
      </c>
      <c r="IRZ1" s="16" t="s">
        <v>8029</v>
      </c>
      <c r="ISA1" s="16" t="s">
        <v>8030</v>
      </c>
      <c r="ISB1" s="16" t="s">
        <v>8031</v>
      </c>
      <c r="ISC1" s="16" t="s">
        <v>8032</v>
      </c>
      <c r="ISD1" s="16" t="s">
        <v>8033</v>
      </c>
      <c r="ISE1" s="16" t="s">
        <v>8034</v>
      </c>
      <c r="ISF1" s="16" t="s">
        <v>8035</v>
      </c>
      <c r="ISG1" s="16" t="s">
        <v>8036</v>
      </c>
      <c r="ISH1" s="16" t="s">
        <v>8037</v>
      </c>
      <c r="ISI1" s="16" t="s">
        <v>8038</v>
      </c>
      <c r="ISJ1" s="16" t="s">
        <v>8039</v>
      </c>
      <c r="ISK1" s="16" t="s">
        <v>8040</v>
      </c>
      <c r="ISL1" s="16" t="s">
        <v>8041</v>
      </c>
      <c r="ISM1" s="16" t="s">
        <v>8042</v>
      </c>
      <c r="ISN1" s="16" t="s">
        <v>8043</v>
      </c>
      <c r="ISO1" s="16" t="s">
        <v>8044</v>
      </c>
      <c r="ISP1" s="16" t="s">
        <v>8045</v>
      </c>
      <c r="ISQ1" s="16" t="s">
        <v>8046</v>
      </c>
      <c r="ISR1" s="16" t="s">
        <v>8047</v>
      </c>
      <c r="ISS1" s="16" t="s">
        <v>8048</v>
      </c>
      <c r="IST1" s="16" t="s">
        <v>8049</v>
      </c>
      <c r="ISU1" s="16" t="s">
        <v>8050</v>
      </c>
      <c r="ISV1" s="16" t="s">
        <v>8051</v>
      </c>
      <c r="ISW1" s="16" t="s">
        <v>8052</v>
      </c>
      <c r="ISX1" s="16" t="s">
        <v>8053</v>
      </c>
      <c r="ISY1" s="16" t="s">
        <v>8054</v>
      </c>
      <c r="ISZ1" s="16" t="s">
        <v>8055</v>
      </c>
      <c r="ITA1" s="16" t="s">
        <v>8056</v>
      </c>
      <c r="ITB1" s="16" t="s">
        <v>8057</v>
      </c>
      <c r="ITC1" s="16" t="s">
        <v>8058</v>
      </c>
      <c r="ITD1" s="16" t="s">
        <v>8059</v>
      </c>
      <c r="ITE1" s="16" t="s">
        <v>8060</v>
      </c>
      <c r="ITF1" s="16" t="s">
        <v>8061</v>
      </c>
      <c r="ITG1" s="16" t="s">
        <v>8062</v>
      </c>
      <c r="ITH1" s="16" t="s">
        <v>8063</v>
      </c>
      <c r="ITI1" s="16" t="s">
        <v>8064</v>
      </c>
      <c r="ITJ1" s="16" t="s">
        <v>8065</v>
      </c>
      <c r="ITK1" s="16" t="s">
        <v>8066</v>
      </c>
      <c r="ITL1" s="16" t="s">
        <v>8067</v>
      </c>
      <c r="ITM1" s="16" t="s">
        <v>8068</v>
      </c>
      <c r="ITN1" s="16" t="s">
        <v>8069</v>
      </c>
      <c r="ITO1" s="16" t="s">
        <v>8070</v>
      </c>
      <c r="ITP1" s="16" t="s">
        <v>8071</v>
      </c>
      <c r="ITQ1" s="16" t="s">
        <v>8072</v>
      </c>
      <c r="ITR1" s="16" t="s">
        <v>8073</v>
      </c>
      <c r="ITS1" s="16" t="s">
        <v>8074</v>
      </c>
      <c r="ITT1" s="16" t="s">
        <v>8075</v>
      </c>
      <c r="ITU1" s="16" t="s">
        <v>8076</v>
      </c>
      <c r="ITV1" s="16" t="s">
        <v>8077</v>
      </c>
      <c r="ITW1" s="16" t="s">
        <v>8078</v>
      </c>
      <c r="ITX1" s="16" t="s">
        <v>8079</v>
      </c>
      <c r="ITY1" s="16" t="s">
        <v>8080</v>
      </c>
      <c r="ITZ1" s="16" t="s">
        <v>8081</v>
      </c>
      <c r="IUA1" s="16" t="s">
        <v>8082</v>
      </c>
      <c r="IUB1" s="16" t="s">
        <v>8083</v>
      </c>
      <c r="IUC1" s="16" t="s">
        <v>8084</v>
      </c>
      <c r="IUD1" s="16" t="s">
        <v>8085</v>
      </c>
      <c r="IUE1" s="16" t="s">
        <v>8086</v>
      </c>
      <c r="IUF1" s="16" t="s">
        <v>8087</v>
      </c>
      <c r="IUG1" s="16" t="s">
        <v>8088</v>
      </c>
      <c r="IUH1" s="16" t="s">
        <v>8089</v>
      </c>
      <c r="IUI1" s="16" t="s">
        <v>8090</v>
      </c>
      <c r="IUJ1" s="16" t="s">
        <v>8091</v>
      </c>
      <c r="IUK1" s="16" t="s">
        <v>8092</v>
      </c>
      <c r="IUL1" s="16" t="s">
        <v>8093</v>
      </c>
      <c r="IUM1" s="16" t="s">
        <v>8094</v>
      </c>
      <c r="IUN1" s="16" t="s">
        <v>8095</v>
      </c>
      <c r="IUO1" s="16" t="s">
        <v>8096</v>
      </c>
      <c r="IUP1" s="16" t="s">
        <v>8097</v>
      </c>
      <c r="IUQ1" s="16" t="s">
        <v>8098</v>
      </c>
      <c r="IUR1" s="16" t="s">
        <v>8099</v>
      </c>
      <c r="IUS1" s="16" t="s">
        <v>8100</v>
      </c>
      <c r="IUT1" s="16" t="s">
        <v>8101</v>
      </c>
      <c r="IUU1" s="16" t="s">
        <v>8102</v>
      </c>
      <c r="IUV1" s="16" t="s">
        <v>8103</v>
      </c>
      <c r="IUW1" s="16" t="s">
        <v>8104</v>
      </c>
      <c r="IUX1" s="16" t="s">
        <v>8105</v>
      </c>
      <c r="IUY1" s="16" t="s">
        <v>8106</v>
      </c>
      <c r="IUZ1" s="16" t="s">
        <v>8107</v>
      </c>
      <c r="IVA1" s="16" t="s">
        <v>8108</v>
      </c>
      <c r="IVB1" s="16" t="s">
        <v>8109</v>
      </c>
      <c r="IVC1" s="16" t="s">
        <v>8110</v>
      </c>
      <c r="IVD1" s="16" t="s">
        <v>8111</v>
      </c>
      <c r="IVE1" s="16" t="s">
        <v>8112</v>
      </c>
      <c r="IVF1" s="16" t="s">
        <v>8113</v>
      </c>
      <c r="IVG1" s="16" t="s">
        <v>8114</v>
      </c>
      <c r="IVH1" s="16" t="s">
        <v>8115</v>
      </c>
      <c r="IVI1" s="16" t="s">
        <v>8116</v>
      </c>
      <c r="IVJ1" s="16" t="s">
        <v>8117</v>
      </c>
      <c r="IVK1" s="16" t="s">
        <v>8118</v>
      </c>
      <c r="IVL1" s="16" t="s">
        <v>8119</v>
      </c>
      <c r="IVM1" s="16" t="s">
        <v>8120</v>
      </c>
      <c r="IVN1" s="16" t="s">
        <v>8121</v>
      </c>
      <c r="IVO1" s="16" t="s">
        <v>8122</v>
      </c>
      <c r="IVP1" s="16" t="s">
        <v>8123</v>
      </c>
      <c r="IVQ1" s="16" t="s">
        <v>8124</v>
      </c>
      <c r="IVR1" s="16" t="s">
        <v>8125</v>
      </c>
      <c r="IVS1" s="16" t="s">
        <v>8126</v>
      </c>
      <c r="IVT1" s="16" t="s">
        <v>8127</v>
      </c>
      <c r="IVU1" s="16" t="s">
        <v>8128</v>
      </c>
      <c r="IVV1" s="16" t="s">
        <v>8129</v>
      </c>
      <c r="IVW1" s="16" t="s">
        <v>8130</v>
      </c>
      <c r="IVX1" s="16" t="s">
        <v>8131</v>
      </c>
      <c r="IVY1" s="16" t="s">
        <v>8132</v>
      </c>
      <c r="IVZ1" s="16" t="s">
        <v>8133</v>
      </c>
      <c r="IWA1" s="16" t="s">
        <v>8134</v>
      </c>
      <c r="IWB1" s="16" t="s">
        <v>8135</v>
      </c>
      <c r="IWC1" s="16" t="s">
        <v>8136</v>
      </c>
      <c r="IWD1" s="16" t="s">
        <v>8137</v>
      </c>
      <c r="IWE1" s="16" t="s">
        <v>8138</v>
      </c>
      <c r="IWF1" s="16" t="s">
        <v>8139</v>
      </c>
      <c r="IWG1" s="16" t="s">
        <v>8140</v>
      </c>
      <c r="IWH1" s="16" t="s">
        <v>8141</v>
      </c>
      <c r="IWI1" s="16" t="s">
        <v>8142</v>
      </c>
      <c r="IWJ1" s="16" t="s">
        <v>8143</v>
      </c>
      <c r="IWK1" s="16" t="s">
        <v>8144</v>
      </c>
      <c r="IWL1" s="16" t="s">
        <v>8145</v>
      </c>
      <c r="IWM1" s="16" t="s">
        <v>8146</v>
      </c>
      <c r="IWN1" s="16" t="s">
        <v>8147</v>
      </c>
      <c r="IWO1" s="16" t="s">
        <v>8148</v>
      </c>
      <c r="IWP1" s="16" t="s">
        <v>8149</v>
      </c>
      <c r="IWQ1" s="16" t="s">
        <v>8150</v>
      </c>
      <c r="IWR1" s="16" t="s">
        <v>8151</v>
      </c>
      <c r="IWS1" s="16" t="s">
        <v>8152</v>
      </c>
      <c r="IWT1" s="16" t="s">
        <v>8153</v>
      </c>
      <c r="IWU1" s="16" t="s">
        <v>8154</v>
      </c>
      <c r="IWV1" s="16" t="s">
        <v>8155</v>
      </c>
      <c r="IWW1" s="16" t="s">
        <v>8156</v>
      </c>
      <c r="IWX1" s="16" t="s">
        <v>8157</v>
      </c>
      <c r="IWY1" s="16" t="s">
        <v>8158</v>
      </c>
      <c r="IWZ1" s="16" t="s">
        <v>8159</v>
      </c>
      <c r="IXA1" s="16" t="s">
        <v>8160</v>
      </c>
      <c r="IXB1" s="16" t="s">
        <v>8161</v>
      </c>
      <c r="IXC1" s="16" t="s">
        <v>8162</v>
      </c>
      <c r="IXD1" s="16" t="s">
        <v>8163</v>
      </c>
      <c r="IXE1" s="16" t="s">
        <v>8164</v>
      </c>
      <c r="IXF1" s="16" t="s">
        <v>8165</v>
      </c>
      <c r="IXG1" s="16" t="s">
        <v>8166</v>
      </c>
      <c r="IXH1" s="16" t="s">
        <v>8167</v>
      </c>
      <c r="IXI1" s="16" t="s">
        <v>8168</v>
      </c>
      <c r="IXJ1" s="16" t="s">
        <v>8169</v>
      </c>
      <c r="IXK1" s="16" t="s">
        <v>8170</v>
      </c>
      <c r="IXL1" s="16" t="s">
        <v>8171</v>
      </c>
      <c r="IXM1" s="16" t="s">
        <v>8172</v>
      </c>
      <c r="IXN1" s="16" t="s">
        <v>8173</v>
      </c>
      <c r="IXO1" s="16" t="s">
        <v>8174</v>
      </c>
      <c r="IXP1" s="16" t="s">
        <v>8175</v>
      </c>
      <c r="IXQ1" s="16" t="s">
        <v>8176</v>
      </c>
      <c r="IXR1" s="16" t="s">
        <v>8177</v>
      </c>
      <c r="IXS1" s="16" t="s">
        <v>8178</v>
      </c>
      <c r="IXT1" s="16" t="s">
        <v>8179</v>
      </c>
      <c r="IXU1" s="16" t="s">
        <v>8180</v>
      </c>
      <c r="IXV1" s="16" t="s">
        <v>8181</v>
      </c>
      <c r="IXW1" s="16" t="s">
        <v>8182</v>
      </c>
      <c r="IXX1" s="16" t="s">
        <v>8183</v>
      </c>
      <c r="IXY1" s="16" t="s">
        <v>8184</v>
      </c>
      <c r="IXZ1" s="16" t="s">
        <v>8185</v>
      </c>
      <c r="IYA1" s="16" t="s">
        <v>8186</v>
      </c>
      <c r="IYB1" s="16" t="s">
        <v>8187</v>
      </c>
      <c r="IYC1" s="16" t="s">
        <v>8188</v>
      </c>
      <c r="IYD1" s="16" t="s">
        <v>8189</v>
      </c>
      <c r="IYE1" s="16" t="s">
        <v>8190</v>
      </c>
      <c r="IYF1" s="16" t="s">
        <v>8191</v>
      </c>
      <c r="IYG1" s="16" t="s">
        <v>8192</v>
      </c>
      <c r="IYH1" s="16" t="s">
        <v>8193</v>
      </c>
      <c r="IYI1" s="16" t="s">
        <v>8194</v>
      </c>
      <c r="IYJ1" s="16" t="s">
        <v>8195</v>
      </c>
      <c r="IYK1" s="16" t="s">
        <v>8196</v>
      </c>
      <c r="IYL1" s="16" t="s">
        <v>8197</v>
      </c>
      <c r="IYM1" s="16" t="s">
        <v>8198</v>
      </c>
      <c r="IYN1" s="16" t="s">
        <v>8199</v>
      </c>
      <c r="IYO1" s="16" t="s">
        <v>8200</v>
      </c>
      <c r="IYP1" s="16" t="s">
        <v>8201</v>
      </c>
      <c r="IYQ1" s="16" t="s">
        <v>8202</v>
      </c>
      <c r="IYR1" s="16" t="s">
        <v>8203</v>
      </c>
      <c r="IYS1" s="16" t="s">
        <v>8204</v>
      </c>
      <c r="IYT1" s="16" t="s">
        <v>8205</v>
      </c>
      <c r="IYU1" s="16" t="s">
        <v>8206</v>
      </c>
      <c r="IYV1" s="16" t="s">
        <v>8207</v>
      </c>
      <c r="IYW1" s="16" t="s">
        <v>8208</v>
      </c>
      <c r="IYX1" s="16" t="s">
        <v>8209</v>
      </c>
      <c r="IYY1" s="16" t="s">
        <v>8210</v>
      </c>
      <c r="IYZ1" s="16" t="s">
        <v>8211</v>
      </c>
      <c r="IZA1" s="16" t="s">
        <v>8212</v>
      </c>
      <c r="IZB1" s="16" t="s">
        <v>8213</v>
      </c>
      <c r="IZC1" s="16" t="s">
        <v>8214</v>
      </c>
      <c r="IZD1" s="16" t="s">
        <v>8215</v>
      </c>
      <c r="IZE1" s="16" t="s">
        <v>8216</v>
      </c>
      <c r="IZF1" s="16" t="s">
        <v>8217</v>
      </c>
      <c r="IZG1" s="16" t="s">
        <v>8218</v>
      </c>
      <c r="IZH1" s="16" t="s">
        <v>8219</v>
      </c>
      <c r="IZI1" s="16" t="s">
        <v>8220</v>
      </c>
      <c r="IZJ1" s="16" t="s">
        <v>8221</v>
      </c>
      <c r="IZK1" s="16" t="s">
        <v>8222</v>
      </c>
      <c r="IZL1" s="16" t="s">
        <v>8223</v>
      </c>
      <c r="IZM1" s="16" t="s">
        <v>8224</v>
      </c>
      <c r="IZN1" s="16" t="s">
        <v>8225</v>
      </c>
      <c r="IZO1" s="16" t="s">
        <v>8226</v>
      </c>
      <c r="IZP1" s="16" t="s">
        <v>8227</v>
      </c>
      <c r="IZQ1" s="16" t="s">
        <v>8228</v>
      </c>
      <c r="IZR1" s="16" t="s">
        <v>8229</v>
      </c>
      <c r="IZS1" s="16" t="s">
        <v>8230</v>
      </c>
      <c r="IZT1" s="16" t="s">
        <v>8231</v>
      </c>
      <c r="IZU1" s="16" t="s">
        <v>8232</v>
      </c>
      <c r="IZV1" s="16" t="s">
        <v>8233</v>
      </c>
      <c r="IZW1" s="16" t="s">
        <v>8234</v>
      </c>
      <c r="IZX1" s="16" t="s">
        <v>8235</v>
      </c>
      <c r="IZY1" s="16" t="s">
        <v>8236</v>
      </c>
      <c r="IZZ1" s="16" t="s">
        <v>8237</v>
      </c>
      <c r="JAA1" s="16" t="s">
        <v>8238</v>
      </c>
      <c r="JAB1" s="16" t="s">
        <v>8239</v>
      </c>
      <c r="JAC1" s="16" t="s">
        <v>8240</v>
      </c>
      <c r="JAD1" s="16" t="s">
        <v>8241</v>
      </c>
      <c r="JAE1" s="16" t="s">
        <v>8242</v>
      </c>
      <c r="JAF1" s="16" t="s">
        <v>8243</v>
      </c>
      <c r="JAG1" s="16" t="s">
        <v>8244</v>
      </c>
      <c r="JAH1" s="16" t="s">
        <v>8245</v>
      </c>
      <c r="JAI1" s="16" t="s">
        <v>8246</v>
      </c>
      <c r="JAJ1" s="16" t="s">
        <v>8247</v>
      </c>
      <c r="JAK1" s="16" t="s">
        <v>8248</v>
      </c>
      <c r="JAL1" s="16" t="s">
        <v>8249</v>
      </c>
      <c r="JAM1" s="16" t="s">
        <v>8250</v>
      </c>
      <c r="JAN1" s="16" t="s">
        <v>8251</v>
      </c>
      <c r="JAO1" s="16" t="s">
        <v>8252</v>
      </c>
      <c r="JAP1" s="16" t="s">
        <v>8253</v>
      </c>
      <c r="JAQ1" s="16" t="s">
        <v>8254</v>
      </c>
      <c r="JAR1" s="16" t="s">
        <v>8255</v>
      </c>
      <c r="JAS1" s="16" t="s">
        <v>8256</v>
      </c>
      <c r="JAT1" s="16" t="s">
        <v>8257</v>
      </c>
      <c r="JAU1" s="16" t="s">
        <v>8258</v>
      </c>
      <c r="JAV1" s="16" t="s">
        <v>8259</v>
      </c>
      <c r="JAW1" s="16" t="s">
        <v>8260</v>
      </c>
      <c r="JAX1" s="16" t="s">
        <v>8261</v>
      </c>
      <c r="JAY1" s="16" t="s">
        <v>8262</v>
      </c>
      <c r="JAZ1" s="16" t="s">
        <v>8263</v>
      </c>
      <c r="JBA1" s="16" t="s">
        <v>8264</v>
      </c>
      <c r="JBB1" s="16" t="s">
        <v>8265</v>
      </c>
      <c r="JBC1" s="16" t="s">
        <v>8266</v>
      </c>
      <c r="JBD1" s="16" t="s">
        <v>8267</v>
      </c>
      <c r="JBE1" s="16" t="s">
        <v>8268</v>
      </c>
      <c r="JBF1" s="16" t="s">
        <v>8269</v>
      </c>
      <c r="JBG1" s="16" t="s">
        <v>8270</v>
      </c>
      <c r="JBH1" s="16" t="s">
        <v>8271</v>
      </c>
      <c r="JBI1" s="16" t="s">
        <v>8272</v>
      </c>
      <c r="JBJ1" s="16" t="s">
        <v>8273</v>
      </c>
      <c r="JBK1" s="16" t="s">
        <v>8274</v>
      </c>
      <c r="JBL1" s="16" t="s">
        <v>8275</v>
      </c>
      <c r="JBM1" s="16" t="s">
        <v>8276</v>
      </c>
      <c r="JBN1" s="16" t="s">
        <v>8277</v>
      </c>
      <c r="JBO1" s="16" t="s">
        <v>8278</v>
      </c>
      <c r="JBP1" s="16" t="s">
        <v>8279</v>
      </c>
      <c r="JBQ1" s="16" t="s">
        <v>8280</v>
      </c>
      <c r="JBR1" s="16" t="s">
        <v>8281</v>
      </c>
      <c r="JBS1" s="16" t="s">
        <v>8282</v>
      </c>
      <c r="JBT1" s="16" t="s">
        <v>8283</v>
      </c>
      <c r="JBU1" s="16" t="s">
        <v>8284</v>
      </c>
      <c r="JBV1" s="16" t="s">
        <v>8285</v>
      </c>
      <c r="JBW1" s="16" t="s">
        <v>8286</v>
      </c>
      <c r="JBX1" s="16" t="s">
        <v>8287</v>
      </c>
      <c r="JBY1" s="16" t="s">
        <v>8288</v>
      </c>
      <c r="JBZ1" s="16" t="s">
        <v>8289</v>
      </c>
      <c r="JCA1" s="16" t="s">
        <v>8290</v>
      </c>
      <c r="JCB1" s="16" t="s">
        <v>8291</v>
      </c>
      <c r="JCC1" s="16" t="s">
        <v>8292</v>
      </c>
      <c r="JCD1" s="16" t="s">
        <v>8293</v>
      </c>
      <c r="JCE1" s="16" t="s">
        <v>8294</v>
      </c>
      <c r="JCF1" s="16" t="s">
        <v>8295</v>
      </c>
      <c r="JCG1" s="16" t="s">
        <v>8296</v>
      </c>
      <c r="JCH1" s="16" t="s">
        <v>8297</v>
      </c>
      <c r="JCI1" s="16" t="s">
        <v>8298</v>
      </c>
      <c r="JCJ1" s="16" t="s">
        <v>8299</v>
      </c>
      <c r="JCK1" s="16" t="s">
        <v>8300</v>
      </c>
      <c r="JCL1" s="16" t="s">
        <v>8301</v>
      </c>
      <c r="JCM1" s="16" t="s">
        <v>8302</v>
      </c>
      <c r="JCN1" s="16" t="s">
        <v>8303</v>
      </c>
      <c r="JCO1" s="16" t="s">
        <v>8304</v>
      </c>
      <c r="JCP1" s="16" t="s">
        <v>8305</v>
      </c>
      <c r="JCQ1" s="16" t="s">
        <v>8306</v>
      </c>
      <c r="JCR1" s="16" t="s">
        <v>8307</v>
      </c>
      <c r="JCS1" s="16" t="s">
        <v>8308</v>
      </c>
      <c r="JCT1" s="16" t="s">
        <v>8309</v>
      </c>
      <c r="JCU1" s="16" t="s">
        <v>8310</v>
      </c>
      <c r="JCV1" s="16" t="s">
        <v>8311</v>
      </c>
      <c r="JCW1" s="16" t="s">
        <v>8312</v>
      </c>
      <c r="JCX1" s="16" t="s">
        <v>8313</v>
      </c>
      <c r="JCY1" s="16" t="s">
        <v>8314</v>
      </c>
      <c r="JCZ1" s="16" t="s">
        <v>8315</v>
      </c>
      <c r="JDA1" s="16" t="s">
        <v>8316</v>
      </c>
      <c r="JDB1" s="16" t="s">
        <v>8317</v>
      </c>
      <c r="JDC1" s="16" t="s">
        <v>8318</v>
      </c>
      <c r="JDD1" s="16" t="s">
        <v>8319</v>
      </c>
      <c r="JDE1" s="16" t="s">
        <v>8320</v>
      </c>
      <c r="JDF1" s="16" t="s">
        <v>8321</v>
      </c>
      <c r="JDG1" s="16" t="s">
        <v>8322</v>
      </c>
      <c r="JDH1" s="16" t="s">
        <v>8323</v>
      </c>
      <c r="JDI1" s="16" t="s">
        <v>8324</v>
      </c>
      <c r="JDJ1" s="16" t="s">
        <v>8325</v>
      </c>
      <c r="JDK1" s="16" t="s">
        <v>8326</v>
      </c>
      <c r="JDL1" s="16" t="s">
        <v>8327</v>
      </c>
      <c r="JDM1" s="16" t="s">
        <v>8328</v>
      </c>
      <c r="JDN1" s="16" t="s">
        <v>8329</v>
      </c>
      <c r="JDO1" s="16" t="s">
        <v>8330</v>
      </c>
      <c r="JDP1" s="16" t="s">
        <v>8331</v>
      </c>
      <c r="JDQ1" s="16" t="s">
        <v>8332</v>
      </c>
      <c r="JDR1" s="16" t="s">
        <v>8333</v>
      </c>
      <c r="JDS1" s="16" t="s">
        <v>8334</v>
      </c>
      <c r="JDT1" s="16" t="s">
        <v>8335</v>
      </c>
      <c r="JDU1" s="16" t="s">
        <v>8336</v>
      </c>
      <c r="JDV1" s="16" t="s">
        <v>8337</v>
      </c>
      <c r="JDW1" s="16" t="s">
        <v>8338</v>
      </c>
      <c r="JDX1" s="16" t="s">
        <v>8339</v>
      </c>
      <c r="JDY1" s="16" t="s">
        <v>8340</v>
      </c>
      <c r="JDZ1" s="16" t="s">
        <v>8341</v>
      </c>
      <c r="JEA1" s="16" t="s">
        <v>8342</v>
      </c>
      <c r="JEB1" s="16" t="s">
        <v>8343</v>
      </c>
      <c r="JEC1" s="16" t="s">
        <v>8344</v>
      </c>
      <c r="JED1" s="16" t="s">
        <v>8345</v>
      </c>
      <c r="JEE1" s="16" t="s">
        <v>8346</v>
      </c>
      <c r="JEF1" s="16" t="s">
        <v>8347</v>
      </c>
      <c r="JEG1" s="16" t="s">
        <v>8348</v>
      </c>
      <c r="JEH1" s="16" t="s">
        <v>8349</v>
      </c>
      <c r="JEI1" s="16" t="s">
        <v>8350</v>
      </c>
      <c r="JEJ1" s="16" t="s">
        <v>8351</v>
      </c>
      <c r="JEK1" s="16" t="s">
        <v>8352</v>
      </c>
      <c r="JEL1" s="16" t="s">
        <v>8353</v>
      </c>
      <c r="JEM1" s="16" t="s">
        <v>8354</v>
      </c>
      <c r="JEN1" s="16" t="s">
        <v>8355</v>
      </c>
      <c r="JEO1" s="16" t="s">
        <v>8356</v>
      </c>
      <c r="JEP1" s="16" t="s">
        <v>8357</v>
      </c>
      <c r="JEQ1" s="16" t="s">
        <v>8358</v>
      </c>
      <c r="JER1" s="16" t="s">
        <v>8359</v>
      </c>
      <c r="JES1" s="16" t="s">
        <v>8360</v>
      </c>
      <c r="JET1" s="16" t="s">
        <v>8361</v>
      </c>
      <c r="JEU1" s="16" t="s">
        <v>8362</v>
      </c>
      <c r="JEV1" s="16" t="s">
        <v>8363</v>
      </c>
      <c r="JEW1" s="16" t="s">
        <v>8364</v>
      </c>
      <c r="JEX1" s="16" t="s">
        <v>8365</v>
      </c>
      <c r="JEY1" s="16" t="s">
        <v>8366</v>
      </c>
      <c r="JEZ1" s="16" t="s">
        <v>8367</v>
      </c>
      <c r="JFA1" s="16" t="s">
        <v>8368</v>
      </c>
      <c r="JFB1" s="16" t="s">
        <v>8369</v>
      </c>
      <c r="JFC1" s="16" t="s">
        <v>8370</v>
      </c>
      <c r="JFD1" s="16" t="s">
        <v>8371</v>
      </c>
      <c r="JFE1" s="16" t="s">
        <v>8372</v>
      </c>
      <c r="JFF1" s="16" t="s">
        <v>8373</v>
      </c>
      <c r="JFG1" s="16" t="s">
        <v>8374</v>
      </c>
      <c r="JFH1" s="16" t="s">
        <v>8375</v>
      </c>
      <c r="JFI1" s="16" t="s">
        <v>8376</v>
      </c>
      <c r="JFJ1" s="16" t="s">
        <v>8377</v>
      </c>
      <c r="JFK1" s="16" t="s">
        <v>8378</v>
      </c>
      <c r="JFL1" s="16" t="s">
        <v>8379</v>
      </c>
      <c r="JFM1" s="16" t="s">
        <v>8380</v>
      </c>
      <c r="JFN1" s="16" t="s">
        <v>8381</v>
      </c>
      <c r="JFO1" s="16" t="s">
        <v>8382</v>
      </c>
      <c r="JFP1" s="16" t="s">
        <v>8383</v>
      </c>
      <c r="JFQ1" s="16" t="s">
        <v>8384</v>
      </c>
      <c r="JFR1" s="16" t="s">
        <v>8385</v>
      </c>
      <c r="JFS1" s="16" t="s">
        <v>8386</v>
      </c>
      <c r="JFT1" s="16" t="s">
        <v>8387</v>
      </c>
      <c r="JFU1" s="16" t="s">
        <v>8388</v>
      </c>
      <c r="JFV1" s="16" t="s">
        <v>8389</v>
      </c>
      <c r="JFW1" s="16" t="s">
        <v>8390</v>
      </c>
      <c r="JFX1" s="16" t="s">
        <v>8391</v>
      </c>
      <c r="JFY1" s="16" t="s">
        <v>8392</v>
      </c>
      <c r="JFZ1" s="16" t="s">
        <v>8393</v>
      </c>
      <c r="JGA1" s="16" t="s">
        <v>8394</v>
      </c>
      <c r="JGB1" s="16" t="s">
        <v>8395</v>
      </c>
      <c r="JGC1" s="16" t="s">
        <v>8396</v>
      </c>
      <c r="JGD1" s="16" t="s">
        <v>8397</v>
      </c>
      <c r="JGE1" s="16" t="s">
        <v>8398</v>
      </c>
      <c r="JGF1" s="16" t="s">
        <v>8399</v>
      </c>
      <c r="JGG1" s="16" t="s">
        <v>8400</v>
      </c>
      <c r="JGH1" s="16" t="s">
        <v>8401</v>
      </c>
      <c r="JGI1" s="16" t="s">
        <v>8402</v>
      </c>
      <c r="JGJ1" s="16" t="s">
        <v>8403</v>
      </c>
      <c r="JGK1" s="16" t="s">
        <v>8404</v>
      </c>
      <c r="JGL1" s="16" t="s">
        <v>8405</v>
      </c>
      <c r="JGM1" s="16" t="s">
        <v>8406</v>
      </c>
      <c r="JGN1" s="16" t="s">
        <v>8407</v>
      </c>
      <c r="JGO1" s="16" t="s">
        <v>8408</v>
      </c>
      <c r="JGP1" s="16" t="s">
        <v>8409</v>
      </c>
      <c r="JGQ1" s="16" t="s">
        <v>8410</v>
      </c>
      <c r="JGR1" s="16" t="s">
        <v>8411</v>
      </c>
      <c r="JGS1" s="16" t="s">
        <v>8412</v>
      </c>
      <c r="JGT1" s="16" t="s">
        <v>8413</v>
      </c>
      <c r="JGU1" s="16" t="s">
        <v>8414</v>
      </c>
      <c r="JGV1" s="16" t="s">
        <v>8415</v>
      </c>
      <c r="JGW1" s="16" t="s">
        <v>8416</v>
      </c>
      <c r="JGX1" s="16" t="s">
        <v>8417</v>
      </c>
      <c r="JGY1" s="16" t="s">
        <v>8418</v>
      </c>
      <c r="JGZ1" s="16" t="s">
        <v>8419</v>
      </c>
      <c r="JHA1" s="16" t="s">
        <v>8420</v>
      </c>
      <c r="JHB1" s="16" t="s">
        <v>8421</v>
      </c>
      <c r="JHC1" s="16" t="s">
        <v>8422</v>
      </c>
      <c r="JHD1" s="16" t="s">
        <v>8423</v>
      </c>
      <c r="JHE1" s="16" t="s">
        <v>8424</v>
      </c>
      <c r="JHF1" s="16" t="s">
        <v>8425</v>
      </c>
      <c r="JHG1" s="16" t="s">
        <v>8426</v>
      </c>
      <c r="JHH1" s="16" t="s">
        <v>8427</v>
      </c>
      <c r="JHI1" s="16" t="s">
        <v>8428</v>
      </c>
      <c r="JHJ1" s="16" t="s">
        <v>8429</v>
      </c>
      <c r="JHK1" s="16" t="s">
        <v>8430</v>
      </c>
      <c r="JHL1" s="16" t="s">
        <v>8431</v>
      </c>
      <c r="JHM1" s="16" t="s">
        <v>8432</v>
      </c>
      <c r="JHN1" s="16" t="s">
        <v>8433</v>
      </c>
      <c r="JHO1" s="16" t="s">
        <v>8434</v>
      </c>
      <c r="JHP1" s="16" t="s">
        <v>8435</v>
      </c>
      <c r="JHQ1" s="16" t="s">
        <v>8436</v>
      </c>
      <c r="JHR1" s="16" t="s">
        <v>8437</v>
      </c>
      <c r="JHS1" s="16" t="s">
        <v>8438</v>
      </c>
      <c r="JHT1" s="16" t="s">
        <v>8439</v>
      </c>
      <c r="JHU1" s="16" t="s">
        <v>8440</v>
      </c>
      <c r="JHV1" s="16" t="s">
        <v>8441</v>
      </c>
      <c r="JHW1" s="16" t="s">
        <v>8442</v>
      </c>
      <c r="JHX1" s="16" t="s">
        <v>8443</v>
      </c>
      <c r="JHY1" s="16" t="s">
        <v>8444</v>
      </c>
      <c r="JHZ1" s="16" t="s">
        <v>8445</v>
      </c>
      <c r="JIA1" s="16" t="s">
        <v>8446</v>
      </c>
      <c r="JIB1" s="16" t="s">
        <v>8447</v>
      </c>
      <c r="JIC1" s="16" t="s">
        <v>8448</v>
      </c>
      <c r="JID1" s="16" t="s">
        <v>8449</v>
      </c>
      <c r="JIE1" s="16" t="s">
        <v>8450</v>
      </c>
      <c r="JIF1" s="16" t="s">
        <v>8451</v>
      </c>
      <c r="JIG1" s="16" t="s">
        <v>8452</v>
      </c>
      <c r="JIH1" s="16" t="s">
        <v>8453</v>
      </c>
      <c r="JII1" s="16" t="s">
        <v>8454</v>
      </c>
      <c r="JIJ1" s="16" t="s">
        <v>8455</v>
      </c>
      <c r="JIK1" s="16" t="s">
        <v>8456</v>
      </c>
      <c r="JIL1" s="16" t="s">
        <v>8457</v>
      </c>
      <c r="JIM1" s="16" t="s">
        <v>8458</v>
      </c>
      <c r="JIN1" s="16" t="s">
        <v>8459</v>
      </c>
      <c r="JIO1" s="16" t="s">
        <v>8460</v>
      </c>
      <c r="JIP1" s="16" t="s">
        <v>8461</v>
      </c>
      <c r="JIQ1" s="16" t="s">
        <v>8462</v>
      </c>
      <c r="JIR1" s="16" t="s">
        <v>8463</v>
      </c>
      <c r="JIS1" s="16" t="s">
        <v>8464</v>
      </c>
      <c r="JIT1" s="16" t="s">
        <v>8465</v>
      </c>
      <c r="JIU1" s="16" t="s">
        <v>8466</v>
      </c>
      <c r="JIV1" s="16" t="s">
        <v>8467</v>
      </c>
      <c r="JIW1" s="16" t="s">
        <v>8468</v>
      </c>
      <c r="JIX1" s="16" t="s">
        <v>8469</v>
      </c>
      <c r="JIY1" s="16" t="s">
        <v>8470</v>
      </c>
      <c r="JIZ1" s="16" t="s">
        <v>8471</v>
      </c>
      <c r="JJA1" s="16" t="s">
        <v>8472</v>
      </c>
      <c r="JJB1" s="16" t="s">
        <v>8473</v>
      </c>
      <c r="JJC1" s="16" t="s">
        <v>8474</v>
      </c>
      <c r="JJD1" s="16" t="s">
        <v>8475</v>
      </c>
      <c r="JJE1" s="16" t="s">
        <v>8476</v>
      </c>
      <c r="JJF1" s="16" t="s">
        <v>8477</v>
      </c>
      <c r="JJG1" s="16" t="s">
        <v>8478</v>
      </c>
      <c r="JJH1" s="16" t="s">
        <v>8479</v>
      </c>
      <c r="JJI1" s="16" t="s">
        <v>8480</v>
      </c>
      <c r="JJJ1" s="16" t="s">
        <v>8481</v>
      </c>
      <c r="JJK1" s="16" t="s">
        <v>8482</v>
      </c>
      <c r="JJL1" s="16" t="s">
        <v>8483</v>
      </c>
      <c r="JJM1" s="16" t="s">
        <v>8484</v>
      </c>
      <c r="JJN1" s="16" t="s">
        <v>8485</v>
      </c>
      <c r="JJO1" s="16" t="s">
        <v>8486</v>
      </c>
      <c r="JJP1" s="16" t="s">
        <v>8487</v>
      </c>
      <c r="JJQ1" s="16" t="s">
        <v>8488</v>
      </c>
      <c r="JJR1" s="16" t="s">
        <v>8489</v>
      </c>
      <c r="JJS1" s="16" t="s">
        <v>8490</v>
      </c>
      <c r="JJT1" s="16" t="s">
        <v>8491</v>
      </c>
      <c r="JJU1" s="16" t="s">
        <v>8492</v>
      </c>
      <c r="JJV1" s="16" t="s">
        <v>8493</v>
      </c>
      <c r="JJW1" s="16" t="s">
        <v>8494</v>
      </c>
      <c r="JJX1" s="16" t="s">
        <v>8495</v>
      </c>
      <c r="JJY1" s="16" t="s">
        <v>8496</v>
      </c>
      <c r="JJZ1" s="16" t="s">
        <v>8497</v>
      </c>
      <c r="JKA1" s="16" t="s">
        <v>8498</v>
      </c>
      <c r="JKB1" s="16" t="s">
        <v>8499</v>
      </c>
      <c r="JKC1" s="16" t="s">
        <v>8500</v>
      </c>
      <c r="JKD1" s="16" t="s">
        <v>8501</v>
      </c>
      <c r="JKE1" s="16" t="s">
        <v>8502</v>
      </c>
      <c r="JKF1" s="16" t="s">
        <v>8503</v>
      </c>
      <c r="JKG1" s="16" t="s">
        <v>8504</v>
      </c>
      <c r="JKH1" s="16" t="s">
        <v>8505</v>
      </c>
      <c r="JKI1" s="16" t="s">
        <v>8506</v>
      </c>
      <c r="JKJ1" s="16" t="s">
        <v>8507</v>
      </c>
      <c r="JKK1" s="16" t="s">
        <v>8508</v>
      </c>
      <c r="JKL1" s="16" t="s">
        <v>8509</v>
      </c>
      <c r="JKM1" s="16" t="s">
        <v>8510</v>
      </c>
      <c r="JKN1" s="16" t="s">
        <v>8511</v>
      </c>
      <c r="JKO1" s="16" t="s">
        <v>8512</v>
      </c>
      <c r="JKP1" s="16" t="s">
        <v>8513</v>
      </c>
      <c r="JKQ1" s="16" t="s">
        <v>8514</v>
      </c>
      <c r="JKR1" s="16" t="s">
        <v>8515</v>
      </c>
      <c r="JKS1" s="16" t="s">
        <v>8516</v>
      </c>
      <c r="JKT1" s="16" t="s">
        <v>8517</v>
      </c>
      <c r="JKU1" s="16" t="s">
        <v>8518</v>
      </c>
      <c r="JKV1" s="16" t="s">
        <v>8519</v>
      </c>
      <c r="JKW1" s="16" t="s">
        <v>8520</v>
      </c>
      <c r="JKX1" s="16" t="s">
        <v>8521</v>
      </c>
      <c r="JKY1" s="16" t="s">
        <v>8522</v>
      </c>
      <c r="JKZ1" s="16" t="s">
        <v>8523</v>
      </c>
      <c r="JLA1" s="16" t="s">
        <v>8524</v>
      </c>
      <c r="JLB1" s="16" t="s">
        <v>8525</v>
      </c>
      <c r="JLC1" s="16" t="s">
        <v>8526</v>
      </c>
      <c r="JLD1" s="16" t="s">
        <v>8527</v>
      </c>
      <c r="JLE1" s="16" t="s">
        <v>8528</v>
      </c>
      <c r="JLF1" s="16" t="s">
        <v>8529</v>
      </c>
      <c r="JLG1" s="16" t="s">
        <v>8530</v>
      </c>
      <c r="JLH1" s="16" t="s">
        <v>8531</v>
      </c>
      <c r="JLI1" s="16" t="s">
        <v>8532</v>
      </c>
      <c r="JLJ1" s="16" t="s">
        <v>8533</v>
      </c>
      <c r="JLK1" s="16" t="s">
        <v>8534</v>
      </c>
      <c r="JLL1" s="16" t="s">
        <v>8535</v>
      </c>
      <c r="JLM1" s="16" t="s">
        <v>8536</v>
      </c>
      <c r="JLN1" s="16" t="s">
        <v>8537</v>
      </c>
      <c r="JLO1" s="16" t="s">
        <v>8538</v>
      </c>
      <c r="JLP1" s="16" t="s">
        <v>8539</v>
      </c>
      <c r="JLQ1" s="16" t="s">
        <v>8540</v>
      </c>
      <c r="JLR1" s="16" t="s">
        <v>8541</v>
      </c>
      <c r="JLS1" s="16" t="s">
        <v>8542</v>
      </c>
      <c r="JLT1" s="16" t="s">
        <v>8543</v>
      </c>
      <c r="JLU1" s="16" t="s">
        <v>8544</v>
      </c>
      <c r="JLV1" s="16" t="s">
        <v>8545</v>
      </c>
      <c r="JLW1" s="16" t="s">
        <v>8546</v>
      </c>
      <c r="JLX1" s="16" t="s">
        <v>8547</v>
      </c>
      <c r="JLY1" s="16" t="s">
        <v>8548</v>
      </c>
      <c r="JLZ1" s="16" t="s">
        <v>8549</v>
      </c>
      <c r="JMA1" s="16" t="s">
        <v>8550</v>
      </c>
      <c r="JMB1" s="16" t="s">
        <v>8551</v>
      </c>
      <c r="JMC1" s="16" t="s">
        <v>8552</v>
      </c>
      <c r="JMD1" s="16" t="s">
        <v>8553</v>
      </c>
      <c r="JME1" s="16" t="s">
        <v>8554</v>
      </c>
      <c r="JMF1" s="16" t="s">
        <v>8555</v>
      </c>
      <c r="JMG1" s="16" t="s">
        <v>8556</v>
      </c>
      <c r="JMH1" s="16" t="s">
        <v>8557</v>
      </c>
      <c r="JMI1" s="16" t="s">
        <v>8558</v>
      </c>
      <c r="JMJ1" s="16" t="s">
        <v>8559</v>
      </c>
      <c r="JMK1" s="16" t="s">
        <v>8560</v>
      </c>
      <c r="JML1" s="16" t="s">
        <v>8561</v>
      </c>
      <c r="JMM1" s="16" t="s">
        <v>8562</v>
      </c>
      <c r="JMN1" s="16" t="s">
        <v>8563</v>
      </c>
      <c r="JMO1" s="16" t="s">
        <v>8564</v>
      </c>
      <c r="JMP1" s="16" t="s">
        <v>8565</v>
      </c>
      <c r="JMQ1" s="16" t="s">
        <v>8566</v>
      </c>
      <c r="JMR1" s="16" t="s">
        <v>8567</v>
      </c>
      <c r="JMS1" s="16" t="s">
        <v>8568</v>
      </c>
      <c r="JMT1" s="16" t="s">
        <v>8569</v>
      </c>
      <c r="JMU1" s="16" t="s">
        <v>8570</v>
      </c>
      <c r="JMV1" s="16" t="s">
        <v>8571</v>
      </c>
      <c r="JMW1" s="16" t="s">
        <v>8572</v>
      </c>
      <c r="JMX1" s="16" t="s">
        <v>8573</v>
      </c>
      <c r="JMY1" s="16" t="s">
        <v>8574</v>
      </c>
      <c r="JMZ1" s="16" t="s">
        <v>8575</v>
      </c>
      <c r="JNA1" s="16" t="s">
        <v>8576</v>
      </c>
      <c r="JNB1" s="16" t="s">
        <v>8577</v>
      </c>
      <c r="JNC1" s="16" t="s">
        <v>8578</v>
      </c>
      <c r="JND1" s="16" t="s">
        <v>8579</v>
      </c>
      <c r="JNE1" s="16" t="s">
        <v>8580</v>
      </c>
      <c r="JNF1" s="16" t="s">
        <v>8581</v>
      </c>
      <c r="JNG1" s="16" t="s">
        <v>8582</v>
      </c>
      <c r="JNH1" s="16" t="s">
        <v>8583</v>
      </c>
      <c r="JNI1" s="16" t="s">
        <v>8584</v>
      </c>
      <c r="JNJ1" s="16" t="s">
        <v>8585</v>
      </c>
      <c r="JNK1" s="16" t="s">
        <v>8586</v>
      </c>
      <c r="JNL1" s="16" t="s">
        <v>8587</v>
      </c>
      <c r="JNM1" s="16" t="s">
        <v>8588</v>
      </c>
      <c r="JNN1" s="16" t="s">
        <v>8589</v>
      </c>
      <c r="JNO1" s="16" t="s">
        <v>8590</v>
      </c>
      <c r="JNP1" s="16" t="s">
        <v>8591</v>
      </c>
      <c r="JNQ1" s="16" t="s">
        <v>8592</v>
      </c>
      <c r="JNR1" s="16" t="s">
        <v>8593</v>
      </c>
      <c r="JNS1" s="16" t="s">
        <v>8594</v>
      </c>
      <c r="JNT1" s="16" t="s">
        <v>8595</v>
      </c>
      <c r="JNU1" s="16" t="s">
        <v>8596</v>
      </c>
      <c r="JNV1" s="16" t="s">
        <v>8597</v>
      </c>
      <c r="JNW1" s="16" t="s">
        <v>8598</v>
      </c>
      <c r="JNX1" s="16" t="s">
        <v>8599</v>
      </c>
      <c r="JNY1" s="16" t="s">
        <v>8600</v>
      </c>
      <c r="JNZ1" s="16" t="s">
        <v>8601</v>
      </c>
      <c r="JOA1" s="16" t="s">
        <v>8602</v>
      </c>
      <c r="JOB1" s="16" t="s">
        <v>8603</v>
      </c>
      <c r="JOC1" s="16" t="s">
        <v>8604</v>
      </c>
      <c r="JOD1" s="16" t="s">
        <v>8605</v>
      </c>
      <c r="JOE1" s="16" t="s">
        <v>8606</v>
      </c>
      <c r="JOF1" s="16" t="s">
        <v>8607</v>
      </c>
      <c r="JOG1" s="16" t="s">
        <v>8608</v>
      </c>
      <c r="JOH1" s="16" t="s">
        <v>8609</v>
      </c>
      <c r="JOI1" s="16" t="s">
        <v>8610</v>
      </c>
      <c r="JOJ1" s="16" t="s">
        <v>8611</v>
      </c>
      <c r="JOK1" s="16" t="s">
        <v>8612</v>
      </c>
      <c r="JOL1" s="16" t="s">
        <v>8613</v>
      </c>
      <c r="JOM1" s="16" t="s">
        <v>8614</v>
      </c>
      <c r="JON1" s="16" t="s">
        <v>8615</v>
      </c>
      <c r="JOO1" s="16" t="s">
        <v>8616</v>
      </c>
      <c r="JOP1" s="16" t="s">
        <v>8617</v>
      </c>
      <c r="JOQ1" s="16" t="s">
        <v>8618</v>
      </c>
      <c r="JOR1" s="16" t="s">
        <v>8619</v>
      </c>
      <c r="JOS1" s="16" t="s">
        <v>8620</v>
      </c>
      <c r="JOT1" s="16" t="s">
        <v>8621</v>
      </c>
      <c r="JOU1" s="16" t="s">
        <v>8622</v>
      </c>
      <c r="JOV1" s="16" t="s">
        <v>8623</v>
      </c>
      <c r="JOW1" s="16" t="s">
        <v>8624</v>
      </c>
      <c r="JOX1" s="16" t="s">
        <v>8625</v>
      </c>
      <c r="JOY1" s="16" t="s">
        <v>8626</v>
      </c>
      <c r="JOZ1" s="16" t="s">
        <v>8627</v>
      </c>
      <c r="JPA1" s="16" t="s">
        <v>8628</v>
      </c>
      <c r="JPB1" s="16" t="s">
        <v>8629</v>
      </c>
      <c r="JPC1" s="16" t="s">
        <v>8630</v>
      </c>
      <c r="JPD1" s="16" t="s">
        <v>8631</v>
      </c>
      <c r="JPE1" s="16" t="s">
        <v>8632</v>
      </c>
      <c r="JPF1" s="16" t="s">
        <v>8633</v>
      </c>
      <c r="JPG1" s="16" t="s">
        <v>8634</v>
      </c>
      <c r="JPH1" s="16" t="s">
        <v>8635</v>
      </c>
      <c r="JPI1" s="16" t="s">
        <v>8636</v>
      </c>
      <c r="JPJ1" s="16" t="s">
        <v>8637</v>
      </c>
      <c r="JPK1" s="16" t="s">
        <v>8638</v>
      </c>
      <c r="JPL1" s="16" t="s">
        <v>8639</v>
      </c>
      <c r="JPM1" s="16" t="s">
        <v>8640</v>
      </c>
      <c r="JPN1" s="16" t="s">
        <v>8641</v>
      </c>
      <c r="JPO1" s="16" t="s">
        <v>8642</v>
      </c>
      <c r="JPP1" s="16" t="s">
        <v>8643</v>
      </c>
      <c r="JPQ1" s="16" t="s">
        <v>8644</v>
      </c>
      <c r="JPR1" s="16" t="s">
        <v>8645</v>
      </c>
      <c r="JPS1" s="16" t="s">
        <v>8646</v>
      </c>
      <c r="JPT1" s="16" t="s">
        <v>8647</v>
      </c>
      <c r="JPU1" s="16" t="s">
        <v>8648</v>
      </c>
      <c r="JPV1" s="16" t="s">
        <v>8649</v>
      </c>
      <c r="JPW1" s="16" t="s">
        <v>8650</v>
      </c>
      <c r="JPX1" s="16" t="s">
        <v>8651</v>
      </c>
      <c r="JPY1" s="16" t="s">
        <v>8652</v>
      </c>
      <c r="JPZ1" s="16" t="s">
        <v>8653</v>
      </c>
      <c r="JQA1" s="16" t="s">
        <v>8654</v>
      </c>
      <c r="JQB1" s="16" t="s">
        <v>8655</v>
      </c>
      <c r="JQC1" s="16" t="s">
        <v>8656</v>
      </c>
      <c r="JQD1" s="16" t="s">
        <v>8657</v>
      </c>
      <c r="JQE1" s="16" t="s">
        <v>8658</v>
      </c>
      <c r="JQF1" s="16" t="s">
        <v>8659</v>
      </c>
      <c r="JQG1" s="16" t="s">
        <v>8660</v>
      </c>
      <c r="JQH1" s="16" t="s">
        <v>8661</v>
      </c>
      <c r="JQI1" s="16" t="s">
        <v>8662</v>
      </c>
      <c r="JQJ1" s="16" t="s">
        <v>8663</v>
      </c>
      <c r="JQK1" s="16" t="s">
        <v>8664</v>
      </c>
      <c r="JQL1" s="16" t="s">
        <v>8665</v>
      </c>
      <c r="JQM1" s="16" t="s">
        <v>8666</v>
      </c>
      <c r="JQN1" s="16" t="s">
        <v>8667</v>
      </c>
      <c r="JQO1" s="16" t="s">
        <v>8668</v>
      </c>
      <c r="JQP1" s="16" t="s">
        <v>8669</v>
      </c>
      <c r="JQQ1" s="16" t="s">
        <v>8670</v>
      </c>
      <c r="JQR1" s="16" t="s">
        <v>8671</v>
      </c>
      <c r="JQS1" s="16" t="s">
        <v>8672</v>
      </c>
      <c r="JQT1" s="16" t="s">
        <v>8673</v>
      </c>
      <c r="JQU1" s="16" t="s">
        <v>8674</v>
      </c>
      <c r="JQV1" s="16" t="s">
        <v>8675</v>
      </c>
      <c r="JQW1" s="16" t="s">
        <v>8676</v>
      </c>
      <c r="JQX1" s="16" t="s">
        <v>8677</v>
      </c>
      <c r="JQY1" s="16" t="s">
        <v>8678</v>
      </c>
      <c r="JQZ1" s="16" t="s">
        <v>8679</v>
      </c>
      <c r="JRA1" s="16" t="s">
        <v>8680</v>
      </c>
      <c r="JRB1" s="16" t="s">
        <v>8681</v>
      </c>
      <c r="JRC1" s="16" t="s">
        <v>8682</v>
      </c>
      <c r="JRD1" s="16" t="s">
        <v>8683</v>
      </c>
      <c r="JRE1" s="16" t="s">
        <v>8684</v>
      </c>
      <c r="JRF1" s="16" t="s">
        <v>8685</v>
      </c>
      <c r="JRG1" s="16" t="s">
        <v>8686</v>
      </c>
      <c r="JRH1" s="16" t="s">
        <v>8687</v>
      </c>
      <c r="JRI1" s="16" t="s">
        <v>8688</v>
      </c>
      <c r="JRJ1" s="16" t="s">
        <v>8689</v>
      </c>
      <c r="JRK1" s="16" t="s">
        <v>8690</v>
      </c>
      <c r="JRL1" s="16" t="s">
        <v>8691</v>
      </c>
      <c r="JRM1" s="16" t="s">
        <v>8692</v>
      </c>
      <c r="JRN1" s="16" t="s">
        <v>8693</v>
      </c>
      <c r="JRO1" s="16" t="s">
        <v>8694</v>
      </c>
      <c r="JRP1" s="16" t="s">
        <v>8695</v>
      </c>
      <c r="JRQ1" s="16" t="s">
        <v>8696</v>
      </c>
      <c r="JRR1" s="16" t="s">
        <v>8697</v>
      </c>
      <c r="JRS1" s="16" t="s">
        <v>8698</v>
      </c>
      <c r="JRT1" s="16" t="s">
        <v>8699</v>
      </c>
      <c r="JRU1" s="16" t="s">
        <v>8700</v>
      </c>
      <c r="JRV1" s="16" t="s">
        <v>8701</v>
      </c>
      <c r="JRW1" s="16" t="s">
        <v>8702</v>
      </c>
      <c r="JRX1" s="16" t="s">
        <v>8703</v>
      </c>
      <c r="JRY1" s="16" t="s">
        <v>8704</v>
      </c>
      <c r="JRZ1" s="16" t="s">
        <v>8705</v>
      </c>
      <c r="JSA1" s="16" t="s">
        <v>8706</v>
      </c>
      <c r="JSB1" s="16" t="s">
        <v>8707</v>
      </c>
      <c r="JSC1" s="16" t="s">
        <v>8708</v>
      </c>
      <c r="JSD1" s="16" t="s">
        <v>8709</v>
      </c>
      <c r="JSE1" s="16" t="s">
        <v>8710</v>
      </c>
      <c r="JSF1" s="16" t="s">
        <v>8711</v>
      </c>
      <c r="JSG1" s="16" t="s">
        <v>8712</v>
      </c>
      <c r="JSH1" s="16" t="s">
        <v>8713</v>
      </c>
      <c r="JSI1" s="16" t="s">
        <v>8714</v>
      </c>
      <c r="JSJ1" s="16" t="s">
        <v>8715</v>
      </c>
      <c r="JSK1" s="16" t="s">
        <v>8716</v>
      </c>
      <c r="JSL1" s="16" t="s">
        <v>8717</v>
      </c>
      <c r="JSM1" s="16" t="s">
        <v>8718</v>
      </c>
      <c r="JSN1" s="16" t="s">
        <v>8719</v>
      </c>
      <c r="JSO1" s="16" t="s">
        <v>8720</v>
      </c>
      <c r="JSP1" s="16" t="s">
        <v>8721</v>
      </c>
      <c r="JSQ1" s="16" t="s">
        <v>8722</v>
      </c>
      <c r="JSR1" s="16" t="s">
        <v>8723</v>
      </c>
      <c r="JSS1" s="16" t="s">
        <v>8724</v>
      </c>
      <c r="JST1" s="16" t="s">
        <v>8725</v>
      </c>
      <c r="JSU1" s="16" t="s">
        <v>8726</v>
      </c>
      <c r="JSV1" s="16" t="s">
        <v>8727</v>
      </c>
      <c r="JSW1" s="16" t="s">
        <v>8728</v>
      </c>
      <c r="JSX1" s="16" t="s">
        <v>8729</v>
      </c>
      <c r="JSY1" s="16" t="s">
        <v>8730</v>
      </c>
      <c r="JSZ1" s="16" t="s">
        <v>8731</v>
      </c>
      <c r="JTA1" s="16" t="s">
        <v>8732</v>
      </c>
      <c r="JTB1" s="16" t="s">
        <v>8733</v>
      </c>
      <c r="JTC1" s="16" t="s">
        <v>8734</v>
      </c>
      <c r="JTD1" s="16" t="s">
        <v>8735</v>
      </c>
      <c r="JTE1" s="16" t="s">
        <v>8736</v>
      </c>
      <c r="JTF1" s="16" t="s">
        <v>8737</v>
      </c>
      <c r="JTG1" s="16" t="s">
        <v>8738</v>
      </c>
      <c r="JTH1" s="16" t="s">
        <v>8739</v>
      </c>
      <c r="JTI1" s="16" t="s">
        <v>8740</v>
      </c>
      <c r="JTJ1" s="16" t="s">
        <v>8741</v>
      </c>
      <c r="JTK1" s="16" t="s">
        <v>8742</v>
      </c>
      <c r="JTL1" s="16" t="s">
        <v>8743</v>
      </c>
      <c r="JTM1" s="16" t="s">
        <v>8744</v>
      </c>
      <c r="JTN1" s="16" t="s">
        <v>8745</v>
      </c>
      <c r="JTO1" s="16" t="s">
        <v>8746</v>
      </c>
      <c r="JTP1" s="16" t="s">
        <v>8747</v>
      </c>
      <c r="JTQ1" s="16" t="s">
        <v>8748</v>
      </c>
      <c r="JTR1" s="16" t="s">
        <v>8749</v>
      </c>
      <c r="JTS1" s="16" t="s">
        <v>8750</v>
      </c>
      <c r="JTT1" s="16" t="s">
        <v>8751</v>
      </c>
      <c r="JTU1" s="16" t="s">
        <v>8752</v>
      </c>
      <c r="JTV1" s="16" t="s">
        <v>8753</v>
      </c>
      <c r="JTW1" s="16" t="s">
        <v>8754</v>
      </c>
      <c r="JTX1" s="16" t="s">
        <v>8755</v>
      </c>
      <c r="JTY1" s="16" t="s">
        <v>8756</v>
      </c>
      <c r="JTZ1" s="16" t="s">
        <v>8757</v>
      </c>
      <c r="JUA1" s="16" t="s">
        <v>8758</v>
      </c>
      <c r="JUB1" s="16" t="s">
        <v>8759</v>
      </c>
      <c r="JUC1" s="16" t="s">
        <v>8760</v>
      </c>
      <c r="JUD1" s="16" t="s">
        <v>8761</v>
      </c>
      <c r="JUE1" s="16" t="s">
        <v>8762</v>
      </c>
      <c r="JUF1" s="16" t="s">
        <v>8763</v>
      </c>
      <c r="JUG1" s="16" t="s">
        <v>8764</v>
      </c>
      <c r="JUH1" s="16" t="s">
        <v>8765</v>
      </c>
      <c r="JUI1" s="16" t="s">
        <v>8766</v>
      </c>
      <c r="JUJ1" s="16" t="s">
        <v>8767</v>
      </c>
      <c r="JUK1" s="16" t="s">
        <v>8768</v>
      </c>
      <c r="JUL1" s="16" t="s">
        <v>8769</v>
      </c>
      <c r="JUM1" s="16" t="s">
        <v>8770</v>
      </c>
      <c r="JUN1" s="16" t="s">
        <v>8771</v>
      </c>
      <c r="JUO1" s="16" t="s">
        <v>8772</v>
      </c>
      <c r="JUP1" s="16" t="s">
        <v>8773</v>
      </c>
      <c r="JUQ1" s="16" t="s">
        <v>8774</v>
      </c>
      <c r="JUR1" s="16" t="s">
        <v>8775</v>
      </c>
      <c r="JUS1" s="16" t="s">
        <v>8776</v>
      </c>
      <c r="JUT1" s="16" t="s">
        <v>8777</v>
      </c>
      <c r="JUU1" s="16" t="s">
        <v>8778</v>
      </c>
      <c r="JUV1" s="16" t="s">
        <v>8779</v>
      </c>
      <c r="JUW1" s="16" t="s">
        <v>8780</v>
      </c>
      <c r="JUX1" s="16" t="s">
        <v>8781</v>
      </c>
      <c r="JUY1" s="16" t="s">
        <v>8782</v>
      </c>
      <c r="JUZ1" s="16" t="s">
        <v>8783</v>
      </c>
      <c r="JVA1" s="16" t="s">
        <v>8784</v>
      </c>
      <c r="JVB1" s="16" t="s">
        <v>8785</v>
      </c>
      <c r="JVC1" s="16" t="s">
        <v>8786</v>
      </c>
      <c r="JVD1" s="16" t="s">
        <v>8787</v>
      </c>
      <c r="JVE1" s="16" t="s">
        <v>8788</v>
      </c>
      <c r="JVF1" s="16" t="s">
        <v>8789</v>
      </c>
      <c r="JVG1" s="16" t="s">
        <v>8790</v>
      </c>
      <c r="JVH1" s="16" t="s">
        <v>8791</v>
      </c>
      <c r="JVI1" s="16" t="s">
        <v>8792</v>
      </c>
      <c r="JVJ1" s="16" t="s">
        <v>8793</v>
      </c>
      <c r="JVK1" s="16" t="s">
        <v>8794</v>
      </c>
      <c r="JVL1" s="16" t="s">
        <v>8795</v>
      </c>
      <c r="JVM1" s="16" t="s">
        <v>8796</v>
      </c>
      <c r="JVN1" s="16" t="s">
        <v>8797</v>
      </c>
      <c r="JVO1" s="16" t="s">
        <v>8798</v>
      </c>
      <c r="JVP1" s="16" t="s">
        <v>8799</v>
      </c>
      <c r="JVQ1" s="16" t="s">
        <v>8800</v>
      </c>
      <c r="JVR1" s="16" t="s">
        <v>8801</v>
      </c>
      <c r="JVS1" s="16" t="s">
        <v>8802</v>
      </c>
      <c r="JVT1" s="16" t="s">
        <v>8803</v>
      </c>
      <c r="JVU1" s="16" t="s">
        <v>8804</v>
      </c>
      <c r="JVV1" s="16" t="s">
        <v>8805</v>
      </c>
      <c r="JVW1" s="16" t="s">
        <v>8806</v>
      </c>
      <c r="JVX1" s="16" t="s">
        <v>8807</v>
      </c>
      <c r="JVY1" s="16" t="s">
        <v>8808</v>
      </c>
      <c r="JVZ1" s="16" t="s">
        <v>8809</v>
      </c>
      <c r="JWA1" s="16" t="s">
        <v>8810</v>
      </c>
      <c r="JWB1" s="16" t="s">
        <v>8811</v>
      </c>
      <c r="JWC1" s="16" t="s">
        <v>8812</v>
      </c>
      <c r="JWD1" s="16" t="s">
        <v>8813</v>
      </c>
      <c r="JWE1" s="16" t="s">
        <v>8814</v>
      </c>
      <c r="JWF1" s="16" t="s">
        <v>8815</v>
      </c>
      <c r="JWG1" s="16" t="s">
        <v>8816</v>
      </c>
      <c r="JWH1" s="16" t="s">
        <v>8817</v>
      </c>
      <c r="JWI1" s="16" t="s">
        <v>8818</v>
      </c>
      <c r="JWJ1" s="16" t="s">
        <v>8819</v>
      </c>
      <c r="JWK1" s="16" t="s">
        <v>8820</v>
      </c>
      <c r="JWL1" s="16" t="s">
        <v>8821</v>
      </c>
      <c r="JWM1" s="16" t="s">
        <v>8822</v>
      </c>
      <c r="JWN1" s="16" t="s">
        <v>8823</v>
      </c>
      <c r="JWO1" s="16" t="s">
        <v>8824</v>
      </c>
      <c r="JWP1" s="16" t="s">
        <v>8825</v>
      </c>
      <c r="JWQ1" s="16" t="s">
        <v>8826</v>
      </c>
      <c r="JWR1" s="16" t="s">
        <v>8827</v>
      </c>
      <c r="JWS1" s="16" t="s">
        <v>8828</v>
      </c>
      <c r="JWT1" s="16" t="s">
        <v>8829</v>
      </c>
      <c r="JWU1" s="16" t="s">
        <v>8830</v>
      </c>
      <c r="JWV1" s="16" t="s">
        <v>8831</v>
      </c>
      <c r="JWW1" s="16" t="s">
        <v>8832</v>
      </c>
      <c r="JWX1" s="16" t="s">
        <v>8833</v>
      </c>
      <c r="JWY1" s="16" t="s">
        <v>8834</v>
      </c>
      <c r="JWZ1" s="16" t="s">
        <v>8835</v>
      </c>
      <c r="JXA1" s="16" t="s">
        <v>8836</v>
      </c>
      <c r="JXB1" s="16" t="s">
        <v>8837</v>
      </c>
      <c r="JXC1" s="16" t="s">
        <v>8838</v>
      </c>
      <c r="JXD1" s="16" t="s">
        <v>8839</v>
      </c>
      <c r="JXE1" s="16" t="s">
        <v>8840</v>
      </c>
      <c r="JXF1" s="16" t="s">
        <v>8841</v>
      </c>
      <c r="JXG1" s="16" t="s">
        <v>8842</v>
      </c>
      <c r="JXH1" s="16" t="s">
        <v>8843</v>
      </c>
      <c r="JXI1" s="16" t="s">
        <v>8844</v>
      </c>
      <c r="JXJ1" s="16" t="s">
        <v>8845</v>
      </c>
      <c r="JXK1" s="16" t="s">
        <v>8846</v>
      </c>
      <c r="JXL1" s="16" t="s">
        <v>8847</v>
      </c>
      <c r="JXM1" s="16" t="s">
        <v>8848</v>
      </c>
      <c r="JXN1" s="16" t="s">
        <v>8849</v>
      </c>
      <c r="JXO1" s="16" t="s">
        <v>8850</v>
      </c>
      <c r="JXP1" s="16" t="s">
        <v>8851</v>
      </c>
      <c r="JXQ1" s="16" t="s">
        <v>8852</v>
      </c>
      <c r="JXR1" s="16" t="s">
        <v>8853</v>
      </c>
      <c r="JXS1" s="16" t="s">
        <v>8854</v>
      </c>
      <c r="JXT1" s="16" t="s">
        <v>8855</v>
      </c>
      <c r="JXU1" s="16" t="s">
        <v>8856</v>
      </c>
      <c r="JXV1" s="16" t="s">
        <v>8857</v>
      </c>
      <c r="JXW1" s="16" t="s">
        <v>8858</v>
      </c>
      <c r="JXX1" s="16" t="s">
        <v>8859</v>
      </c>
      <c r="JXY1" s="16" t="s">
        <v>8860</v>
      </c>
      <c r="JXZ1" s="16" t="s">
        <v>8861</v>
      </c>
      <c r="JYA1" s="16" t="s">
        <v>8862</v>
      </c>
      <c r="JYB1" s="16" t="s">
        <v>8863</v>
      </c>
      <c r="JYC1" s="16" t="s">
        <v>8864</v>
      </c>
      <c r="JYD1" s="16" t="s">
        <v>8865</v>
      </c>
      <c r="JYE1" s="16" t="s">
        <v>8866</v>
      </c>
      <c r="JYF1" s="16" t="s">
        <v>8867</v>
      </c>
      <c r="JYG1" s="16" t="s">
        <v>8868</v>
      </c>
      <c r="JYH1" s="16" t="s">
        <v>8869</v>
      </c>
      <c r="JYI1" s="16" t="s">
        <v>8870</v>
      </c>
      <c r="JYJ1" s="16" t="s">
        <v>8871</v>
      </c>
      <c r="JYK1" s="16" t="s">
        <v>8872</v>
      </c>
      <c r="JYL1" s="16" t="s">
        <v>8873</v>
      </c>
      <c r="JYM1" s="16" t="s">
        <v>8874</v>
      </c>
      <c r="JYN1" s="16" t="s">
        <v>8875</v>
      </c>
      <c r="JYO1" s="16" t="s">
        <v>8876</v>
      </c>
      <c r="JYP1" s="16" t="s">
        <v>8877</v>
      </c>
      <c r="JYQ1" s="16" t="s">
        <v>8878</v>
      </c>
      <c r="JYR1" s="16" t="s">
        <v>8879</v>
      </c>
      <c r="JYS1" s="16" t="s">
        <v>8880</v>
      </c>
      <c r="JYT1" s="16" t="s">
        <v>8881</v>
      </c>
      <c r="JYU1" s="16" t="s">
        <v>8882</v>
      </c>
      <c r="JYV1" s="16" t="s">
        <v>8883</v>
      </c>
      <c r="JYW1" s="16" t="s">
        <v>8884</v>
      </c>
      <c r="JYX1" s="16" t="s">
        <v>8885</v>
      </c>
      <c r="JYY1" s="16" t="s">
        <v>8886</v>
      </c>
      <c r="JYZ1" s="16" t="s">
        <v>8887</v>
      </c>
      <c r="JZA1" s="16" t="s">
        <v>8888</v>
      </c>
      <c r="JZB1" s="16" t="s">
        <v>8889</v>
      </c>
      <c r="JZC1" s="16" t="s">
        <v>8890</v>
      </c>
      <c r="JZD1" s="16" t="s">
        <v>8891</v>
      </c>
      <c r="JZE1" s="16" t="s">
        <v>8892</v>
      </c>
      <c r="JZF1" s="16" t="s">
        <v>8893</v>
      </c>
      <c r="JZG1" s="16" t="s">
        <v>8894</v>
      </c>
      <c r="JZH1" s="16" t="s">
        <v>8895</v>
      </c>
      <c r="JZI1" s="16" t="s">
        <v>8896</v>
      </c>
      <c r="JZJ1" s="16" t="s">
        <v>8897</v>
      </c>
      <c r="JZK1" s="16" t="s">
        <v>8898</v>
      </c>
      <c r="JZL1" s="16" t="s">
        <v>8899</v>
      </c>
      <c r="JZM1" s="16" t="s">
        <v>8900</v>
      </c>
      <c r="JZN1" s="16" t="s">
        <v>8901</v>
      </c>
      <c r="JZO1" s="16" t="s">
        <v>8902</v>
      </c>
      <c r="JZP1" s="16" t="s">
        <v>8903</v>
      </c>
      <c r="JZQ1" s="16" t="s">
        <v>8904</v>
      </c>
      <c r="JZR1" s="16" t="s">
        <v>8905</v>
      </c>
      <c r="JZS1" s="16" t="s">
        <v>8906</v>
      </c>
      <c r="JZT1" s="16" t="s">
        <v>8907</v>
      </c>
      <c r="JZU1" s="16" t="s">
        <v>8908</v>
      </c>
      <c r="JZV1" s="16" t="s">
        <v>8909</v>
      </c>
      <c r="JZW1" s="16" t="s">
        <v>8910</v>
      </c>
      <c r="JZX1" s="16" t="s">
        <v>8911</v>
      </c>
      <c r="JZY1" s="16" t="s">
        <v>8912</v>
      </c>
      <c r="JZZ1" s="16" t="s">
        <v>8913</v>
      </c>
      <c r="KAA1" s="16" t="s">
        <v>8914</v>
      </c>
      <c r="KAB1" s="16" t="s">
        <v>8915</v>
      </c>
      <c r="KAC1" s="16" t="s">
        <v>8916</v>
      </c>
      <c r="KAD1" s="16" t="s">
        <v>8917</v>
      </c>
      <c r="KAE1" s="16" t="s">
        <v>8918</v>
      </c>
      <c r="KAF1" s="16" t="s">
        <v>8919</v>
      </c>
      <c r="KAG1" s="16" t="s">
        <v>8920</v>
      </c>
      <c r="KAH1" s="16" t="s">
        <v>8921</v>
      </c>
      <c r="KAI1" s="16" t="s">
        <v>8922</v>
      </c>
      <c r="KAJ1" s="16" t="s">
        <v>8923</v>
      </c>
      <c r="KAK1" s="16" t="s">
        <v>8924</v>
      </c>
      <c r="KAL1" s="16" t="s">
        <v>8925</v>
      </c>
      <c r="KAM1" s="16" t="s">
        <v>8926</v>
      </c>
      <c r="KAN1" s="16" t="s">
        <v>8927</v>
      </c>
      <c r="KAO1" s="16" t="s">
        <v>8928</v>
      </c>
      <c r="KAP1" s="16" t="s">
        <v>8929</v>
      </c>
      <c r="KAQ1" s="16" t="s">
        <v>8930</v>
      </c>
      <c r="KAR1" s="16" t="s">
        <v>8931</v>
      </c>
      <c r="KAS1" s="16" t="s">
        <v>8932</v>
      </c>
      <c r="KAT1" s="16" t="s">
        <v>8933</v>
      </c>
      <c r="KAU1" s="16" t="s">
        <v>8934</v>
      </c>
      <c r="KAV1" s="16" t="s">
        <v>8935</v>
      </c>
      <c r="KAW1" s="16" t="s">
        <v>8936</v>
      </c>
      <c r="KAX1" s="16" t="s">
        <v>8937</v>
      </c>
      <c r="KAY1" s="16" t="s">
        <v>8938</v>
      </c>
      <c r="KAZ1" s="16" t="s">
        <v>8939</v>
      </c>
      <c r="KBA1" s="16" t="s">
        <v>8940</v>
      </c>
      <c r="KBB1" s="16" t="s">
        <v>8941</v>
      </c>
      <c r="KBC1" s="16" t="s">
        <v>8942</v>
      </c>
      <c r="KBD1" s="16" t="s">
        <v>8943</v>
      </c>
      <c r="KBE1" s="16" t="s">
        <v>8944</v>
      </c>
      <c r="KBF1" s="16" t="s">
        <v>8945</v>
      </c>
      <c r="KBG1" s="16" t="s">
        <v>8946</v>
      </c>
      <c r="KBH1" s="16" t="s">
        <v>8947</v>
      </c>
      <c r="KBI1" s="16" t="s">
        <v>8948</v>
      </c>
      <c r="KBJ1" s="16" t="s">
        <v>8949</v>
      </c>
      <c r="KBK1" s="16" t="s">
        <v>8950</v>
      </c>
      <c r="KBL1" s="16" t="s">
        <v>8951</v>
      </c>
      <c r="KBM1" s="16" t="s">
        <v>8952</v>
      </c>
      <c r="KBN1" s="16" t="s">
        <v>8953</v>
      </c>
      <c r="KBO1" s="16" t="s">
        <v>8954</v>
      </c>
      <c r="KBP1" s="16" t="s">
        <v>8955</v>
      </c>
      <c r="KBQ1" s="16" t="s">
        <v>8956</v>
      </c>
      <c r="KBR1" s="16" t="s">
        <v>8957</v>
      </c>
      <c r="KBS1" s="16" t="s">
        <v>8958</v>
      </c>
      <c r="KBT1" s="16" t="s">
        <v>8959</v>
      </c>
      <c r="KBU1" s="16" t="s">
        <v>8960</v>
      </c>
      <c r="KBV1" s="16" t="s">
        <v>8961</v>
      </c>
      <c r="KBW1" s="16" t="s">
        <v>8962</v>
      </c>
      <c r="KBX1" s="16" t="s">
        <v>8963</v>
      </c>
      <c r="KBY1" s="16" t="s">
        <v>8964</v>
      </c>
      <c r="KBZ1" s="16" t="s">
        <v>8965</v>
      </c>
      <c r="KCA1" s="16" t="s">
        <v>8966</v>
      </c>
      <c r="KCB1" s="16" t="s">
        <v>8967</v>
      </c>
      <c r="KCC1" s="16" t="s">
        <v>8968</v>
      </c>
      <c r="KCD1" s="16" t="s">
        <v>8969</v>
      </c>
      <c r="KCE1" s="16" t="s">
        <v>8970</v>
      </c>
      <c r="KCF1" s="16" t="s">
        <v>8971</v>
      </c>
      <c r="KCG1" s="16" t="s">
        <v>8972</v>
      </c>
      <c r="KCH1" s="16" t="s">
        <v>8973</v>
      </c>
      <c r="KCI1" s="16" t="s">
        <v>8974</v>
      </c>
      <c r="KCJ1" s="16" t="s">
        <v>8975</v>
      </c>
      <c r="KCK1" s="16" t="s">
        <v>8976</v>
      </c>
      <c r="KCL1" s="16" t="s">
        <v>8977</v>
      </c>
      <c r="KCM1" s="16" t="s">
        <v>8978</v>
      </c>
      <c r="KCN1" s="16" t="s">
        <v>8979</v>
      </c>
      <c r="KCO1" s="16" t="s">
        <v>8980</v>
      </c>
      <c r="KCP1" s="16" t="s">
        <v>8981</v>
      </c>
      <c r="KCQ1" s="16" t="s">
        <v>8982</v>
      </c>
      <c r="KCR1" s="16" t="s">
        <v>8983</v>
      </c>
      <c r="KCS1" s="16" t="s">
        <v>8984</v>
      </c>
      <c r="KCT1" s="16" t="s">
        <v>8985</v>
      </c>
      <c r="KCU1" s="16" t="s">
        <v>8986</v>
      </c>
      <c r="KCV1" s="16" t="s">
        <v>8987</v>
      </c>
      <c r="KCW1" s="16" t="s">
        <v>8988</v>
      </c>
      <c r="KCX1" s="16" t="s">
        <v>8989</v>
      </c>
      <c r="KCY1" s="16" t="s">
        <v>8990</v>
      </c>
      <c r="KCZ1" s="16" t="s">
        <v>8991</v>
      </c>
      <c r="KDA1" s="16" t="s">
        <v>8992</v>
      </c>
      <c r="KDB1" s="16" t="s">
        <v>8993</v>
      </c>
      <c r="KDC1" s="16" t="s">
        <v>8994</v>
      </c>
      <c r="KDD1" s="16" t="s">
        <v>8995</v>
      </c>
      <c r="KDE1" s="16" t="s">
        <v>8996</v>
      </c>
      <c r="KDF1" s="16" t="s">
        <v>8997</v>
      </c>
      <c r="KDG1" s="16" t="s">
        <v>8998</v>
      </c>
      <c r="KDH1" s="16" t="s">
        <v>8999</v>
      </c>
      <c r="KDI1" s="16" t="s">
        <v>9000</v>
      </c>
      <c r="KDJ1" s="16" t="s">
        <v>9001</v>
      </c>
      <c r="KDK1" s="16" t="s">
        <v>9002</v>
      </c>
      <c r="KDL1" s="16" t="s">
        <v>9003</v>
      </c>
      <c r="KDM1" s="16" t="s">
        <v>9004</v>
      </c>
      <c r="KDN1" s="16" t="s">
        <v>9005</v>
      </c>
      <c r="KDO1" s="16" t="s">
        <v>9006</v>
      </c>
      <c r="KDP1" s="16" t="s">
        <v>9007</v>
      </c>
      <c r="KDQ1" s="16" t="s">
        <v>9008</v>
      </c>
      <c r="KDR1" s="16" t="s">
        <v>9009</v>
      </c>
      <c r="KDS1" s="16" t="s">
        <v>9010</v>
      </c>
      <c r="KDT1" s="16" t="s">
        <v>9011</v>
      </c>
      <c r="KDU1" s="16" t="s">
        <v>9012</v>
      </c>
      <c r="KDV1" s="16" t="s">
        <v>9013</v>
      </c>
      <c r="KDW1" s="16" t="s">
        <v>9014</v>
      </c>
      <c r="KDX1" s="16" t="s">
        <v>9015</v>
      </c>
      <c r="KDY1" s="16" t="s">
        <v>9016</v>
      </c>
      <c r="KDZ1" s="16" t="s">
        <v>9017</v>
      </c>
      <c r="KEA1" s="16" t="s">
        <v>9018</v>
      </c>
      <c r="KEB1" s="16" t="s">
        <v>9019</v>
      </c>
      <c r="KEC1" s="16" t="s">
        <v>9020</v>
      </c>
      <c r="KED1" s="16" t="s">
        <v>9021</v>
      </c>
      <c r="KEE1" s="16" t="s">
        <v>9022</v>
      </c>
      <c r="KEF1" s="16" t="s">
        <v>9023</v>
      </c>
      <c r="KEG1" s="16" t="s">
        <v>9024</v>
      </c>
      <c r="KEH1" s="16" t="s">
        <v>9025</v>
      </c>
      <c r="KEI1" s="16" t="s">
        <v>9026</v>
      </c>
      <c r="KEJ1" s="16" t="s">
        <v>9027</v>
      </c>
      <c r="KEK1" s="16" t="s">
        <v>9028</v>
      </c>
      <c r="KEL1" s="16" t="s">
        <v>9029</v>
      </c>
      <c r="KEM1" s="16" t="s">
        <v>9030</v>
      </c>
      <c r="KEN1" s="16" t="s">
        <v>9031</v>
      </c>
      <c r="KEO1" s="16" t="s">
        <v>9032</v>
      </c>
      <c r="KEP1" s="16" t="s">
        <v>9033</v>
      </c>
      <c r="KEQ1" s="16" t="s">
        <v>9034</v>
      </c>
      <c r="KER1" s="16" t="s">
        <v>9035</v>
      </c>
      <c r="KES1" s="16" t="s">
        <v>9036</v>
      </c>
      <c r="KET1" s="16" t="s">
        <v>9037</v>
      </c>
      <c r="KEU1" s="16" t="s">
        <v>9038</v>
      </c>
      <c r="KEV1" s="16" t="s">
        <v>9039</v>
      </c>
      <c r="KEW1" s="16" t="s">
        <v>9040</v>
      </c>
      <c r="KEX1" s="16" t="s">
        <v>9041</v>
      </c>
      <c r="KEY1" s="16" t="s">
        <v>9042</v>
      </c>
      <c r="KEZ1" s="16" t="s">
        <v>9043</v>
      </c>
      <c r="KFA1" s="16" t="s">
        <v>9044</v>
      </c>
      <c r="KFB1" s="16" t="s">
        <v>9045</v>
      </c>
      <c r="KFC1" s="16" t="s">
        <v>9046</v>
      </c>
      <c r="KFD1" s="16" t="s">
        <v>9047</v>
      </c>
      <c r="KFE1" s="16" t="s">
        <v>9048</v>
      </c>
      <c r="KFF1" s="16" t="s">
        <v>9049</v>
      </c>
      <c r="KFG1" s="16" t="s">
        <v>9050</v>
      </c>
      <c r="KFH1" s="16" t="s">
        <v>9051</v>
      </c>
      <c r="KFI1" s="16" t="s">
        <v>9052</v>
      </c>
      <c r="KFJ1" s="16" t="s">
        <v>9053</v>
      </c>
      <c r="KFK1" s="16" t="s">
        <v>9054</v>
      </c>
      <c r="KFL1" s="16" t="s">
        <v>9055</v>
      </c>
      <c r="KFM1" s="16" t="s">
        <v>9056</v>
      </c>
      <c r="KFN1" s="16" t="s">
        <v>9057</v>
      </c>
      <c r="KFO1" s="16" t="s">
        <v>9058</v>
      </c>
      <c r="KFP1" s="16" t="s">
        <v>9059</v>
      </c>
      <c r="KFQ1" s="16" t="s">
        <v>9060</v>
      </c>
      <c r="KFR1" s="16" t="s">
        <v>9061</v>
      </c>
      <c r="KFS1" s="16" t="s">
        <v>9062</v>
      </c>
      <c r="KFT1" s="16" t="s">
        <v>9063</v>
      </c>
      <c r="KFU1" s="16" t="s">
        <v>9064</v>
      </c>
      <c r="KFV1" s="16" t="s">
        <v>9065</v>
      </c>
      <c r="KFW1" s="16" t="s">
        <v>9066</v>
      </c>
      <c r="KFX1" s="16" t="s">
        <v>9067</v>
      </c>
      <c r="KFY1" s="16" t="s">
        <v>9068</v>
      </c>
      <c r="KFZ1" s="16" t="s">
        <v>9069</v>
      </c>
      <c r="KGA1" s="16" t="s">
        <v>9070</v>
      </c>
      <c r="KGB1" s="16" t="s">
        <v>9071</v>
      </c>
      <c r="KGC1" s="16" t="s">
        <v>9072</v>
      </c>
      <c r="KGD1" s="16" t="s">
        <v>9073</v>
      </c>
      <c r="KGE1" s="16" t="s">
        <v>9074</v>
      </c>
      <c r="KGF1" s="16" t="s">
        <v>9075</v>
      </c>
      <c r="KGG1" s="16" t="s">
        <v>9076</v>
      </c>
      <c r="KGH1" s="16" t="s">
        <v>9077</v>
      </c>
      <c r="KGI1" s="16" t="s">
        <v>9078</v>
      </c>
      <c r="KGJ1" s="16" t="s">
        <v>9079</v>
      </c>
      <c r="KGK1" s="16" t="s">
        <v>9080</v>
      </c>
      <c r="KGL1" s="16" t="s">
        <v>9081</v>
      </c>
      <c r="KGM1" s="16" t="s">
        <v>9082</v>
      </c>
      <c r="KGN1" s="16" t="s">
        <v>9083</v>
      </c>
      <c r="KGO1" s="16" t="s">
        <v>9084</v>
      </c>
      <c r="KGP1" s="16" t="s">
        <v>9085</v>
      </c>
      <c r="KGQ1" s="16" t="s">
        <v>9086</v>
      </c>
      <c r="KGR1" s="16" t="s">
        <v>9087</v>
      </c>
      <c r="KGS1" s="16" t="s">
        <v>9088</v>
      </c>
      <c r="KGT1" s="16" t="s">
        <v>9089</v>
      </c>
      <c r="KGU1" s="16" t="s">
        <v>9090</v>
      </c>
      <c r="KGV1" s="16" t="s">
        <v>9091</v>
      </c>
      <c r="KGW1" s="16" t="s">
        <v>9092</v>
      </c>
      <c r="KGX1" s="16" t="s">
        <v>9093</v>
      </c>
      <c r="KGY1" s="16" t="s">
        <v>9094</v>
      </c>
      <c r="KGZ1" s="16" t="s">
        <v>9095</v>
      </c>
      <c r="KHA1" s="16" t="s">
        <v>9096</v>
      </c>
      <c r="KHB1" s="16" t="s">
        <v>9097</v>
      </c>
      <c r="KHC1" s="16" t="s">
        <v>9098</v>
      </c>
      <c r="KHD1" s="16" t="s">
        <v>9099</v>
      </c>
      <c r="KHE1" s="16" t="s">
        <v>9100</v>
      </c>
      <c r="KHF1" s="16" t="s">
        <v>9101</v>
      </c>
      <c r="KHG1" s="16" t="s">
        <v>9102</v>
      </c>
      <c r="KHH1" s="16" t="s">
        <v>9103</v>
      </c>
      <c r="KHI1" s="16" t="s">
        <v>9104</v>
      </c>
      <c r="KHJ1" s="16" t="s">
        <v>9105</v>
      </c>
      <c r="KHK1" s="16" t="s">
        <v>9106</v>
      </c>
      <c r="KHL1" s="16" t="s">
        <v>9107</v>
      </c>
      <c r="KHM1" s="16" t="s">
        <v>9108</v>
      </c>
      <c r="KHN1" s="16" t="s">
        <v>9109</v>
      </c>
      <c r="KHO1" s="16" t="s">
        <v>9110</v>
      </c>
      <c r="KHP1" s="16" t="s">
        <v>9111</v>
      </c>
      <c r="KHQ1" s="16" t="s">
        <v>9112</v>
      </c>
      <c r="KHR1" s="16" t="s">
        <v>9113</v>
      </c>
      <c r="KHS1" s="16" t="s">
        <v>9114</v>
      </c>
      <c r="KHT1" s="16" t="s">
        <v>9115</v>
      </c>
      <c r="KHU1" s="16" t="s">
        <v>9116</v>
      </c>
      <c r="KHV1" s="16" t="s">
        <v>9117</v>
      </c>
      <c r="KHW1" s="16" t="s">
        <v>9118</v>
      </c>
      <c r="KHX1" s="16" t="s">
        <v>9119</v>
      </c>
      <c r="KHY1" s="16" t="s">
        <v>9120</v>
      </c>
      <c r="KHZ1" s="16" t="s">
        <v>9121</v>
      </c>
      <c r="KIA1" s="16" t="s">
        <v>9122</v>
      </c>
      <c r="KIB1" s="16" t="s">
        <v>9123</v>
      </c>
      <c r="KIC1" s="16" t="s">
        <v>9124</v>
      </c>
      <c r="KID1" s="16" t="s">
        <v>9125</v>
      </c>
      <c r="KIE1" s="16" t="s">
        <v>9126</v>
      </c>
      <c r="KIF1" s="16" t="s">
        <v>9127</v>
      </c>
      <c r="KIG1" s="16" t="s">
        <v>9128</v>
      </c>
      <c r="KIH1" s="16" t="s">
        <v>9129</v>
      </c>
      <c r="KII1" s="16" t="s">
        <v>9130</v>
      </c>
      <c r="KIJ1" s="16" t="s">
        <v>9131</v>
      </c>
      <c r="KIK1" s="16" t="s">
        <v>9132</v>
      </c>
      <c r="KIL1" s="16" t="s">
        <v>9133</v>
      </c>
      <c r="KIM1" s="16" t="s">
        <v>9134</v>
      </c>
      <c r="KIN1" s="16" t="s">
        <v>9135</v>
      </c>
      <c r="KIO1" s="16" t="s">
        <v>9136</v>
      </c>
      <c r="KIP1" s="16" t="s">
        <v>9137</v>
      </c>
      <c r="KIQ1" s="16" t="s">
        <v>9138</v>
      </c>
      <c r="KIR1" s="16" t="s">
        <v>9139</v>
      </c>
      <c r="KIS1" s="16" t="s">
        <v>9140</v>
      </c>
      <c r="KIT1" s="16" t="s">
        <v>9141</v>
      </c>
      <c r="KIU1" s="16" t="s">
        <v>9142</v>
      </c>
      <c r="KIV1" s="16" t="s">
        <v>9143</v>
      </c>
      <c r="KIW1" s="16" t="s">
        <v>9144</v>
      </c>
      <c r="KIX1" s="16" t="s">
        <v>9145</v>
      </c>
      <c r="KIY1" s="16" t="s">
        <v>9146</v>
      </c>
      <c r="KIZ1" s="16" t="s">
        <v>9147</v>
      </c>
      <c r="KJA1" s="16" t="s">
        <v>9148</v>
      </c>
      <c r="KJB1" s="16" t="s">
        <v>9149</v>
      </c>
      <c r="KJC1" s="16" t="s">
        <v>9150</v>
      </c>
      <c r="KJD1" s="16" t="s">
        <v>9151</v>
      </c>
      <c r="KJE1" s="16" t="s">
        <v>9152</v>
      </c>
      <c r="KJF1" s="16" t="s">
        <v>9153</v>
      </c>
      <c r="KJG1" s="16" t="s">
        <v>9154</v>
      </c>
      <c r="KJH1" s="16" t="s">
        <v>9155</v>
      </c>
      <c r="KJI1" s="16" t="s">
        <v>9156</v>
      </c>
      <c r="KJJ1" s="16" t="s">
        <v>9157</v>
      </c>
      <c r="KJK1" s="16" t="s">
        <v>9158</v>
      </c>
      <c r="KJL1" s="16" t="s">
        <v>9159</v>
      </c>
      <c r="KJM1" s="16" t="s">
        <v>9160</v>
      </c>
      <c r="KJN1" s="16" t="s">
        <v>9161</v>
      </c>
      <c r="KJO1" s="16" t="s">
        <v>9162</v>
      </c>
      <c r="KJP1" s="16" t="s">
        <v>9163</v>
      </c>
      <c r="KJQ1" s="16" t="s">
        <v>9164</v>
      </c>
      <c r="KJR1" s="16" t="s">
        <v>9165</v>
      </c>
      <c r="KJS1" s="16" t="s">
        <v>9166</v>
      </c>
      <c r="KJT1" s="16" t="s">
        <v>9167</v>
      </c>
      <c r="KJU1" s="16" t="s">
        <v>9168</v>
      </c>
      <c r="KJV1" s="16" t="s">
        <v>9169</v>
      </c>
      <c r="KJW1" s="16" t="s">
        <v>9170</v>
      </c>
      <c r="KJX1" s="16" t="s">
        <v>9171</v>
      </c>
      <c r="KJY1" s="16" t="s">
        <v>9172</v>
      </c>
      <c r="KJZ1" s="16" t="s">
        <v>9173</v>
      </c>
      <c r="KKA1" s="16" t="s">
        <v>9174</v>
      </c>
      <c r="KKB1" s="16" t="s">
        <v>9175</v>
      </c>
      <c r="KKC1" s="16" t="s">
        <v>9176</v>
      </c>
      <c r="KKD1" s="16" t="s">
        <v>9177</v>
      </c>
      <c r="KKE1" s="16" t="s">
        <v>9178</v>
      </c>
      <c r="KKF1" s="16" t="s">
        <v>9179</v>
      </c>
      <c r="KKG1" s="16" t="s">
        <v>9180</v>
      </c>
      <c r="KKH1" s="16" t="s">
        <v>9181</v>
      </c>
      <c r="KKI1" s="16" t="s">
        <v>9182</v>
      </c>
      <c r="KKJ1" s="16" t="s">
        <v>9183</v>
      </c>
      <c r="KKK1" s="16" t="s">
        <v>9184</v>
      </c>
      <c r="KKL1" s="16" t="s">
        <v>9185</v>
      </c>
      <c r="KKM1" s="16" t="s">
        <v>9186</v>
      </c>
      <c r="KKN1" s="16" t="s">
        <v>9187</v>
      </c>
      <c r="KKO1" s="16" t="s">
        <v>9188</v>
      </c>
      <c r="KKP1" s="16" t="s">
        <v>9189</v>
      </c>
      <c r="KKQ1" s="16" t="s">
        <v>9190</v>
      </c>
      <c r="KKR1" s="16" t="s">
        <v>9191</v>
      </c>
      <c r="KKS1" s="16" t="s">
        <v>9192</v>
      </c>
      <c r="KKT1" s="16" t="s">
        <v>9193</v>
      </c>
      <c r="KKU1" s="16" t="s">
        <v>9194</v>
      </c>
      <c r="KKV1" s="16" t="s">
        <v>9195</v>
      </c>
      <c r="KKW1" s="16" t="s">
        <v>9196</v>
      </c>
      <c r="KKX1" s="16" t="s">
        <v>9197</v>
      </c>
      <c r="KKY1" s="16" t="s">
        <v>9198</v>
      </c>
      <c r="KKZ1" s="16" t="s">
        <v>9199</v>
      </c>
      <c r="KLA1" s="16" t="s">
        <v>9200</v>
      </c>
      <c r="KLB1" s="16" t="s">
        <v>9201</v>
      </c>
      <c r="KLC1" s="16" t="s">
        <v>9202</v>
      </c>
      <c r="KLD1" s="16" t="s">
        <v>9203</v>
      </c>
      <c r="KLE1" s="16" t="s">
        <v>9204</v>
      </c>
      <c r="KLF1" s="16" t="s">
        <v>9205</v>
      </c>
      <c r="KLG1" s="16" t="s">
        <v>9206</v>
      </c>
      <c r="KLH1" s="16" t="s">
        <v>9207</v>
      </c>
      <c r="KLI1" s="16" t="s">
        <v>9208</v>
      </c>
      <c r="KLJ1" s="16" t="s">
        <v>9209</v>
      </c>
      <c r="KLK1" s="16" t="s">
        <v>9210</v>
      </c>
      <c r="KLL1" s="16" t="s">
        <v>9211</v>
      </c>
      <c r="KLM1" s="16" t="s">
        <v>9212</v>
      </c>
      <c r="KLN1" s="16" t="s">
        <v>9213</v>
      </c>
      <c r="KLO1" s="16" t="s">
        <v>9214</v>
      </c>
      <c r="KLP1" s="16" t="s">
        <v>9215</v>
      </c>
      <c r="KLQ1" s="16" t="s">
        <v>9216</v>
      </c>
      <c r="KLR1" s="16" t="s">
        <v>9217</v>
      </c>
      <c r="KLS1" s="16" t="s">
        <v>9218</v>
      </c>
      <c r="KLT1" s="16" t="s">
        <v>9219</v>
      </c>
      <c r="KLU1" s="16" t="s">
        <v>9220</v>
      </c>
      <c r="KLV1" s="16" t="s">
        <v>9221</v>
      </c>
      <c r="KLW1" s="16" t="s">
        <v>9222</v>
      </c>
      <c r="KLX1" s="16" t="s">
        <v>9223</v>
      </c>
      <c r="KLY1" s="16" t="s">
        <v>9224</v>
      </c>
      <c r="KLZ1" s="16" t="s">
        <v>9225</v>
      </c>
      <c r="KMA1" s="16" t="s">
        <v>9226</v>
      </c>
      <c r="KMB1" s="16" t="s">
        <v>9227</v>
      </c>
      <c r="KMC1" s="16" t="s">
        <v>9228</v>
      </c>
      <c r="KMD1" s="16" t="s">
        <v>9229</v>
      </c>
      <c r="KME1" s="16" t="s">
        <v>9230</v>
      </c>
      <c r="KMF1" s="16" t="s">
        <v>9231</v>
      </c>
      <c r="KMG1" s="16" t="s">
        <v>9232</v>
      </c>
      <c r="KMH1" s="16" t="s">
        <v>9233</v>
      </c>
      <c r="KMI1" s="16" t="s">
        <v>9234</v>
      </c>
      <c r="KMJ1" s="16" t="s">
        <v>9235</v>
      </c>
      <c r="KMK1" s="16" t="s">
        <v>9236</v>
      </c>
      <c r="KML1" s="16" t="s">
        <v>9237</v>
      </c>
      <c r="KMM1" s="16" t="s">
        <v>9238</v>
      </c>
      <c r="KMN1" s="16" t="s">
        <v>9239</v>
      </c>
      <c r="KMO1" s="16" t="s">
        <v>9240</v>
      </c>
      <c r="KMP1" s="16" t="s">
        <v>9241</v>
      </c>
      <c r="KMQ1" s="16" t="s">
        <v>9242</v>
      </c>
      <c r="KMR1" s="16" t="s">
        <v>9243</v>
      </c>
      <c r="KMS1" s="16" t="s">
        <v>9244</v>
      </c>
      <c r="KMT1" s="16" t="s">
        <v>9245</v>
      </c>
      <c r="KMU1" s="16" t="s">
        <v>9246</v>
      </c>
      <c r="KMV1" s="16" t="s">
        <v>9247</v>
      </c>
      <c r="KMW1" s="16" t="s">
        <v>9248</v>
      </c>
      <c r="KMX1" s="16" t="s">
        <v>9249</v>
      </c>
      <c r="KMY1" s="16" t="s">
        <v>9250</v>
      </c>
      <c r="KMZ1" s="16" t="s">
        <v>9251</v>
      </c>
      <c r="KNA1" s="16" t="s">
        <v>9252</v>
      </c>
      <c r="KNB1" s="16" t="s">
        <v>9253</v>
      </c>
      <c r="KNC1" s="16" t="s">
        <v>9254</v>
      </c>
      <c r="KND1" s="16" t="s">
        <v>9255</v>
      </c>
      <c r="KNE1" s="16" t="s">
        <v>9256</v>
      </c>
      <c r="KNF1" s="16" t="s">
        <v>9257</v>
      </c>
      <c r="KNG1" s="16" t="s">
        <v>9258</v>
      </c>
      <c r="KNH1" s="16" t="s">
        <v>9259</v>
      </c>
      <c r="KNI1" s="16" t="s">
        <v>9260</v>
      </c>
      <c r="KNJ1" s="16" t="s">
        <v>9261</v>
      </c>
      <c r="KNK1" s="16" t="s">
        <v>9262</v>
      </c>
      <c r="KNL1" s="16" t="s">
        <v>9263</v>
      </c>
      <c r="KNM1" s="16" t="s">
        <v>9264</v>
      </c>
      <c r="KNN1" s="16" t="s">
        <v>9265</v>
      </c>
      <c r="KNO1" s="16" t="s">
        <v>9266</v>
      </c>
      <c r="KNP1" s="16" t="s">
        <v>9267</v>
      </c>
      <c r="KNQ1" s="16" t="s">
        <v>9268</v>
      </c>
      <c r="KNR1" s="16" t="s">
        <v>9269</v>
      </c>
      <c r="KNS1" s="16" t="s">
        <v>9270</v>
      </c>
      <c r="KNT1" s="16" t="s">
        <v>9271</v>
      </c>
      <c r="KNU1" s="16" t="s">
        <v>9272</v>
      </c>
      <c r="KNV1" s="16" t="s">
        <v>9273</v>
      </c>
      <c r="KNW1" s="16" t="s">
        <v>9274</v>
      </c>
      <c r="KNX1" s="16" t="s">
        <v>9275</v>
      </c>
      <c r="KNY1" s="16" t="s">
        <v>9276</v>
      </c>
      <c r="KNZ1" s="16" t="s">
        <v>9277</v>
      </c>
      <c r="KOA1" s="16" t="s">
        <v>9278</v>
      </c>
      <c r="KOB1" s="16" t="s">
        <v>9279</v>
      </c>
      <c r="KOC1" s="16" t="s">
        <v>9280</v>
      </c>
      <c r="KOD1" s="16" t="s">
        <v>9281</v>
      </c>
      <c r="KOE1" s="16" t="s">
        <v>9282</v>
      </c>
      <c r="KOF1" s="16" t="s">
        <v>9283</v>
      </c>
      <c r="KOG1" s="16" t="s">
        <v>9284</v>
      </c>
      <c r="KOH1" s="16" t="s">
        <v>9285</v>
      </c>
      <c r="KOI1" s="16" t="s">
        <v>9286</v>
      </c>
      <c r="KOJ1" s="16" t="s">
        <v>9287</v>
      </c>
      <c r="KOK1" s="16" t="s">
        <v>9288</v>
      </c>
      <c r="KOL1" s="16" t="s">
        <v>9289</v>
      </c>
      <c r="KOM1" s="16" t="s">
        <v>9290</v>
      </c>
      <c r="KON1" s="16" t="s">
        <v>9291</v>
      </c>
      <c r="KOO1" s="16" t="s">
        <v>9292</v>
      </c>
      <c r="KOP1" s="16" t="s">
        <v>9293</v>
      </c>
      <c r="KOQ1" s="16" t="s">
        <v>9294</v>
      </c>
      <c r="KOR1" s="16" t="s">
        <v>9295</v>
      </c>
      <c r="KOS1" s="16" t="s">
        <v>9296</v>
      </c>
      <c r="KOT1" s="16" t="s">
        <v>9297</v>
      </c>
      <c r="KOU1" s="16" t="s">
        <v>9298</v>
      </c>
      <c r="KOV1" s="16" t="s">
        <v>9299</v>
      </c>
      <c r="KOW1" s="16" t="s">
        <v>9300</v>
      </c>
      <c r="KOX1" s="16" t="s">
        <v>9301</v>
      </c>
      <c r="KOY1" s="16" t="s">
        <v>9302</v>
      </c>
      <c r="KOZ1" s="16" t="s">
        <v>9303</v>
      </c>
      <c r="KPA1" s="16" t="s">
        <v>9304</v>
      </c>
      <c r="KPB1" s="16" t="s">
        <v>9305</v>
      </c>
      <c r="KPC1" s="16" t="s">
        <v>9306</v>
      </c>
      <c r="KPD1" s="16" t="s">
        <v>9307</v>
      </c>
      <c r="KPE1" s="16" t="s">
        <v>9308</v>
      </c>
      <c r="KPF1" s="16" t="s">
        <v>9309</v>
      </c>
      <c r="KPG1" s="16" t="s">
        <v>9310</v>
      </c>
      <c r="KPH1" s="16" t="s">
        <v>9311</v>
      </c>
      <c r="KPI1" s="16" t="s">
        <v>9312</v>
      </c>
      <c r="KPJ1" s="16" t="s">
        <v>9313</v>
      </c>
      <c r="KPK1" s="16" t="s">
        <v>9314</v>
      </c>
      <c r="KPL1" s="16" t="s">
        <v>9315</v>
      </c>
      <c r="KPM1" s="16" t="s">
        <v>9316</v>
      </c>
      <c r="KPN1" s="16" t="s">
        <v>9317</v>
      </c>
      <c r="KPO1" s="16" t="s">
        <v>9318</v>
      </c>
      <c r="KPP1" s="16" t="s">
        <v>9319</v>
      </c>
      <c r="KPQ1" s="16" t="s">
        <v>9320</v>
      </c>
      <c r="KPR1" s="16" t="s">
        <v>9321</v>
      </c>
      <c r="KPS1" s="16" t="s">
        <v>9322</v>
      </c>
      <c r="KPT1" s="16" t="s">
        <v>9323</v>
      </c>
      <c r="KPU1" s="16" t="s">
        <v>9324</v>
      </c>
      <c r="KPV1" s="16" t="s">
        <v>9325</v>
      </c>
      <c r="KPW1" s="16" t="s">
        <v>9326</v>
      </c>
      <c r="KPX1" s="16" t="s">
        <v>9327</v>
      </c>
      <c r="KPY1" s="16" t="s">
        <v>9328</v>
      </c>
      <c r="KPZ1" s="16" t="s">
        <v>9329</v>
      </c>
      <c r="KQA1" s="16" t="s">
        <v>9330</v>
      </c>
      <c r="KQB1" s="16" t="s">
        <v>9331</v>
      </c>
      <c r="KQC1" s="16" t="s">
        <v>9332</v>
      </c>
      <c r="KQD1" s="16" t="s">
        <v>9333</v>
      </c>
      <c r="KQE1" s="16" t="s">
        <v>9334</v>
      </c>
      <c r="KQF1" s="16" t="s">
        <v>9335</v>
      </c>
      <c r="KQG1" s="16" t="s">
        <v>9336</v>
      </c>
      <c r="KQH1" s="16" t="s">
        <v>9337</v>
      </c>
      <c r="KQI1" s="16" t="s">
        <v>9338</v>
      </c>
      <c r="KQJ1" s="16" t="s">
        <v>9339</v>
      </c>
      <c r="KQK1" s="16" t="s">
        <v>9340</v>
      </c>
      <c r="KQL1" s="16" t="s">
        <v>9341</v>
      </c>
      <c r="KQM1" s="16" t="s">
        <v>9342</v>
      </c>
      <c r="KQN1" s="16" t="s">
        <v>9343</v>
      </c>
      <c r="KQO1" s="16" t="s">
        <v>9344</v>
      </c>
      <c r="KQP1" s="16" t="s">
        <v>9345</v>
      </c>
      <c r="KQQ1" s="16" t="s">
        <v>9346</v>
      </c>
      <c r="KQR1" s="16" t="s">
        <v>9347</v>
      </c>
      <c r="KQS1" s="16" t="s">
        <v>9348</v>
      </c>
      <c r="KQT1" s="16" t="s">
        <v>9349</v>
      </c>
      <c r="KQU1" s="16" t="s">
        <v>9350</v>
      </c>
      <c r="KQV1" s="16" t="s">
        <v>9351</v>
      </c>
      <c r="KQW1" s="16" t="s">
        <v>9352</v>
      </c>
      <c r="KQX1" s="16" t="s">
        <v>9353</v>
      </c>
      <c r="KQY1" s="16" t="s">
        <v>9354</v>
      </c>
      <c r="KQZ1" s="16" t="s">
        <v>9355</v>
      </c>
      <c r="KRA1" s="16" t="s">
        <v>9356</v>
      </c>
      <c r="KRB1" s="16" t="s">
        <v>9357</v>
      </c>
      <c r="KRC1" s="16" t="s">
        <v>9358</v>
      </c>
      <c r="KRD1" s="16" t="s">
        <v>9359</v>
      </c>
      <c r="KRE1" s="16" t="s">
        <v>9360</v>
      </c>
      <c r="KRF1" s="16" t="s">
        <v>9361</v>
      </c>
      <c r="KRG1" s="16" t="s">
        <v>9362</v>
      </c>
      <c r="KRH1" s="16" t="s">
        <v>9363</v>
      </c>
      <c r="KRI1" s="16" t="s">
        <v>9364</v>
      </c>
      <c r="KRJ1" s="16" t="s">
        <v>9365</v>
      </c>
      <c r="KRK1" s="16" t="s">
        <v>9366</v>
      </c>
      <c r="KRL1" s="16" t="s">
        <v>9367</v>
      </c>
      <c r="KRM1" s="16" t="s">
        <v>9368</v>
      </c>
      <c r="KRN1" s="16" t="s">
        <v>9369</v>
      </c>
      <c r="KRO1" s="16" t="s">
        <v>9370</v>
      </c>
      <c r="KRP1" s="16" t="s">
        <v>9371</v>
      </c>
      <c r="KRQ1" s="16" t="s">
        <v>9372</v>
      </c>
      <c r="KRR1" s="16" t="s">
        <v>9373</v>
      </c>
      <c r="KRS1" s="16" t="s">
        <v>9374</v>
      </c>
      <c r="KRT1" s="16" t="s">
        <v>9375</v>
      </c>
      <c r="KRU1" s="16" t="s">
        <v>9376</v>
      </c>
      <c r="KRV1" s="16" t="s">
        <v>9377</v>
      </c>
      <c r="KRW1" s="16" t="s">
        <v>9378</v>
      </c>
      <c r="KRX1" s="16" t="s">
        <v>9379</v>
      </c>
      <c r="KRY1" s="16" t="s">
        <v>9380</v>
      </c>
      <c r="KRZ1" s="16" t="s">
        <v>9381</v>
      </c>
      <c r="KSA1" s="16" t="s">
        <v>9382</v>
      </c>
      <c r="KSB1" s="16" t="s">
        <v>9383</v>
      </c>
      <c r="KSC1" s="16" t="s">
        <v>9384</v>
      </c>
      <c r="KSD1" s="16" t="s">
        <v>9385</v>
      </c>
      <c r="KSE1" s="16" t="s">
        <v>9386</v>
      </c>
      <c r="KSF1" s="16" t="s">
        <v>9387</v>
      </c>
      <c r="KSG1" s="16" t="s">
        <v>9388</v>
      </c>
      <c r="KSH1" s="16" t="s">
        <v>9389</v>
      </c>
      <c r="KSI1" s="16" t="s">
        <v>9390</v>
      </c>
      <c r="KSJ1" s="16" t="s">
        <v>9391</v>
      </c>
      <c r="KSK1" s="16" t="s">
        <v>9392</v>
      </c>
      <c r="KSL1" s="16" t="s">
        <v>9393</v>
      </c>
      <c r="KSM1" s="16" t="s">
        <v>9394</v>
      </c>
      <c r="KSN1" s="16" t="s">
        <v>9395</v>
      </c>
      <c r="KSO1" s="16" t="s">
        <v>9396</v>
      </c>
      <c r="KSP1" s="16" t="s">
        <v>9397</v>
      </c>
      <c r="KSQ1" s="16" t="s">
        <v>9398</v>
      </c>
      <c r="KSR1" s="16" t="s">
        <v>9399</v>
      </c>
      <c r="KSS1" s="16" t="s">
        <v>9400</v>
      </c>
      <c r="KST1" s="16" t="s">
        <v>9401</v>
      </c>
      <c r="KSU1" s="16" t="s">
        <v>9402</v>
      </c>
      <c r="KSV1" s="16" t="s">
        <v>9403</v>
      </c>
      <c r="KSW1" s="16" t="s">
        <v>9404</v>
      </c>
      <c r="KSX1" s="16" t="s">
        <v>9405</v>
      </c>
      <c r="KSY1" s="16" t="s">
        <v>9406</v>
      </c>
      <c r="KSZ1" s="16" t="s">
        <v>9407</v>
      </c>
      <c r="KTA1" s="16" t="s">
        <v>9408</v>
      </c>
      <c r="KTB1" s="16" t="s">
        <v>9409</v>
      </c>
      <c r="KTC1" s="16" t="s">
        <v>9410</v>
      </c>
      <c r="KTD1" s="16" t="s">
        <v>9411</v>
      </c>
      <c r="KTE1" s="16" t="s">
        <v>9412</v>
      </c>
      <c r="KTF1" s="16" t="s">
        <v>9413</v>
      </c>
      <c r="KTG1" s="16" t="s">
        <v>9414</v>
      </c>
      <c r="KTH1" s="16" t="s">
        <v>9415</v>
      </c>
      <c r="KTI1" s="16" t="s">
        <v>9416</v>
      </c>
      <c r="KTJ1" s="16" t="s">
        <v>9417</v>
      </c>
      <c r="KTK1" s="16" t="s">
        <v>9418</v>
      </c>
      <c r="KTL1" s="16" t="s">
        <v>9419</v>
      </c>
      <c r="KTM1" s="16" t="s">
        <v>9420</v>
      </c>
      <c r="KTN1" s="16" t="s">
        <v>9421</v>
      </c>
      <c r="KTO1" s="16" t="s">
        <v>9422</v>
      </c>
      <c r="KTP1" s="16" t="s">
        <v>9423</v>
      </c>
      <c r="KTQ1" s="16" t="s">
        <v>9424</v>
      </c>
      <c r="KTR1" s="16" t="s">
        <v>9425</v>
      </c>
      <c r="KTS1" s="16" t="s">
        <v>9426</v>
      </c>
      <c r="KTT1" s="16" t="s">
        <v>9427</v>
      </c>
      <c r="KTU1" s="16" t="s">
        <v>9428</v>
      </c>
      <c r="KTV1" s="16" t="s">
        <v>9429</v>
      </c>
      <c r="KTW1" s="16" t="s">
        <v>9430</v>
      </c>
      <c r="KTX1" s="16" t="s">
        <v>9431</v>
      </c>
      <c r="KTY1" s="16" t="s">
        <v>9432</v>
      </c>
      <c r="KTZ1" s="16" t="s">
        <v>9433</v>
      </c>
      <c r="KUA1" s="16" t="s">
        <v>9434</v>
      </c>
      <c r="KUB1" s="16" t="s">
        <v>9435</v>
      </c>
      <c r="KUC1" s="16" t="s">
        <v>9436</v>
      </c>
      <c r="KUD1" s="16" t="s">
        <v>9437</v>
      </c>
      <c r="KUE1" s="16" t="s">
        <v>9438</v>
      </c>
      <c r="KUF1" s="16" t="s">
        <v>9439</v>
      </c>
      <c r="KUG1" s="16" t="s">
        <v>9440</v>
      </c>
      <c r="KUH1" s="16" t="s">
        <v>9441</v>
      </c>
      <c r="KUI1" s="16" t="s">
        <v>9442</v>
      </c>
      <c r="KUJ1" s="16" t="s">
        <v>9443</v>
      </c>
      <c r="KUK1" s="16" t="s">
        <v>9444</v>
      </c>
      <c r="KUL1" s="16" t="s">
        <v>9445</v>
      </c>
      <c r="KUM1" s="16" t="s">
        <v>9446</v>
      </c>
      <c r="KUN1" s="16" t="s">
        <v>9447</v>
      </c>
      <c r="KUO1" s="16" t="s">
        <v>9448</v>
      </c>
      <c r="KUP1" s="16" t="s">
        <v>9449</v>
      </c>
      <c r="KUQ1" s="16" t="s">
        <v>9450</v>
      </c>
      <c r="KUR1" s="16" t="s">
        <v>9451</v>
      </c>
      <c r="KUS1" s="16" t="s">
        <v>9452</v>
      </c>
      <c r="KUT1" s="16" t="s">
        <v>9453</v>
      </c>
      <c r="KUU1" s="16" t="s">
        <v>9454</v>
      </c>
      <c r="KUV1" s="16" t="s">
        <v>9455</v>
      </c>
      <c r="KUW1" s="16" t="s">
        <v>9456</v>
      </c>
      <c r="KUX1" s="16" t="s">
        <v>9457</v>
      </c>
      <c r="KUY1" s="16" t="s">
        <v>9458</v>
      </c>
      <c r="KUZ1" s="16" t="s">
        <v>9459</v>
      </c>
      <c r="KVA1" s="16" t="s">
        <v>9460</v>
      </c>
      <c r="KVB1" s="16" t="s">
        <v>9461</v>
      </c>
      <c r="KVC1" s="16" t="s">
        <v>9462</v>
      </c>
      <c r="KVD1" s="16" t="s">
        <v>9463</v>
      </c>
      <c r="KVE1" s="16" t="s">
        <v>9464</v>
      </c>
      <c r="KVF1" s="16" t="s">
        <v>9465</v>
      </c>
      <c r="KVG1" s="16" t="s">
        <v>9466</v>
      </c>
      <c r="KVH1" s="16" t="s">
        <v>9467</v>
      </c>
      <c r="KVI1" s="16" t="s">
        <v>9468</v>
      </c>
      <c r="KVJ1" s="16" t="s">
        <v>9469</v>
      </c>
      <c r="KVK1" s="16" t="s">
        <v>9470</v>
      </c>
      <c r="KVL1" s="16" t="s">
        <v>9471</v>
      </c>
      <c r="KVM1" s="16" t="s">
        <v>9472</v>
      </c>
      <c r="KVN1" s="16" t="s">
        <v>9473</v>
      </c>
      <c r="KVO1" s="16" t="s">
        <v>9474</v>
      </c>
      <c r="KVP1" s="16" t="s">
        <v>9475</v>
      </c>
      <c r="KVQ1" s="16" t="s">
        <v>9476</v>
      </c>
      <c r="KVR1" s="16" t="s">
        <v>9477</v>
      </c>
      <c r="KVS1" s="16" t="s">
        <v>9478</v>
      </c>
      <c r="KVT1" s="16" t="s">
        <v>9479</v>
      </c>
      <c r="KVU1" s="16" t="s">
        <v>9480</v>
      </c>
      <c r="KVV1" s="16" t="s">
        <v>9481</v>
      </c>
      <c r="KVW1" s="16" t="s">
        <v>9482</v>
      </c>
      <c r="KVX1" s="16" t="s">
        <v>9483</v>
      </c>
      <c r="KVY1" s="16" t="s">
        <v>9484</v>
      </c>
      <c r="KVZ1" s="16" t="s">
        <v>9485</v>
      </c>
      <c r="KWA1" s="16" t="s">
        <v>9486</v>
      </c>
      <c r="KWB1" s="16" t="s">
        <v>9487</v>
      </c>
      <c r="KWC1" s="16" t="s">
        <v>9488</v>
      </c>
      <c r="KWD1" s="16" t="s">
        <v>9489</v>
      </c>
      <c r="KWE1" s="16" t="s">
        <v>9490</v>
      </c>
      <c r="KWF1" s="16" t="s">
        <v>9491</v>
      </c>
      <c r="KWG1" s="16" t="s">
        <v>9492</v>
      </c>
      <c r="KWH1" s="16" t="s">
        <v>9493</v>
      </c>
      <c r="KWI1" s="16" t="s">
        <v>9494</v>
      </c>
      <c r="KWJ1" s="16" t="s">
        <v>9495</v>
      </c>
      <c r="KWK1" s="16" t="s">
        <v>9496</v>
      </c>
      <c r="KWL1" s="16" t="s">
        <v>9497</v>
      </c>
      <c r="KWM1" s="16" t="s">
        <v>9498</v>
      </c>
      <c r="KWN1" s="16" t="s">
        <v>9499</v>
      </c>
      <c r="KWO1" s="16" t="s">
        <v>9500</v>
      </c>
      <c r="KWP1" s="16" t="s">
        <v>9501</v>
      </c>
      <c r="KWQ1" s="16" t="s">
        <v>9502</v>
      </c>
      <c r="KWR1" s="16" t="s">
        <v>9503</v>
      </c>
      <c r="KWS1" s="16" t="s">
        <v>9504</v>
      </c>
      <c r="KWT1" s="16" t="s">
        <v>9505</v>
      </c>
      <c r="KWU1" s="16" t="s">
        <v>9506</v>
      </c>
      <c r="KWV1" s="16" t="s">
        <v>9507</v>
      </c>
      <c r="KWW1" s="16" t="s">
        <v>9508</v>
      </c>
      <c r="KWX1" s="16" t="s">
        <v>9509</v>
      </c>
      <c r="KWY1" s="16" t="s">
        <v>9510</v>
      </c>
      <c r="KWZ1" s="16" t="s">
        <v>9511</v>
      </c>
      <c r="KXA1" s="16" t="s">
        <v>9512</v>
      </c>
      <c r="KXB1" s="16" t="s">
        <v>9513</v>
      </c>
      <c r="KXC1" s="16" t="s">
        <v>9514</v>
      </c>
      <c r="KXD1" s="16" t="s">
        <v>9515</v>
      </c>
      <c r="KXE1" s="16" t="s">
        <v>9516</v>
      </c>
      <c r="KXF1" s="16" t="s">
        <v>9517</v>
      </c>
      <c r="KXG1" s="16" t="s">
        <v>9518</v>
      </c>
      <c r="KXH1" s="16" t="s">
        <v>9519</v>
      </c>
      <c r="KXI1" s="16" t="s">
        <v>9520</v>
      </c>
      <c r="KXJ1" s="16" t="s">
        <v>9521</v>
      </c>
      <c r="KXK1" s="16" t="s">
        <v>9522</v>
      </c>
      <c r="KXL1" s="16" t="s">
        <v>9523</v>
      </c>
      <c r="KXM1" s="16" t="s">
        <v>9524</v>
      </c>
      <c r="KXN1" s="16" t="s">
        <v>9525</v>
      </c>
      <c r="KXO1" s="16" t="s">
        <v>9526</v>
      </c>
      <c r="KXP1" s="16" t="s">
        <v>9527</v>
      </c>
      <c r="KXQ1" s="16" t="s">
        <v>9528</v>
      </c>
      <c r="KXR1" s="16" t="s">
        <v>9529</v>
      </c>
      <c r="KXS1" s="16" t="s">
        <v>9530</v>
      </c>
      <c r="KXT1" s="16" t="s">
        <v>9531</v>
      </c>
      <c r="KXU1" s="16" t="s">
        <v>9532</v>
      </c>
      <c r="KXV1" s="16" t="s">
        <v>9533</v>
      </c>
      <c r="KXW1" s="16" t="s">
        <v>9534</v>
      </c>
      <c r="KXX1" s="16" t="s">
        <v>9535</v>
      </c>
      <c r="KXY1" s="16" t="s">
        <v>9536</v>
      </c>
      <c r="KXZ1" s="16" t="s">
        <v>9537</v>
      </c>
      <c r="KYA1" s="16" t="s">
        <v>9538</v>
      </c>
      <c r="KYB1" s="16" t="s">
        <v>9539</v>
      </c>
      <c r="KYC1" s="16" t="s">
        <v>9540</v>
      </c>
      <c r="KYD1" s="16" t="s">
        <v>9541</v>
      </c>
      <c r="KYE1" s="16" t="s">
        <v>9542</v>
      </c>
      <c r="KYF1" s="16" t="s">
        <v>9543</v>
      </c>
      <c r="KYG1" s="16" t="s">
        <v>9544</v>
      </c>
      <c r="KYH1" s="16" t="s">
        <v>9545</v>
      </c>
      <c r="KYI1" s="16" t="s">
        <v>9546</v>
      </c>
      <c r="KYJ1" s="16" t="s">
        <v>9547</v>
      </c>
      <c r="KYK1" s="16" t="s">
        <v>9548</v>
      </c>
      <c r="KYL1" s="16" t="s">
        <v>9549</v>
      </c>
      <c r="KYM1" s="16" t="s">
        <v>9550</v>
      </c>
      <c r="KYN1" s="16" t="s">
        <v>9551</v>
      </c>
      <c r="KYO1" s="16" t="s">
        <v>9552</v>
      </c>
      <c r="KYP1" s="16" t="s">
        <v>9553</v>
      </c>
      <c r="KYQ1" s="16" t="s">
        <v>9554</v>
      </c>
      <c r="KYR1" s="16" t="s">
        <v>9555</v>
      </c>
      <c r="KYS1" s="16" t="s">
        <v>9556</v>
      </c>
      <c r="KYT1" s="16" t="s">
        <v>9557</v>
      </c>
      <c r="KYU1" s="16" t="s">
        <v>9558</v>
      </c>
      <c r="KYV1" s="16" t="s">
        <v>9559</v>
      </c>
      <c r="KYW1" s="16" t="s">
        <v>9560</v>
      </c>
      <c r="KYX1" s="16" t="s">
        <v>9561</v>
      </c>
      <c r="KYY1" s="16" t="s">
        <v>9562</v>
      </c>
      <c r="KYZ1" s="16" t="s">
        <v>9563</v>
      </c>
      <c r="KZA1" s="16" t="s">
        <v>9564</v>
      </c>
      <c r="KZB1" s="16" t="s">
        <v>9565</v>
      </c>
      <c r="KZC1" s="16" t="s">
        <v>9566</v>
      </c>
      <c r="KZD1" s="16" t="s">
        <v>9567</v>
      </c>
      <c r="KZE1" s="16" t="s">
        <v>9568</v>
      </c>
      <c r="KZF1" s="16" t="s">
        <v>9569</v>
      </c>
      <c r="KZG1" s="16" t="s">
        <v>9570</v>
      </c>
      <c r="KZH1" s="16" t="s">
        <v>9571</v>
      </c>
      <c r="KZI1" s="16" t="s">
        <v>9572</v>
      </c>
      <c r="KZJ1" s="16" t="s">
        <v>9573</v>
      </c>
      <c r="KZK1" s="16" t="s">
        <v>9574</v>
      </c>
      <c r="KZL1" s="16" t="s">
        <v>9575</v>
      </c>
      <c r="KZM1" s="16" t="s">
        <v>9576</v>
      </c>
      <c r="KZN1" s="16" t="s">
        <v>9577</v>
      </c>
      <c r="KZO1" s="16" t="s">
        <v>9578</v>
      </c>
      <c r="KZP1" s="16" t="s">
        <v>9579</v>
      </c>
      <c r="KZQ1" s="16" t="s">
        <v>9580</v>
      </c>
      <c r="KZR1" s="16" t="s">
        <v>9581</v>
      </c>
      <c r="KZS1" s="16" t="s">
        <v>9582</v>
      </c>
      <c r="KZT1" s="16" t="s">
        <v>9583</v>
      </c>
      <c r="KZU1" s="16" t="s">
        <v>9584</v>
      </c>
      <c r="KZV1" s="16" t="s">
        <v>9585</v>
      </c>
      <c r="KZW1" s="16" t="s">
        <v>9586</v>
      </c>
      <c r="KZX1" s="16" t="s">
        <v>9587</v>
      </c>
      <c r="KZY1" s="16" t="s">
        <v>9588</v>
      </c>
      <c r="KZZ1" s="16" t="s">
        <v>9589</v>
      </c>
      <c r="LAA1" s="16" t="s">
        <v>9590</v>
      </c>
      <c r="LAB1" s="16" t="s">
        <v>9591</v>
      </c>
      <c r="LAC1" s="16" t="s">
        <v>9592</v>
      </c>
      <c r="LAD1" s="16" t="s">
        <v>9593</v>
      </c>
      <c r="LAE1" s="16" t="s">
        <v>9594</v>
      </c>
      <c r="LAF1" s="16" t="s">
        <v>9595</v>
      </c>
      <c r="LAG1" s="16" t="s">
        <v>9596</v>
      </c>
      <c r="LAH1" s="16" t="s">
        <v>9597</v>
      </c>
      <c r="LAI1" s="16" t="s">
        <v>9598</v>
      </c>
      <c r="LAJ1" s="16" t="s">
        <v>9599</v>
      </c>
      <c r="LAK1" s="16" t="s">
        <v>9600</v>
      </c>
      <c r="LAL1" s="16" t="s">
        <v>9601</v>
      </c>
      <c r="LAM1" s="16" t="s">
        <v>9602</v>
      </c>
      <c r="LAN1" s="16" t="s">
        <v>9603</v>
      </c>
      <c r="LAO1" s="16" t="s">
        <v>9604</v>
      </c>
      <c r="LAP1" s="16" t="s">
        <v>9605</v>
      </c>
      <c r="LAQ1" s="16" t="s">
        <v>9606</v>
      </c>
      <c r="LAR1" s="16" t="s">
        <v>9607</v>
      </c>
      <c r="LAS1" s="16" t="s">
        <v>9608</v>
      </c>
      <c r="LAT1" s="16" t="s">
        <v>9609</v>
      </c>
      <c r="LAU1" s="16" t="s">
        <v>9610</v>
      </c>
      <c r="LAV1" s="16" t="s">
        <v>9611</v>
      </c>
      <c r="LAW1" s="16" t="s">
        <v>9612</v>
      </c>
      <c r="LAX1" s="16" t="s">
        <v>9613</v>
      </c>
      <c r="LAY1" s="16" t="s">
        <v>9614</v>
      </c>
      <c r="LAZ1" s="16" t="s">
        <v>9615</v>
      </c>
      <c r="LBA1" s="16" t="s">
        <v>9616</v>
      </c>
      <c r="LBB1" s="16" t="s">
        <v>9617</v>
      </c>
      <c r="LBC1" s="16" t="s">
        <v>9618</v>
      </c>
      <c r="LBD1" s="16" t="s">
        <v>9619</v>
      </c>
      <c r="LBE1" s="16" t="s">
        <v>9620</v>
      </c>
      <c r="LBF1" s="16" t="s">
        <v>9621</v>
      </c>
      <c r="LBG1" s="16" t="s">
        <v>9622</v>
      </c>
      <c r="LBH1" s="16" t="s">
        <v>9623</v>
      </c>
      <c r="LBI1" s="16" t="s">
        <v>9624</v>
      </c>
      <c r="LBJ1" s="16" t="s">
        <v>9625</v>
      </c>
      <c r="LBK1" s="16" t="s">
        <v>9626</v>
      </c>
      <c r="LBL1" s="16" t="s">
        <v>9627</v>
      </c>
      <c r="LBM1" s="16" t="s">
        <v>9628</v>
      </c>
      <c r="LBN1" s="16" t="s">
        <v>9629</v>
      </c>
      <c r="LBO1" s="16" t="s">
        <v>9630</v>
      </c>
      <c r="LBP1" s="16" t="s">
        <v>9631</v>
      </c>
      <c r="LBQ1" s="16" t="s">
        <v>9632</v>
      </c>
      <c r="LBR1" s="16" t="s">
        <v>9633</v>
      </c>
      <c r="LBS1" s="16" t="s">
        <v>9634</v>
      </c>
      <c r="LBT1" s="16" t="s">
        <v>9635</v>
      </c>
      <c r="LBU1" s="16" t="s">
        <v>9636</v>
      </c>
      <c r="LBV1" s="16" t="s">
        <v>9637</v>
      </c>
      <c r="LBW1" s="16" t="s">
        <v>9638</v>
      </c>
      <c r="LBX1" s="16" t="s">
        <v>9639</v>
      </c>
      <c r="LBY1" s="16" t="s">
        <v>9640</v>
      </c>
      <c r="LBZ1" s="16" t="s">
        <v>9641</v>
      </c>
      <c r="LCA1" s="16" t="s">
        <v>9642</v>
      </c>
      <c r="LCB1" s="16" t="s">
        <v>9643</v>
      </c>
      <c r="LCC1" s="16" t="s">
        <v>9644</v>
      </c>
      <c r="LCD1" s="16" t="s">
        <v>9645</v>
      </c>
      <c r="LCE1" s="16" t="s">
        <v>9646</v>
      </c>
      <c r="LCF1" s="16" t="s">
        <v>9647</v>
      </c>
      <c r="LCG1" s="16" t="s">
        <v>9648</v>
      </c>
      <c r="LCH1" s="16" t="s">
        <v>9649</v>
      </c>
      <c r="LCI1" s="16" t="s">
        <v>9650</v>
      </c>
      <c r="LCJ1" s="16" t="s">
        <v>9651</v>
      </c>
      <c r="LCK1" s="16" t="s">
        <v>9652</v>
      </c>
      <c r="LCL1" s="16" t="s">
        <v>9653</v>
      </c>
      <c r="LCM1" s="16" t="s">
        <v>9654</v>
      </c>
      <c r="LCN1" s="16" t="s">
        <v>9655</v>
      </c>
      <c r="LCO1" s="16" t="s">
        <v>9656</v>
      </c>
      <c r="LCP1" s="16" t="s">
        <v>9657</v>
      </c>
      <c r="LCQ1" s="16" t="s">
        <v>9658</v>
      </c>
      <c r="LCR1" s="16" t="s">
        <v>9659</v>
      </c>
      <c r="LCS1" s="16" t="s">
        <v>9660</v>
      </c>
      <c r="LCT1" s="16" t="s">
        <v>9661</v>
      </c>
      <c r="LCU1" s="16" t="s">
        <v>9662</v>
      </c>
      <c r="LCV1" s="16" t="s">
        <v>9663</v>
      </c>
      <c r="LCW1" s="16" t="s">
        <v>9664</v>
      </c>
      <c r="LCX1" s="16" t="s">
        <v>9665</v>
      </c>
      <c r="LCY1" s="16" t="s">
        <v>9666</v>
      </c>
      <c r="LCZ1" s="16" t="s">
        <v>9667</v>
      </c>
      <c r="LDA1" s="16" t="s">
        <v>9668</v>
      </c>
      <c r="LDB1" s="16" t="s">
        <v>9669</v>
      </c>
      <c r="LDC1" s="16" t="s">
        <v>9670</v>
      </c>
      <c r="LDD1" s="16" t="s">
        <v>9671</v>
      </c>
      <c r="LDE1" s="16" t="s">
        <v>9672</v>
      </c>
      <c r="LDF1" s="16" t="s">
        <v>9673</v>
      </c>
      <c r="LDG1" s="16" t="s">
        <v>9674</v>
      </c>
      <c r="LDH1" s="16" t="s">
        <v>9675</v>
      </c>
      <c r="LDI1" s="16" t="s">
        <v>9676</v>
      </c>
      <c r="LDJ1" s="16" t="s">
        <v>9677</v>
      </c>
      <c r="LDK1" s="16" t="s">
        <v>9678</v>
      </c>
      <c r="LDL1" s="16" t="s">
        <v>9679</v>
      </c>
      <c r="LDM1" s="16" t="s">
        <v>9680</v>
      </c>
      <c r="LDN1" s="16" t="s">
        <v>9681</v>
      </c>
      <c r="LDO1" s="16" t="s">
        <v>9682</v>
      </c>
      <c r="LDP1" s="16" t="s">
        <v>9683</v>
      </c>
      <c r="LDQ1" s="16" t="s">
        <v>9684</v>
      </c>
      <c r="LDR1" s="16" t="s">
        <v>9685</v>
      </c>
      <c r="LDS1" s="16" t="s">
        <v>9686</v>
      </c>
      <c r="LDT1" s="16" t="s">
        <v>9687</v>
      </c>
      <c r="LDU1" s="16" t="s">
        <v>9688</v>
      </c>
      <c r="LDV1" s="16" t="s">
        <v>9689</v>
      </c>
      <c r="LDW1" s="16" t="s">
        <v>9690</v>
      </c>
      <c r="LDX1" s="16" t="s">
        <v>9691</v>
      </c>
      <c r="LDY1" s="16" t="s">
        <v>9692</v>
      </c>
      <c r="LDZ1" s="16" t="s">
        <v>9693</v>
      </c>
      <c r="LEA1" s="16" t="s">
        <v>9694</v>
      </c>
      <c r="LEB1" s="16" t="s">
        <v>9695</v>
      </c>
      <c r="LEC1" s="16" t="s">
        <v>9696</v>
      </c>
      <c r="LED1" s="16" t="s">
        <v>9697</v>
      </c>
      <c r="LEE1" s="16" t="s">
        <v>9698</v>
      </c>
      <c r="LEF1" s="16" t="s">
        <v>9699</v>
      </c>
      <c r="LEG1" s="16" t="s">
        <v>9700</v>
      </c>
      <c r="LEH1" s="16" t="s">
        <v>9701</v>
      </c>
      <c r="LEI1" s="16" t="s">
        <v>9702</v>
      </c>
      <c r="LEJ1" s="16" t="s">
        <v>9703</v>
      </c>
      <c r="LEK1" s="16" t="s">
        <v>9704</v>
      </c>
      <c r="LEL1" s="16" t="s">
        <v>9705</v>
      </c>
      <c r="LEM1" s="16" t="s">
        <v>9706</v>
      </c>
      <c r="LEN1" s="16" t="s">
        <v>9707</v>
      </c>
      <c r="LEO1" s="16" t="s">
        <v>9708</v>
      </c>
      <c r="LEP1" s="16" t="s">
        <v>9709</v>
      </c>
      <c r="LEQ1" s="16" t="s">
        <v>9710</v>
      </c>
      <c r="LER1" s="16" t="s">
        <v>9711</v>
      </c>
      <c r="LES1" s="16" t="s">
        <v>9712</v>
      </c>
      <c r="LET1" s="16" t="s">
        <v>9713</v>
      </c>
      <c r="LEU1" s="16" t="s">
        <v>9714</v>
      </c>
      <c r="LEV1" s="16" t="s">
        <v>9715</v>
      </c>
      <c r="LEW1" s="16" t="s">
        <v>9716</v>
      </c>
      <c r="LEX1" s="16" t="s">
        <v>9717</v>
      </c>
      <c r="LEY1" s="16" t="s">
        <v>9718</v>
      </c>
      <c r="LEZ1" s="16" t="s">
        <v>9719</v>
      </c>
      <c r="LFA1" s="16" t="s">
        <v>9720</v>
      </c>
      <c r="LFB1" s="16" t="s">
        <v>9721</v>
      </c>
      <c r="LFC1" s="16" t="s">
        <v>9722</v>
      </c>
      <c r="LFD1" s="16" t="s">
        <v>9723</v>
      </c>
      <c r="LFE1" s="16" t="s">
        <v>9724</v>
      </c>
      <c r="LFF1" s="16" t="s">
        <v>9725</v>
      </c>
      <c r="LFG1" s="16" t="s">
        <v>9726</v>
      </c>
      <c r="LFH1" s="16" t="s">
        <v>9727</v>
      </c>
      <c r="LFI1" s="16" t="s">
        <v>9728</v>
      </c>
      <c r="LFJ1" s="16" t="s">
        <v>9729</v>
      </c>
      <c r="LFK1" s="16" t="s">
        <v>9730</v>
      </c>
      <c r="LFL1" s="16" t="s">
        <v>9731</v>
      </c>
      <c r="LFM1" s="16" t="s">
        <v>9732</v>
      </c>
      <c r="LFN1" s="16" t="s">
        <v>9733</v>
      </c>
      <c r="LFO1" s="16" t="s">
        <v>9734</v>
      </c>
      <c r="LFP1" s="16" t="s">
        <v>9735</v>
      </c>
      <c r="LFQ1" s="16" t="s">
        <v>9736</v>
      </c>
      <c r="LFR1" s="16" t="s">
        <v>9737</v>
      </c>
      <c r="LFS1" s="16" t="s">
        <v>9738</v>
      </c>
      <c r="LFT1" s="16" t="s">
        <v>9739</v>
      </c>
      <c r="LFU1" s="16" t="s">
        <v>9740</v>
      </c>
      <c r="LFV1" s="16" t="s">
        <v>9741</v>
      </c>
      <c r="LFW1" s="16" t="s">
        <v>9742</v>
      </c>
      <c r="LFX1" s="16" t="s">
        <v>9743</v>
      </c>
      <c r="LFY1" s="16" t="s">
        <v>9744</v>
      </c>
      <c r="LFZ1" s="16" t="s">
        <v>9745</v>
      </c>
      <c r="LGA1" s="16" t="s">
        <v>9746</v>
      </c>
      <c r="LGB1" s="16" t="s">
        <v>9747</v>
      </c>
      <c r="LGC1" s="16" t="s">
        <v>9748</v>
      </c>
      <c r="LGD1" s="16" t="s">
        <v>9749</v>
      </c>
      <c r="LGE1" s="16" t="s">
        <v>9750</v>
      </c>
      <c r="LGF1" s="16" t="s">
        <v>9751</v>
      </c>
      <c r="LGG1" s="16" t="s">
        <v>9752</v>
      </c>
      <c r="LGH1" s="16" t="s">
        <v>9753</v>
      </c>
      <c r="LGI1" s="16" t="s">
        <v>9754</v>
      </c>
      <c r="LGJ1" s="16" t="s">
        <v>9755</v>
      </c>
      <c r="LGK1" s="16" t="s">
        <v>9756</v>
      </c>
      <c r="LGL1" s="16" t="s">
        <v>9757</v>
      </c>
      <c r="LGM1" s="16" t="s">
        <v>9758</v>
      </c>
      <c r="LGN1" s="16" t="s">
        <v>9759</v>
      </c>
      <c r="LGO1" s="16" t="s">
        <v>9760</v>
      </c>
      <c r="LGP1" s="16" t="s">
        <v>9761</v>
      </c>
      <c r="LGQ1" s="16" t="s">
        <v>9762</v>
      </c>
      <c r="LGR1" s="16" t="s">
        <v>9763</v>
      </c>
      <c r="LGS1" s="16" t="s">
        <v>9764</v>
      </c>
      <c r="LGT1" s="16" t="s">
        <v>9765</v>
      </c>
      <c r="LGU1" s="16" t="s">
        <v>9766</v>
      </c>
      <c r="LGV1" s="16" t="s">
        <v>9767</v>
      </c>
      <c r="LGW1" s="16" t="s">
        <v>9768</v>
      </c>
      <c r="LGX1" s="16" t="s">
        <v>9769</v>
      </c>
      <c r="LGY1" s="16" t="s">
        <v>9770</v>
      </c>
      <c r="LGZ1" s="16" t="s">
        <v>9771</v>
      </c>
      <c r="LHA1" s="16" t="s">
        <v>9772</v>
      </c>
      <c r="LHB1" s="16" t="s">
        <v>9773</v>
      </c>
      <c r="LHC1" s="16" t="s">
        <v>9774</v>
      </c>
      <c r="LHD1" s="16" t="s">
        <v>9775</v>
      </c>
      <c r="LHE1" s="16" t="s">
        <v>9776</v>
      </c>
      <c r="LHF1" s="16" t="s">
        <v>9777</v>
      </c>
      <c r="LHG1" s="16" t="s">
        <v>9778</v>
      </c>
      <c r="LHH1" s="16" t="s">
        <v>9779</v>
      </c>
      <c r="LHI1" s="16" t="s">
        <v>9780</v>
      </c>
      <c r="LHJ1" s="16" t="s">
        <v>9781</v>
      </c>
      <c r="LHK1" s="16" t="s">
        <v>9782</v>
      </c>
      <c r="LHL1" s="16" t="s">
        <v>9783</v>
      </c>
      <c r="LHM1" s="16" t="s">
        <v>9784</v>
      </c>
      <c r="LHN1" s="16" t="s">
        <v>9785</v>
      </c>
      <c r="LHO1" s="16" t="s">
        <v>9786</v>
      </c>
      <c r="LHP1" s="16" t="s">
        <v>9787</v>
      </c>
      <c r="LHQ1" s="16" t="s">
        <v>9788</v>
      </c>
      <c r="LHR1" s="16" t="s">
        <v>9789</v>
      </c>
      <c r="LHS1" s="16" t="s">
        <v>9790</v>
      </c>
      <c r="LHT1" s="16" t="s">
        <v>9791</v>
      </c>
      <c r="LHU1" s="16" t="s">
        <v>9792</v>
      </c>
      <c r="LHV1" s="16" t="s">
        <v>9793</v>
      </c>
      <c r="LHW1" s="16" t="s">
        <v>9794</v>
      </c>
      <c r="LHX1" s="16" t="s">
        <v>9795</v>
      </c>
      <c r="LHY1" s="16" t="s">
        <v>9796</v>
      </c>
      <c r="LHZ1" s="16" t="s">
        <v>9797</v>
      </c>
      <c r="LIA1" s="16" t="s">
        <v>9798</v>
      </c>
      <c r="LIB1" s="16" t="s">
        <v>9799</v>
      </c>
      <c r="LIC1" s="16" t="s">
        <v>9800</v>
      </c>
      <c r="LID1" s="16" t="s">
        <v>9801</v>
      </c>
      <c r="LIE1" s="16" t="s">
        <v>9802</v>
      </c>
      <c r="LIF1" s="16" t="s">
        <v>9803</v>
      </c>
      <c r="LIG1" s="16" t="s">
        <v>9804</v>
      </c>
      <c r="LIH1" s="16" t="s">
        <v>9805</v>
      </c>
      <c r="LII1" s="16" t="s">
        <v>9806</v>
      </c>
      <c r="LIJ1" s="16" t="s">
        <v>9807</v>
      </c>
      <c r="LIK1" s="16" t="s">
        <v>9808</v>
      </c>
      <c r="LIL1" s="16" t="s">
        <v>9809</v>
      </c>
      <c r="LIM1" s="16" t="s">
        <v>9810</v>
      </c>
      <c r="LIN1" s="16" t="s">
        <v>9811</v>
      </c>
      <c r="LIO1" s="16" t="s">
        <v>9812</v>
      </c>
      <c r="LIP1" s="16" t="s">
        <v>9813</v>
      </c>
      <c r="LIQ1" s="16" t="s">
        <v>9814</v>
      </c>
      <c r="LIR1" s="16" t="s">
        <v>9815</v>
      </c>
      <c r="LIS1" s="16" t="s">
        <v>9816</v>
      </c>
      <c r="LIT1" s="16" t="s">
        <v>9817</v>
      </c>
      <c r="LIU1" s="16" t="s">
        <v>9818</v>
      </c>
      <c r="LIV1" s="16" t="s">
        <v>9819</v>
      </c>
      <c r="LIW1" s="16" t="s">
        <v>9820</v>
      </c>
      <c r="LIX1" s="16" t="s">
        <v>9821</v>
      </c>
      <c r="LIY1" s="16" t="s">
        <v>9822</v>
      </c>
      <c r="LIZ1" s="16" t="s">
        <v>9823</v>
      </c>
      <c r="LJA1" s="16" t="s">
        <v>9824</v>
      </c>
      <c r="LJB1" s="16" t="s">
        <v>9825</v>
      </c>
      <c r="LJC1" s="16" t="s">
        <v>9826</v>
      </c>
      <c r="LJD1" s="16" t="s">
        <v>9827</v>
      </c>
      <c r="LJE1" s="16" t="s">
        <v>9828</v>
      </c>
      <c r="LJF1" s="16" t="s">
        <v>9829</v>
      </c>
      <c r="LJG1" s="16" t="s">
        <v>9830</v>
      </c>
      <c r="LJH1" s="16" t="s">
        <v>9831</v>
      </c>
      <c r="LJI1" s="16" t="s">
        <v>9832</v>
      </c>
      <c r="LJJ1" s="16" t="s">
        <v>9833</v>
      </c>
      <c r="LJK1" s="16" t="s">
        <v>9834</v>
      </c>
      <c r="LJL1" s="16" t="s">
        <v>9835</v>
      </c>
      <c r="LJM1" s="16" t="s">
        <v>9836</v>
      </c>
      <c r="LJN1" s="16" t="s">
        <v>9837</v>
      </c>
      <c r="LJO1" s="16" t="s">
        <v>9838</v>
      </c>
      <c r="LJP1" s="16" t="s">
        <v>9839</v>
      </c>
      <c r="LJQ1" s="16" t="s">
        <v>9840</v>
      </c>
      <c r="LJR1" s="16" t="s">
        <v>9841</v>
      </c>
      <c r="LJS1" s="16" t="s">
        <v>9842</v>
      </c>
      <c r="LJT1" s="16" t="s">
        <v>9843</v>
      </c>
      <c r="LJU1" s="16" t="s">
        <v>9844</v>
      </c>
      <c r="LJV1" s="16" t="s">
        <v>9845</v>
      </c>
      <c r="LJW1" s="16" t="s">
        <v>9846</v>
      </c>
      <c r="LJX1" s="16" t="s">
        <v>9847</v>
      </c>
      <c r="LJY1" s="16" t="s">
        <v>9848</v>
      </c>
      <c r="LJZ1" s="16" t="s">
        <v>9849</v>
      </c>
      <c r="LKA1" s="16" t="s">
        <v>9850</v>
      </c>
      <c r="LKB1" s="16" t="s">
        <v>9851</v>
      </c>
      <c r="LKC1" s="16" t="s">
        <v>9852</v>
      </c>
      <c r="LKD1" s="16" t="s">
        <v>9853</v>
      </c>
      <c r="LKE1" s="16" t="s">
        <v>9854</v>
      </c>
      <c r="LKF1" s="16" t="s">
        <v>9855</v>
      </c>
      <c r="LKG1" s="16" t="s">
        <v>9856</v>
      </c>
      <c r="LKH1" s="16" t="s">
        <v>9857</v>
      </c>
      <c r="LKI1" s="16" t="s">
        <v>9858</v>
      </c>
      <c r="LKJ1" s="16" t="s">
        <v>9859</v>
      </c>
      <c r="LKK1" s="16" t="s">
        <v>9860</v>
      </c>
      <c r="LKL1" s="16" t="s">
        <v>9861</v>
      </c>
      <c r="LKM1" s="16" t="s">
        <v>9862</v>
      </c>
      <c r="LKN1" s="16" t="s">
        <v>9863</v>
      </c>
      <c r="LKO1" s="16" t="s">
        <v>9864</v>
      </c>
      <c r="LKP1" s="16" t="s">
        <v>9865</v>
      </c>
      <c r="LKQ1" s="16" t="s">
        <v>9866</v>
      </c>
      <c r="LKR1" s="16" t="s">
        <v>9867</v>
      </c>
      <c r="LKS1" s="16" t="s">
        <v>9868</v>
      </c>
      <c r="LKT1" s="16" t="s">
        <v>9869</v>
      </c>
      <c r="LKU1" s="16" t="s">
        <v>9870</v>
      </c>
      <c r="LKV1" s="16" t="s">
        <v>9871</v>
      </c>
      <c r="LKW1" s="16" t="s">
        <v>9872</v>
      </c>
      <c r="LKX1" s="16" t="s">
        <v>9873</v>
      </c>
      <c r="LKY1" s="16" t="s">
        <v>9874</v>
      </c>
      <c r="LKZ1" s="16" t="s">
        <v>9875</v>
      </c>
      <c r="LLA1" s="16" t="s">
        <v>9876</v>
      </c>
      <c r="LLB1" s="16" t="s">
        <v>9877</v>
      </c>
      <c r="LLC1" s="16" t="s">
        <v>9878</v>
      </c>
      <c r="LLD1" s="16" t="s">
        <v>9879</v>
      </c>
      <c r="LLE1" s="16" t="s">
        <v>9880</v>
      </c>
      <c r="LLF1" s="16" t="s">
        <v>9881</v>
      </c>
      <c r="LLG1" s="16" t="s">
        <v>9882</v>
      </c>
      <c r="LLH1" s="16" t="s">
        <v>9883</v>
      </c>
      <c r="LLI1" s="16" t="s">
        <v>9884</v>
      </c>
      <c r="LLJ1" s="16" t="s">
        <v>9885</v>
      </c>
      <c r="LLK1" s="16" t="s">
        <v>9886</v>
      </c>
      <c r="LLL1" s="16" t="s">
        <v>9887</v>
      </c>
      <c r="LLM1" s="16" t="s">
        <v>9888</v>
      </c>
      <c r="LLN1" s="16" t="s">
        <v>9889</v>
      </c>
      <c r="LLO1" s="16" t="s">
        <v>9890</v>
      </c>
      <c r="LLP1" s="16" t="s">
        <v>9891</v>
      </c>
      <c r="LLQ1" s="16" t="s">
        <v>9892</v>
      </c>
      <c r="LLR1" s="16" t="s">
        <v>9893</v>
      </c>
      <c r="LLS1" s="16" t="s">
        <v>9894</v>
      </c>
      <c r="LLT1" s="16" t="s">
        <v>9895</v>
      </c>
      <c r="LLU1" s="16" t="s">
        <v>9896</v>
      </c>
      <c r="LLV1" s="16" t="s">
        <v>9897</v>
      </c>
      <c r="LLW1" s="16" t="s">
        <v>9898</v>
      </c>
      <c r="LLX1" s="16" t="s">
        <v>9899</v>
      </c>
      <c r="LLY1" s="16" t="s">
        <v>9900</v>
      </c>
      <c r="LLZ1" s="16" t="s">
        <v>9901</v>
      </c>
      <c r="LMA1" s="16" t="s">
        <v>9902</v>
      </c>
      <c r="LMB1" s="16" t="s">
        <v>9903</v>
      </c>
      <c r="LMC1" s="16" t="s">
        <v>9904</v>
      </c>
      <c r="LMD1" s="16" t="s">
        <v>9905</v>
      </c>
      <c r="LME1" s="16" t="s">
        <v>9906</v>
      </c>
      <c r="LMF1" s="16" t="s">
        <v>9907</v>
      </c>
      <c r="LMG1" s="16" t="s">
        <v>9908</v>
      </c>
      <c r="LMH1" s="16" t="s">
        <v>9909</v>
      </c>
      <c r="LMI1" s="16" t="s">
        <v>9910</v>
      </c>
      <c r="LMJ1" s="16" t="s">
        <v>9911</v>
      </c>
      <c r="LMK1" s="16" t="s">
        <v>9912</v>
      </c>
      <c r="LML1" s="16" t="s">
        <v>9913</v>
      </c>
      <c r="LMM1" s="16" t="s">
        <v>9914</v>
      </c>
      <c r="LMN1" s="16" t="s">
        <v>9915</v>
      </c>
      <c r="LMO1" s="16" t="s">
        <v>9916</v>
      </c>
      <c r="LMP1" s="16" t="s">
        <v>9917</v>
      </c>
      <c r="LMQ1" s="16" t="s">
        <v>9918</v>
      </c>
      <c r="LMR1" s="16" t="s">
        <v>9919</v>
      </c>
      <c r="LMS1" s="16" t="s">
        <v>9920</v>
      </c>
      <c r="LMT1" s="16" t="s">
        <v>9921</v>
      </c>
      <c r="LMU1" s="16" t="s">
        <v>9922</v>
      </c>
      <c r="LMV1" s="16" t="s">
        <v>9923</v>
      </c>
      <c r="LMW1" s="16" t="s">
        <v>9924</v>
      </c>
      <c r="LMX1" s="16" t="s">
        <v>9925</v>
      </c>
      <c r="LMY1" s="16" t="s">
        <v>9926</v>
      </c>
      <c r="LMZ1" s="16" t="s">
        <v>9927</v>
      </c>
      <c r="LNA1" s="16" t="s">
        <v>9928</v>
      </c>
      <c r="LNB1" s="16" t="s">
        <v>9929</v>
      </c>
      <c r="LNC1" s="16" t="s">
        <v>9930</v>
      </c>
      <c r="LND1" s="16" t="s">
        <v>9931</v>
      </c>
      <c r="LNE1" s="16" t="s">
        <v>9932</v>
      </c>
      <c r="LNF1" s="16" t="s">
        <v>9933</v>
      </c>
      <c r="LNG1" s="16" t="s">
        <v>9934</v>
      </c>
      <c r="LNH1" s="16" t="s">
        <v>9935</v>
      </c>
      <c r="LNI1" s="16" t="s">
        <v>9936</v>
      </c>
      <c r="LNJ1" s="16" t="s">
        <v>9937</v>
      </c>
      <c r="LNK1" s="16" t="s">
        <v>9938</v>
      </c>
      <c r="LNL1" s="16" t="s">
        <v>9939</v>
      </c>
      <c r="LNM1" s="16" t="s">
        <v>9940</v>
      </c>
      <c r="LNN1" s="16" t="s">
        <v>9941</v>
      </c>
      <c r="LNO1" s="16" t="s">
        <v>9942</v>
      </c>
      <c r="LNP1" s="16" t="s">
        <v>9943</v>
      </c>
      <c r="LNQ1" s="16" t="s">
        <v>9944</v>
      </c>
      <c r="LNR1" s="16" t="s">
        <v>9945</v>
      </c>
      <c r="LNS1" s="16" t="s">
        <v>9946</v>
      </c>
      <c r="LNT1" s="16" t="s">
        <v>9947</v>
      </c>
      <c r="LNU1" s="16" t="s">
        <v>9948</v>
      </c>
      <c r="LNV1" s="16" t="s">
        <v>9949</v>
      </c>
      <c r="LNW1" s="16" t="s">
        <v>9950</v>
      </c>
      <c r="LNX1" s="16" t="s">
        <v>9951</v>
      </c>
      <c r="LNY1" s="16" t="s">
        <v>9952</v>
      </c>
      <c r="LNZ1" s="16" t="s">
        <v>9953</v>
      </c>
      <c r="LOA1" s="16" t="s">
        <v>9954</v>
      </c>
      <c r="LOB1" s="16" t="s">
        <v>9955</v>
      </c>
      <c r="LOC1" s="16" t="s">
        <v>9956</v>
      </c>
      <c r="LOD1" s="16" t="s">
        <v>9957</v>
      </c>
      <c r="LOE1" s="16" t="s">
        <v>9958</v>
      </c>
      <c r="LOF1" s="16" t="s">
        <v>9959</v>
      </c>
      <c r="LOG1" s="16" t="s">
        <v>9960</v>
      </c>
      <c r="LOH1" s="16" t="s">
        <v>9961</v>
      </c>
      <c r="LOI1" s="16" t="s">
        <v>9962</v>
      </c>
      <c r="LOJ1" s="16" t="s">
        <v>9963</v>
      </c>
      <c r="LOK1" s="16" t="s">
        <v>9964</v>
      </c>
      <c r="LOL1" s="16" t="s">
        <v>9965</v>
      </c>
      <c r="LOM1" s="16" t="s">
        <v>9966</v>
      </c>
      <c r="LON1" s="16" t="s">
        <v>9967</v>
      </c>
      <c r="LOO1" s="16" t="s">
        <v>9968</v>
      </c>
      <c r="LOP1" s="16" t="s">
        <v>9969</v>
      </c>
      <c r="LOQ1" s="16" t="s">
        <v>9970</v>
      </c>
      <c r="LOR1" s="16" t="s">
        <v>9971</v>
      </c>
      <c r="LOS1" s="16" t="s">
        <v>9972</v>
      </c>
      <c r="LOT1" s="16" t="s">
        <v>9973</v>
      </c>
      <c r="LOU1" s="16" t="s">
        <v>9974</v>
      </c>
      <c r="LOV1" s="16" t="s">
        <v>9975</v>
      </c>
      <c r="LOW1" s="16" t="s">
        <v>9976</v>
      </c>
      <c r="LOX1" s="16" t="s">
        <v>9977</v>
      </c>
      <c r="LOY1" s="16" t="s">
        <v>9978</v>
      </c>
      <c r="LOZ1" s="16" t="s">
        <v>9979</v>
      </c>
      <c r="LPA1" s="16" t="s">
        <v>9980</v>
      </c>
      <c r="LPB1" s="16" t="s">
        <v>9981</v>
      </c>
      <c r="LPC1" s="16" t="s">
        <v>9982</v>
      </c>
      <c r="LPD1" s="16" t="s">
        <v>9983</v>
      </c>
      <c r="LPE1" s="16" t="s">
        <v>9984</v>
      </c>
      <c r="LPF1" s="16" t="s">
        <v>9985</v>
      </c>
      <c r="LPG1" s="16" t="s">
        <v>9986</v>
      </c>
      <c r="LPH1" s="16" t="s">
        <v>9987</v>
      </c>
      <c r="LPI1" s="16" t="s">
        <v>9988</v>
      </c>
      <c r="LPJ1" s="16" t="s">
        <v>9989</v>
      </c>
      <c r="LPK1" s="16" t="s">
        <v>9990</v>
      </c>
      <c r="LPL1" s="16" t="s">
        <v>9991</v>
      </c>
      <c r="LPM1" s="16" t="s">
        <v>9992</v>
      </c>
      <c r="LPN1" s="16" t="s">
        <v>9993</v>
      </c>
      <c r="LPO1" s="16" t="s">
        <v>9994</v>
      </c>
      <c r="LPP1" s="16" t="s">
        <v>9995</v>
      </c>
      <c r="LPQ1" s="16" t="s">
        <v>9996</v>
      </c>
      <c r="LPR1" s="16" t="s">
        <v>9997</v>
      </c>
      <c r="LPS1" s="16" t="s">
        <v>9998</v>
      </c>
      <c r="LPT1" s="16" t="s">
        <v>9999</v>
      </c>
      <c r="LPU1" s="16" t="s">
        <v>10000</v>
      </c>
      <c r="LPV1" s="16" t="s">
        <v>10001</v>
      </c>
      <c r="LPW1" s="16" t="s">
        <v>10002</v>
      </c>
      <c r="LPX1" s="16" t="s">
        <v>10003</v>
      </c>
      <c r="LPY1" s="16" t="s">
        <v>10004</v>
      </c>
      <c r="LPZ1" s="16" t="s">
        <v>10005</v>
      </c>
      <c r="LQA1" s="16" t="s">
        <v>10006</v>
      </c>
      <c r="LQB1" s="16" t="s">
        <v>10007</v>
      </c>
      <c r="LQC1" s="16" t="s">
        <v>10008</v>
      </c>
      <c r="LQD1" s="16" t="s">
        <v>10009</v>
      </c>
      <c r="LQE1" s="16" t="s">
        <v>10010</v>
      </c>
      <c r="LQF1" s="16" t="s">
        <v>10011</v>
      </c>
      <c r="LQG1" s="16" t="s">
        <v>10012</v>
      </c>
      <c r="LQH1" s="16" t="s">
        <v>10013</v>
      </c>
      <c r="LQI1" s="16" t="s">
        <v>10014</v>
      </c>
      <c r="LQJ1" s="16" t="s">
        <v>10015</v>
      </c>
      <c r="LQK1" s="16" t="s">
        <v>10016</v>
      </c>
      <c r="LQL1" s="16" t="s">
        <v>10017</v>
      </c>
      <c r="LQM1" s="16" t="s">
        <v>10018</v>
      </c>
      <c r="LQN1" s="16" t="s">
        <v>10019</v>
      </c>
      <c r="LQO1" s="16" t="s">
        <v>10020</v>
      </c>
      <c r="LQP1" s="16" t="s">
        <v>10021</v>
      </c>
      <c r="LQQ1" s="16" t="s">
        <v>10022</v>
      </c>
      <c r="LQR1" s="16" t="s">
        <v>10023</v>
      </c>
      <c r="LQS1" s="16" t="s">
        <v>10024</v>
      </c>
      <c r="LQT1" s="16" t="s">
        <v>10025</v>
      </c>
      <c r="LQU1" s="16" t="s">
        <v>10026</v>
      </c>
      <c r="LQV1" s="16" t="s">
        <v>10027</v>
      </c>
      <c r="LQW1" s="16" t="s">
        <v>10028</v>
      </c>
      <c r="LQX1" s="16" t="s">
        <v>10029</v>
      </c>
      <c r="LQY1" s="16" t="s">
        <v>10030</v>
      </c>
      <c r="LQZ1" s="16" t="s">
        <v>10031</v>
      </c>
      <c r="LRA1" s="16" t="s">
        <v>10032</v>
      </c>
      <c r="LRB1" s="16" t="s">
        <v>10033</v>
      </c>
      <c r="LRC1" s="16" t="s">
        <v>10034</v>
      </c>
      <c r="LRD1" s="16" t="s">
        <v>10035</v>
      </c>
      <c r="LRE1" s="16" t="s">
        <v>10036</v>
      </c>
      <c r="LRF1" s="16" t="s">
        <v>10037</v>
      </c>
      <c r="LRG1" s="16" t="s">
        <v>10038</v>
      </c>
      <c r="LRH1" s="16" t="s">
        <v>10039</v>
      </c>
      <c r="LRI1" s="16" t="s">
        <v>10040</v>
      </c>
      <c r="LRJ1" s="16" t="s">
        <v>10041</v>
      </c>
      <c r="LRK1" s="16" t="s">
        <v>10042</v>
      </c>
      <c r="LRL1" s="16" t="s">
        <v>10043</v>
      </c>
      <c r="LRM1" s="16" t="s">
        <v>10044</v>
      </c>
      <c r="LRN1" s="16" t="s">
        <v>10045</v>
      </c>
      <c r="LRO1" s="16" t="s">
        <v>10046</v>
      </c>
      <c r="LRP1" s="16" t="s">
        <v>10047</v>
      </c>
      <c r="LRQ1" s="16" t="s">
        <v>10048</v>
      </c>
      <c r="LRR1" s="16" t="s">
        <v>10049</v>
      </c>
      <c r="LRS1" s="16" t="s">
        <v>10050</v>
      </c>
      <c r="LRT1" s="16" t="s">
        <v>10051</v>
      </c>
      <c r="LRU1" s="16" t="s">
        <v>10052</v>
      </c>
      <c r="LRV1" s="16" t="s">
        <v>10053</v>
      </c>
      <c r="LRW1" s="16" t="s">
        <v>10054</v>
      </c>
      <c r="LRX1" s="16" t="s">
        <v>10055</v>
      </c>
      <c r="LRY1" s="16" t="s">
        <v>10056</v>
      </c>
      <c r="LRZ1" s="16" t="s">
        <v>10057</v>
      </c>
      <c r="LSA1" s="16" t="s">
        <v>10058</v>
      </c>
      <c r="LSB1" s="16" t="s">
        <v>10059</v>
      </c>
      <c r="LSC1" s="16" t="s">
        <v>10060</v>
      </c>
      <c r="LSD1" s="16" t="s">
        <v>10061</v>
      </c>
      <c r="LSE1" s="16" t="s">
        <v>10062</v>
      </c>
      <c r="LSF1" s="16" t="s">
        <v>10063</v>
      </c>
      <c r="LSG1" s="16" t="s">
        <v>10064</v>
      </c>
      <c r="LSH1" s="16" t="s">
        <v>10065</v>
      </c>
      <c r="LSI1" s="16" t="s">
        <v>10066</v>
      </c>
      <c r="LSJ1" s="16" t="s">
        <v>10067</v>
      </c>
      <c r="LSK1" s="16" t="s">
        <v>10068</v>
      </c>
      <c r="LSL1" s="16" t="s">
        <v>10069</v>
      </c>
      <c r="LSM1" s="16" t="s">
        <v>10070</v>
      </c>
      <c r="LSN1" s="16" t="s">
        <v>10071</v>
      </c>
      <c r="LSO1" s="16" t="s">
        <v>10072</v>
      </c>
      <c r="LSP1" s="16" t="s">
        <v>10073</v>
      </c>
      <c r="LSQ1" s="16" t="s">
        <v>10074</v>
      </c>
      <c r="LSR1" s="16" t="s">
        <v>10075</v>
      </c>
      <c r="LSS1" s="16" t="s">
        <v>10076</v>
      </c>
      <c r="LST1" s="16" t="s">
        <v>10077</v>
      </c>
      <c r="LSU1" s="16" t="s">
        <v>10078</v>
      </c>
      <c r="LSV1" s="16" t="s">
        <v>10079</v>
      </c>
      <c r="LSW1" s="16" t="s">
        <v>10080</v>
      </c>
      <c r="LSX1" s="16" t="s">
        <v>10081</v>
      </c>
      <c r="LSY1" s="16" t="s">
        <v>10082</v>
      </c>
      <c r="LSZ1" s="16" t="s">
        <v>10083</v>
      </c>
      <c r="LTA1" s="16" t="s">
        <v>10084</v>
      </c>
      <c r="LTB1" s="16" t="s">
        <v>10085</v>
      </c>
      <c r="LTC1" s="16" t="s">
        <v>10086</v>
      </c>
      <c r="LTD1" s="16" t="s">
        <v>10087</v>
      </c>
      <c r="LTE1" s="16" t="s">
        <v>10088</v>
      </c>
      <c r="LTF1" s="16" t="s">
        <v>10089</v>
      </c>
      <c r="LTG1" s="16" t="s">
        <v>10090</v>
      </c>
      <c r="LTH1" s="16" t="s">
        <v>10091</v>
      </c>
      <c r="LTI1" s="16" t="s">
        <v>10092</v>
      </c>
      <c r="LTJ1" s="16" t="s">
        <v>10093</v>
      </c>
      <c r="LTK1" s="16" t="s">
        <v>10094</v>
      </c>
      <c r="LTL1" s="16" t="s">
        <v>10095</v>
      </c>
      <c r="LTM1" s="16" t="s">
        <v>10096</v>
      </c>
      <c r="LTN1" s="16" t="s">
        <v>10097</v>
      </c>
      <c r="LTO1" s="16" t="s">
        <v>10098</v>
      </c>
      <c r="LTP1" s="16" t="s">
        <v>10099</v>
      </c>
      <c r="LTQ1" s="16" t="s">
        <v>10100</v>
      </c>
      <c r="LTR1" s="16" t="s">
        <v>10101</v>
      </c>
      <c r="LTS1" s="16" t="s">
        <v>10102</v>
      </c>
      <c r="LTT1" s="16" t="s">
        <v>10103</v>
      </c>
      <c r="LTU1" s="16" t="s">
        <v>10104</v>
      </c>
      <c r="LTV1" s="16" t="s">
        <v>10105</v>
      </c>
      <c r="LTW1" s="16" t="s">
        <v>10106</v>
      </c>
      <c r="LTX1" s="16" t="s">
        <v>10107</v>
      </c>
      <c r="LTY1" s="16" t="s">
        <v>10108</v>
      </c>
      <c r="LTZ1" s="16" t="s">
        <v>10109</v>
      </c>
      <c r="LUA1" s="16" t="s">
        <v>10110</v>
      </c>
      <c r="LUB1" s="16" t="s">
        <v>10111</v>
      </c>
      <c r="LUC1" s="16" t="s">
        <v>10112</v>
      </c>
      <c r="LUD1" s="16" t="s">
        <v>10113</v>
      </c>
      <c r="LUE1" s="16" t="s">
        <v>10114</v>
      </c>
      <c r="LUF1" s="16" t="s">
        <v>10115</v>
      </c>
      <c r="LUG1" s="16" t="s">
        <v>10116</v>
      </c>
      <c r="LUH1" s="16" t="s">
        <v>10117</v>
      </c>
      <c r="LUI1" s="16" t="s">
        <v>10118</v>
      </c>
      <c r="LUJ1" s="16" t="s">
        <v>10119</v>
      </c>
      <c r="LUK1" s="16" t="s">
        <v>10120</v>
      </c>
      <c r="LUL1" s="16" t="s">
        <v>10121</v>
      </c>
      <c r="LUM1" s="16" t="s">
        <v>10122</v>
      </c>
      <c r="LUN1" s="16" t="s">
        <v>10123</v>
      </c>
      <c r="LUO1" s="16" t="s">
        <v>10124</v>
      </c>
      <c r="LUP1" s="16" t="s">
        <v>10125</v>
      </c>
      <c r="LUQ1" s="16" t="s">
        <v>10126</v>
      </c>
      <c r="LUR1" s="16" t="s">
        <v>10127</v>
      </c>
      <c r="LUS1" s="16" t="s">
        <v>10128</v>
      </c>
      <c r="LUT1" s="16" t="s">
        <v>10129</v>
      </c>
      <c r="LUU1" s="16" t="s">
        <v>10130</v>
      </c>
      <c r="LUV1" s="16" t="s">
        <v>10131</v>
      </c>
      <c r="LUW1" s="16" t="s">
        <v>10132</v>
      </c>
      <c r="LUX1" s="16" t="s">
        <v>10133</v>
      </c>
      <c r="LUY1" s="16" t="s">
        <v>10134</v>
      </c>
      <c r="LUZ1" s="16" t="s">
        <v>10135</v>
      </c>
      <c r="LVA1" s="16" t="s">
        <v>10136</v>
      </c>
      <c r="LVB1" s="16" t="s">
        <v>10137</v>
      </c>
      <c r="LVC1" s="16" t="s">
        <v>10138</v>
      </c>
      <c r="LVD1" s="16" t="s">
        <v>10139</v>
      </c>
      <c r="LVE1" s="16" t="s">
        <v>10140</v>
      </c>
      <c r="LVF1" s="16" t="s">
        <v>10141</v>
      </c>
      <c r="LVG1" s="16" t="s">
        <v>10142</v>
      </c>
      <c r="LVH1" s="16" t="s">
        <v>10143</v>
      </c>
      <c r="LVI1" s="16" t="s">
        <v>10144</v>
      </c>
      <c r="LVJ1" s="16" t="s">
        <v>10145</v>
      </c>
      <c r="LVK1" s="16" t="s">
        <v>10146</v>
      </c>
      <c r="LVL1" s="16" t="s">
        <v>10147</v>
      </c>
      <c r="LVM1" s="16" t="s">
        <v>10148</v>
      </c>
      <c r="LVN1" s="16" t="s">
        <v>10149</v>
      </c>
      <c r="LVO1" s="16" t="s">
        <v>10150</v>
      </c>
      <c r="LVP1" s="16" t="s">
        <v>10151</v>
      </c>
      <c r="LVQ1" s="16" t="s">
        <v>10152</v>
      </c>
      <c r="LVR1" s="16" t="s">
        <v>10153</v>
      </c>
      <c r="LVS1" s="16" t="s">
        <v>10154</v>
      </c>
      <c r="LVT1" s="16" t="s">
        <v>10155</v>
      </c>
      <c r="LVU1" s="16" t="s">
        <v>10156</v>
      </c>
      <c r="LVV1" s="16" t="s">
        <v>10157</v>
      </c>
      <c r="LVW1" s="16" t="s">
        <v>10158</v>
      </c>
      <c r="LVX1" s="16" t="s">
        <v>10159</v>
      </c>
      <c r="LVY1" s="16" t="s">
        <v>10160</v>
      </c>
      <c r="LVZ1" s="16" t="s">
        <v>10161</v>
      </c>
      <c r="LWA1" s="16" t="s">
        <v>10162</v>
      </c>
      <c r="LWB1" s="16" t="s">
        <v>10163</v>
      </c>
      <c r="LWC1" s="16" t="s">
        <v>10164</v>
      </c>
      <c r="LWD1" s="16" t="s">
        <v>10165</v>
      </c>
      <c r="LWE1" s="16" t="s">
        <v>10166</v>
      </c>
      <c r="LWF1" s="16" t="s">
        <v>10167</v>
      </c>
      <c r="LWG1" s="16" t="s">
        <v>10168</v>
      </c>
      <c r="LWH1" s="16" t="s">
        <v>10169</v>
      </c>
      <c r="LWI1" s="16" t="s">
        <v>10170</v>
      </c>
      <c r="LWJ1" s="16" t="s">
        <v>10171</v>
      </c>
      <c r="LWK1" s="16" t="s">
        <v>10172</v>
      </c>
      <c r="LWL1" s="16" t="s">
        <v>10173</v>
      </c>
      <c r="LWM1" s="16" t="s">
        <v>10174</v>
      </c>
      <c r="LWN1" s="16" t="s">
        <v>10175</v>
      </c>
      <c r="LWO1" s="16" t="s">
        <v>10176</v>
      </c>
      <c r="LWP1" s="16" t="s">
        <v>10177</v>
      </c>
      <c r="LWQ1" s="16" t="s">
        <v>10178</v>
      </c>
      <c r="LWR1" s="16" t="s">
        <v>10179</v>
      </c>
      <c r="LWS1" s="16" t="s">
        <v>10180</v>
      </c>
      <c r="LWT1" s="16" t="s">
        <v>10181</v>
      </c>
      <c r="LWU1" s="16" t="s">
        <v>10182</v>
      </c>
      <c r="LWV1" s="16" t="s">
        <v>10183</v>
      </c>
      <c r="LWW1" s="16" t="s">
        <v>10184</v>
      </c>
      <c r="LWX1" s="16" t="s">
        <v>10185</v>
      </c>
      <c r="LWY1" s="16" t="s">
        <v>10186</v>
      </c>
      <c r="LWZ1" s="16" t="s">
        <v>10187</v>
      </c>
      <c r="LXA1" s="16" t="s">
        <v>10188</v>
      </c>
      <c r="LXB1" s="16" t="s">
        <v>10189</v>
      </c>
      <c r="LXC1" s="16" t="s">
        <v>10190</v>
      </c>
      <c r="LXD1" s="16" t="s">
        <v>10191</v>
      </c>
      <c r="LXE1" s="16" t="s">
        <v>10192</v>
      </c>
      <c r="LXF1" s="16" t="s">
        <v>10193</v>
      </c>
      <c r="LXG1" s="16" t="s">
        <v>10194</v>
      </c>
      <c r="LXH1" s="16" t="s">
        <v>10195</v>
      </c>
      <c r="LXI1" s="16" t="s">
        <v>10196</v>
      </c>
      <c r="LXJ1" s="16" t="s">
        <v>10197</v>
      </c>
      <c r="LXK1" s="16" t="s">
        <v>10198</v>
      </c>
      <c r="LXL1" s="16" t="s">
        <v>10199</v>
      </c>
      <c r="LXM1" s="16" t="s">
        <v>10200</v>
      </c>
      <c r="LXN1" s="16" t="s">
        <v>10201</v>
      </c>
      <c r="LXO1" s="16" t="s">
        <v>10202</v>
      </c>
      <c r="LXP1" s="16" t="s">
        <v>10203</v>
      </c>
      <c r="LXQ1" s="16" t="s">
        <v>10204</v>
      </c>
      <c r="LXR1" s="16" t="s">
        <v>10205</v>
      </c>
      <c r="LXS1" s="16" t="s">
        <v>10206</v>
      </c>
      <c r="LXT1" s="16" t="s">
        <v>10207</v>
      </c>
      <c r="LXU1" s="16" t="s">
        <v>10208</v>
      </c>
      <c r="LXV1" s="16" t="s">
        <v>10209</v>
      </c>
      <c r="LXW1" s="16" t="s">
        <v>10210</v>
      </c>
      <c r="LXX1" s="16" t="s">
        <v>10211</v>
      </c>
      <c r="LXY1" s="16" t="s">
        <v>10212</v>
      </c>
      <c r="LXZ1" s="16" t="s">
        <v>10213</v>
      </c>
      <c r="LYA1" s="16" t="s">
        <v>10214</v>
      </c>
      <c r="LYB1" s="16" t="s">
        <v>10215</v>
      </c>
      <c r="LYC1" s="16" t="s">
        <v>10216</v>
      </c>
      <c r="LYD1" s="16" t="s">
        <v>10217</v>
      </c>
      <c r="LYE1" s="16" t="s">
        <v>10218</v>
      </c>
      <c r="LYF1" s="16" t="s">
        <v>10219</v>
      </c>
      <c r="LYG1" s="16" t="s">
        <v>10220</v>
      </c>
      <c r="LYH1" s="16" t="s">
        <v>10221</v>
      </c>
      <c r="LYI1" s="16" t="s">
        <v>10222</v>
      </c>
      <c r="LYJ1" s="16" t="s">
        <v>10223</v>
      </c>
      <c r="LYK1" s="16" t="s">
        <v>10224</v>
      </c>
      <c r="LYL1" s="16" t="s">
        <v>10225</v>
      </c>
      <c r="LYM1" s="16" t="s">
        <v>10226</v>
      </c>
      <c r="LYN1" s="16" t="s">
        <v>10227</v>
      </c>
      <c r="LYO1" s="16" t="s">
        <v>10228</v>
      </c>
      <c r="LYP1" s="16" t="s">
        <v>10229</v>
      </c>
      <c r="LYQ1" s="16" t="s">
        <v>10230</v>
      </c>
      <c r="LYR1" s="16" t="s">
        <v>10231</v>
      </c>
      <c r="LYS1" s="16" t="s">
        <v>10232</v>
      </c>
      <c r="LYT1" s="16" t="s">
        <v>10233</v>
      </c>
      <c r="LYU1" s="16" t="s">
        <v>10234</v>
      </c>
      <c r="LYV1" s="16" t="s">
        <v>10235</v>
      </c>
      <c r="LYW1" s="16" t="s">
        <v>10236</v>
      </c>
      <c r="LYX1" s="16" t="s">
        <v>10237</v>
      </c>
      <c r="LYY1" s="16" t="s">
        <v>10238</v>
      </c>
      <c r="LYZ1" s="16" t="s">
        <v>10239</v>
      </c>
      <c r="LZA1" s="16" t="s">
        <v>10240</v>
      </c>
      <c r="LZB1" s="16" t="s">
        <v>10241</v>
      </c>
      <c r="LZC1" s="16" t="s">
        <v>10242</v>
      </c>
      <c r="LZD1" s="16" t="s">
        <v>10243</v>
      </c>
      <c r="LZE1" s="16" t="s">
        <v>10244</v>
      </c>
      <c r="LZF1" s="16" t="s">
        <v>10245</v>
      </c>
      <c r="LZG1" s="16" t="s">
        <v>10246</v>
      </c>
      <c r="LZH1" s="16" t="s">
        <v>10247</v>
      </c>
      <c r="LZI1" s="16" t="s">
        <v>10248</v>
      </c>
      <c r="LZJ1" s="16" t="s">
        <v>10249</v>
      </c>
      <c r="LZK1" s="16" t="s">
        <v>10250</v>
      </c>
      <c r="LZL1" s="16" t="s">
        <v>10251</v>
      </c>
      <c r="LZM1" s="16" t="s">
        <v>10252</v>
      </c>
      <c r="LZN1" s="16" t="s">
        <v>10253</v>
      </c>
      <c r="LZO1" s="16" t="s">
        <v>10254</v>
      </c>
      <c r="LZP1" s="16" t="s">
        <v>10255</v>
      </c>
      <c r="LZQ1" s="16" t="s">
        <v>10256</v>
      </c>
      <c r="LZR1" s="16" t="s">
        <v>10257</v>
      </c>
      <c r="LZS1" s="16" t="s">
        <v>10258</v>
      </c>
      <c r="LZT1" s="16" t="s">
        <v>10259</v>
      </c>
      <c r="LZU1" s="16" t="s">
        <v>10260</v>
      </c>
      <c r="LZV1" s="16" t="s">
        <v>10261</v>
      </c>
      <c r="LZW1" s="16" t="s">
        <v>10262</v>
      </c>
      <c r="LZX1" s="16" t="s">
        <v>10263</v>
      </c>
      <c r="LZY1" s="16" t="s">
        <v>10264</v>
      </c>
      <c r="LZZ1" s="16" t="s">
        <v>10265</v>
      </c>
      <c r="MAA1" s="16" t="s">
        <v>10266</v>
      </c>
      <c r="MAB1" s="16" t="s">
        <v>10267</v>
      </c>
      <c r="MAC1" s="16" t="s">
        <v>10268</v>
      </c>
      <c r="MAD1" s="16" t="s">
        <v>10269</v>
      </c>
      <c r="MAE1" s="16" t="s">
        <v>10270</v>
      </c>
      <c r="MAF1" s="16" t="s">
        <v>10271</v>
      </c>
      <c r="MAG1" s="16" t="s">
        <v>10272</v>
      </c>
      <c r="MAH1" s="16" t="s">
        <v>10273</v>
      </c>
      <c r="MAI1" s="16" t="s">
        <v>10274</v>
      </c>
      <c r="MAJ1" s="16" t="s">
        <v>10275</v>
      </c>
      <c r="MAK1" s="16" t="s">
        <v>10276</v>
      </c>
      <c r="MAL1" s="16" t="s">
        <v>10277</v>
      </c>
      <c r="MAM1" s="16" t="s">
        <v>10278</v>
      </c>
      <c r="MAN1" s="16" t="s">
        <v>10279</v>
      </c>
      <c r="MAO1" s="16" t="s">
        <v>10280</v>
      </c>
      <c r="MAP1" s="16" t="s">
        <v>10281</v>
      </c>
      <c r="MAQ1" s="16" t="s">
        <v>10282</v>
      </c>
      <c r="MAR1" s="16" t="s">
        <v>10283</v>
      </c>
      <c r="MAS1" s="16" t="s">
        <v>10284</v>
      </c>
      <c r="MAT1" s="16" t="s">
        <v>10285</v>
      </c>
      <c r="MAU1" s="16" t="s">
        <v>10286</v>
      </c>
      <c r="MAV1" s="16" t="s">
        <v>10287</v>
      </c>
      <c r="MAW1" s="16" t="s">
        <v>10288</v>
      </c>
      <c r="MAX1" s="16" t="s">
        <v>10289</v>
      </c>
      <c r="MAY1" s="16" t="s">
        <v>10290</v>
      </c>
      <c r="MAZ1" s="16" t="s">
        <v>10291</v>
      </c>
      <c r="MBA1" s="16" t="s">
        <v>10292</v>
      </c>
      <c r="MBB1" s="16" t="s">
        <v>10293</v>
      </c>
      <c r="MBC1" s="16" t="s">
        <v>10294</v>
      </c>
      <c r="MBD1" s="16" t="s">
        <v>10295</v>
      </c>
      <c r="MBE1" s="16" t="s">
        <v>10296</v>
      </c>
      <c r="MBF1" s="16" t="s">
        <v>10297</v>
      </c>
      <c r="MBG1" s="16" t="s">
        <v>10298</v>
      </c>
      <c r="MBH1" s="16" t="s">
        <v>10299</v>
      </c>
      <c r="MBI1" s="16" t="s">
        <v>10300</v>
      </c>
      <c r="MBJ1" s="16" t="s">
        <v>10301</v>
      </c>
      <c r="MBK1" s="16" t="s">
        <v>10302</v>
      </c>
      <c r="MBL1" s="16" t="s">
        <v>10303</v>
      </c>
      <c r="MBM1" s="16" t="s">
        <v>10304</v>
      </c>
      <c r="MBN1" s="16" t="s">
        <v>10305</v>
      </c>
      <c r="MBO1" s="16" t="s">
        <v>10306</v>
      </c>
      <c r="MBP1" s="16" t="s">
        <v>10307</v>
      </c>
      <c r="MBQ1" s="16" t="s">
        <v>10308</v>
      </c>
      <c r="MBR1" s="16" t="s">
        <v>10309</v>
      </c>
      <c r="MBS1" s="16" t="s">
        <v>10310</v>
      </c>
      <c r="MBT1" s="16" t="s">
        <v>10311</v>
      </c>
      <c r="MBU1" s="16" t="s">
        <v>10312</v>
      </c>
      <c r="MBV1" s="16" t="s">
        <v>10313</v>
      </c>
      <c r="MBW1" s="16" t="s">
        <v>10314</v>
      </c>
      <c r="MBX1" s="16" t="s">
        <v>10315</v>
      </c>
      <c r="MBY1" s="16" t="s">
        <v>10316</v>
      </c>
      <c r="MBZ1" s="16" t="s">
        <v>10317</v>
      </c>
      <c r="MCA1" s="16" t="s">
        <v>10318</v>
      </c>
      <c r="MCB1" s="16" t="s">
        <v>10319</v>
      </c>
      <c r="MCC1" s="16" t="s">
        <v>10320</v>
      </c>
      <c r="MCD1" s="16" t="s">
        <v>10321</v>
      </c>
      <c r="MCE1" s="16" t="s">
        <v>10322</v>
      </c>
      <c r="MCF1" s="16" t="s">
        <v>10323</v>
      </c>
      <c r="MCG1" s="16" t="s">
        <v>10324</v>
      </c>
      <c r="MCH1" s="16" t="s">
        <v>10325</v>
      </c>
      <c r="MCI1" s="16" t="s">
        <v>10326</v>
      </c>
      <c r="MCJ1" s="16" t="s">
        <v>10327</v>
      </c>
      <c r="MCK1" s="16" t="s">
        <v>10328</v>
      </c>
      <c r="MCL1" s="16" t="s">
        <v>10329</v>
      </c>
      <c r="MCM1" s="16" t="s">
        <v>10330</v>
      </c>
      <c r="MCN1" s="16" t="s">
        <v>10331</v>
      </c>
      <c r="MCO1" s="16" t="s">
        <v>10332</v>
      </c>
      <c r="MCP1" s="16" t="s">
        <v>10333</v>
      </c>
      <c r="MCQ1" s="16" t="s">
        <v>10334</v>
      </c>
      <c r="MCR1" s="16" t="s">
        <v>10335</v>
      </c>
      <c r="MCS1" s="16" t="s">
        <v>10336</v>
      </c>
      <c r="MCT1" s="16" t="s">
        <v>10337</v>
      </c>
      <c r="MCU1" s="16" t="s">
        <v>10338</v>
      </c>
      <c r="MCV1" s="16" t="s">
        <v>10339</v>
      </c>
      <c r="MCW1" s="16" t="s">
        <v>10340</v>
      </c>
      <c r="MCX1" s="16" t="s">
        <v>10341</v>
      </c>
      <c r="MCY1" s="16" t="s">
        <v>10342</v>
      </c>
      <c r="MCZ1" s="16" t="s">
        <v>10343</v>
      </c>
      <c r="MDA1" s="16" t="s">
        <v>10344</v>
      </c>
      <c r="MDB1" s="16" t="s">
        <v>10345</v>
      </c>
      <c r="MDC1" s="16" t="s">
        <v>10346</v>
      </c>
      <c r="MDD1" s="16" t="s">
        <v>10347</v>
      </c>
      <c r="MDE1" s="16" t="s">
        <v>10348</v>
      </c>
      <c r="MDF1" s="16" t="s">
        <v>10349</v>
      </c>
      <c r="MDG1" s="16" t="s">
        <v>10350</v>
      </c>
      <c r="MDH1" s="16" t="s">
        <v>10351</v>
      </c>
      <c r="MDI1" s="16" t="s">
        <v>10352</v>
      </c>
      <c r="MDJ1" s="16" t="s">
        <v>10353</v>
      </c>
      <c r="MDK1" s="16" t="s">
        <v>10354</v>
      </c>
      <c r="MDL1" s="16" t="s">
        <v>10355</v>
      </c>
      <c r="MDM1" s="16" t="s">
        <v>10356</v>
      </c>
      <c r="MDN1" s="16" t="s">
        <v>10357</v>
      </c>
      <c r="MDO1" s="16" t="s">
        <v>10358</v>
      </c>
      <c r="MDP1" s="16" t="s">
        <v>10359</v>
      </c>
      <c r="MDQ1" s="16" t="s">
        <v>10360</v>
      </c>
      <c r="MDR1" s="16" t="s">
        <v>10361</v>
      </c>
      <c r="MDS1" s="16" t="s">
        <v>10362</v>
      </c>
      <c r="MDT1" s="16" t="s">
        <v>10363</v>
      </c>
      <c r="MDU1" s="16" t="s">
        <v>10364</v>
      </c>
      <c r="MDV1" s="16" t="s">
        <v>10365</v>
      </c>
      <c r="MDW1" s="16" t="s">
        <v>10366</v>
      </c>
      <c r="MDX1" s="16" t="s">
        <v>10367</v>
      </c>
      <c r="MDY1" s="16" t="s">
        <v>10368</v>
      </c>
      <c r="MDZ1" s="16" t="s">
        <v>10369</v>
      </c>
      <c r="MEA1" s="16" t="s">
        <v>10370</v>
      </c>
      <c r="MEB1" s="16" t="s">
        <v>10371</v>
      </c>
      <c r="MEC1" s="16" t="s">
        <v>10372</v>
      </c>
      <c r="MED1" s="16" t="s">
        <v>10373</v>
      </c>
      <c r="MEE1" s="16" t="s">
        <v>10374</v>
      </c>
      <c r="MEF1" s="16" t="s">
        <v>10375</v>
      </c>
      <c r="MEG1" s="16" t="s">
        <v>10376</v>
      </c>
      <c r="MEH1" s="16" t="s">
        <v>10377</v>
      </c>
      <c r="MEI1" s="16" t="s">
        <v>10378</v>
      </c>
      <c r="MEJ1" s="16" t="s">
        <v>10379</v>
      </c>
      <c r="MEK1" s="16" t="s">
        <v>10380</v>
      </c>
      <c r="MEL1" s="16" t="s">
        <v>10381</v>
      </c>
      <c r="MEM1" s="16" t="s">
        <v>10382</v>
      </c>
      <c r="MEN1" s="16" t="s">
        <v>10383</v>
      </c>
      <c r="MEO1" s="16" t="s">
        <v>10384</v>
      </c>
      <c r="MEP1" s="16" t="s">
        <v>10385</v>
      </c>
      <c r="MEQ1" s="16" t="s">
        <v>10386</v>
      </c>
      <c r="MER1" s="16" t="s">
        <v>10387</v>
      </c>
      <c r="MES1" s="16" t="s">
        <v>10388</v>
      </c>
      <c r="MET1" s="16" t="s">
        <v>10389</v>
      </c>
      <c r="MEU1" s="16" t="s">
        <v>10390</v>
      </c>
      <c r="MEV1" s="16" t="s">
        <v>10391</v>
      </c>
      <c r="MEW1" s="16" t="s">
        <v>10392</v>
      </c>
      <c r="MEX1" s="16" t="s">
        <v>10393</v>
      </c>
      <c r="MEY1" s="16" t="s">
        <v>10394</v>
      </c>
      <c r="MEZ1" s="16" t="s">
        <v>10395</v>
      </c>
      <c r="MFA1" s="16" t="s">
        <v>10396</v>
      </c>
      <c r="MFB1" s="16" t="s">
        <v>10397</v>
      </c>
      <c r="MFC1" s="16" t="s">
        <v>10398</v>
      </c>
      <c r="MFD1" s="16" t="s">
        <v>10399</v>
      </c>
      <c r="MFE1" s="16" t="s">
        <v>10400</v>
      </c>
      <c r="MFF1" s="16" t="s">
        <v>10401</v>
      </c>
      <c r="MFG1" s="16" t="s">
        <v>10402</v>
      </c>
      <c r="MFH1" s="16" t="s">
        <v>10403</v>
      </c>
      <c r="MFI1" s="16" t="s">
        <v>10404</v>
      </c>
      <c r="MFJ1" s="16" t="s">
        <v>10405</v>
      </c>
      <c r="MFK1" s="16" t="s">
        <v>10406</v>
      </c>
      <c r="MFL1" s="16" t="s">
        <v>10407</v>
      </c>
      <c r="MFM1" s="16" t="s">
        <v>10408</v>
      </c>
      <c r="MFN1" s="16" t="s">
        <v>10409</v>
      </c>
      <c r="MFO1" s="16" t="s">
        <v>10410</v>
      </c>
      <c r="MFP1" s="16" t="s">
        <v>10411</v>
      </c>
      <c r="MFQ1" s="16" t="s">
        <v>10412</v>
      </c>
      <c r="MFR1" s="16" t="s">
        <v>10413</v>
      </c>
      <c r="MFS1" s="16" t="s">
        <v>10414</v>
      </c>
      <c r="MFT1" s="16" t="s">
        <v>10415</v>
      </c>
      <c r="MFU1" s="16" t="s">
        <v>10416</v>
      </c>
      <c r="MFV1" s="16" t="s">
        <v>10417</v>
      </c>
      <c r="MFW1" s="16" t="s">
        <v>10418</v>
      </c>
      <c r="MFX1" s="16" t="s">
        <v>10419</v>
      </c>
      <c r="MFY1" s="16" t="s">
        <v>10420</v>
      </c>
      <c r="MFZ1" s="16" t="s">
        <v>10421</v>
      </c>
      <c r="MGA1" s="16" t="s">
        <v>10422</v>
      </c>
      <c r="MGB1" s="16" t="s">
        <v>10423</v>
      </c>
      <c r="MGC1" s="16" t="s">
        <v>10424</v>
      </c>
      <c r="MGD1" s="16" t="s">
        <v>10425</v>
      </c>
      <c r="MGE1" s="16" t="s">
        <v>10426</v>
      </c>
      <c r="MGF1" s="16" t="s">
        <v>10427</v>
      </c>
      <c r="MGG1" s="16" t="s">
        <v>10428</v>
      </c>
      <c r="MGH1" s="16" t="s">
        <v>10429</v>
      </c>
      <c r="MGI1" s="16" t="s">
        <v>10430</v>
      </c>
      <c r="MGJ1" s="16" t="s">
        <v>10431</v>
      </c>
      <c r="MGK1" s="16" t="s">
        <v>10432</v>
      </c>
      <c r="MGL1" s="16" t="s">
        <v>10433</v>
      </c>
      <c r="MGM1" s="16" t="s">
        <v>10434</v>
      </c>
      <c r="MGN1" s="16" t="s">
        <v>10435</v>
      </c>
      <c r="MGO1" s="16" t="s">
        <v>10436</v>
      </c>
      <c r="MGP1" s="16" t="s">
        <v>10437</v>
      </c>
      <c r="MGQ1" s="16" t="s">
        <v>10438</v>
      </c>
      <c r="MGR1" s="16" t="s">
        <v>10439</v>
      </c>
      <c r="MGS1" s="16" t="s">
        <v>10440</v>
      </c>
      <c r="MGT1" s="16" t="s">
        <v>10441</v>
      </c>
      <c r="MGU1" s="16" t="s">
        <v>10442</v>
      </c>
      <c r="MGV1" s="16" t="s">
        <v>10443</v>
      </c>
      <c r="MGW1" s="16" t="s">
        <v>10444</v>
      </c>
      <c r="MGX1" s="16" t="s">
        <v>10445</v>
      </c>
      <c r="MGY1" s="16" t="s">
        <v>10446</v>
      </c>
      <c r="MGZ1" s="16" t="s">
        <v>10447</v>
      </c>
      <c r="MHA1" s="16" t="s">
        <v>10448</v>
      </c>
      <c r="MHB1" s="16" t="s">
        <v>10449</v>
      </c>
      <c r="MHC1" s="16" t="s">
        <v>10450</v>
      </c>
      <c r="MHD1" s="16" t="s">
        <v>10451</v>
      </c>
      <c r="MHE1" s="16" t="s">
        <v>10452</v>
      </c>
      <c r="MHF1" s="16" t="s">
        <v>10453</v>
      </c>
      <c r="MHG1" s="16" t="s">
        <v>10454</v>
      </c>
      <c r="MHH1" s="16" t="s">
        <v>10455</v>
      </c>
      <c r="MHI1" s="16" t="s">
        <v>10456</v>
      </c>
      <c r="MHJ1" s="16" t="s">
        <v>10457</v>
      </c>
      <c r="MHK1" s="16" t="s">
        <v>10458</v>
      </c>
      <c r="MHL1" s="16" t="s">
        <v>10459</v>
      </c>
      <c r="MHM1" s="16" t="s">
        <v>10460</v>
      </c>
      <c r="MHN1" s="16" t="s">
        <v>10461</v>
      </c>
      <c r="MHO1" s="16" t="s">
        <v>10462</v>
      </c>
      <c r="MHP1" s="16" t="s">
        <v>10463</v>
      </c>
      <c r="MHQ1" s="16" t="s">
        <v>10464</v>
      </c>
      <c r="MHR1" s="16" t="s">
        <v>10465</v>
      </c>
      <c r="MHS1" s="16" t="s">
        <v>10466</v>
      </c>
      <c r="MHT1" s="16" t="s">
        <v>10467</v>
      </c>
      <c r="MHU1" s="16" t="s">
        <v>10468</v>
      </c>
      <c r="MHV1" s="16" t="s">
        <v>10469</v>
      </c>
      <c r="MHW1" s="16" t="s">
        <v>10470</v>
      </c>
      <c r="MHX1" s="16" t="s">
        <v>10471</v>
      </c>
      <c r="MHY1" s="16" t="s">
        <v>10472</v>
      </c>
      <c r="MHZ1" s="16" t="s">
        <v>10473</v>
      </c>
      <c r="MIA1" s="16" t="s">
        <v>10474</v>
      </c>
      <c r="MIB1" s="16" t="s">
        <v>10475</v>
      </c>
      <c r="MIC1" s="16" t="s">
        <v>10476</v>
      </c>
      <c r="MID1" s="16" t="s">
        <v>10477</v>
      </c>
      <c r="MIE1" s="16" t="s">
        <v>10478</v>
      </c>
      <c r="MIF1" s="16" t="s">
        <v>10479</v>
      </c>
      <c r="MIG1" s="16" t="s">
        <v>10480</v>
      </c>
      <c r="MIH1" s="16" t="s">
        <v>10481</v>
      </c>
      <c r="MII1" s="16" t="s">
        <v>10482</v>
      </c>
      <c r="MIJ1" s="16" t="s">
        <v>10483</v>
      </c>
      <c r="MIK1" s="16" t="s">
        <v>10484</v>
      </c>
      <c r="MIL1" s="16" t="s">
        <v>10485</v>
      </c>
      <c r="MIM1" s="16" t="s">
        <v>10486</v>
      </c>
      <c r="MIN1" s="16" t="s">
        <v>10487</v>
      </c>
      <c r="MIO1" s="16" t="s">
        <v>10488</v>
      </c>
      <c r="MIP1" s="16" t="s">
        <v>10489</v>
      </c>
      <c r="MIQ1" s="16" t="s">
        <v>10490</v>
      </c>
      <c r="MIR1" s="16" t="s">
        <v>10491</v>
      </c>
      <c r="MIS1" s="16" t="s">
        <v>10492</v>
      </c>
      <c r="MIT1" s="16" t="s">
        <v>10493</v>
      </c>
      <c r="MIU1" s="16" t="s">
        <v>10494</v>
      </c>
      <c r="MIV1" s="16" t="s">
        <v>10495</v>
      </c>
      <c r="MIW1" s="16" t="s">
        <v>10496</v>
      </c>
      <c r="MIX1" s="16" t="s">
        <v>10497</v>
      </c>
      <c r="MIY1" s="16" t="s">
        <v>10498</v>
      </c>
      <c r="MIZ1" s="16" t="s">
        <v>10499</v>
      </c>
      <c r="MJA1" s="16" t="s">
        <v>10500</v>
      </c>
      <c r="MJB1" s="16" t="s">
        <v>10501</v>
      </c>
      <c r="MJC1" s="16" t="s">
        <v>10502</v>
      </c>
      <c r="MJD1" s="16" t="s">
        <v>10503</v>
      </c>
      <c r="MJE1" s="16" t="s">
        <v>10504</v>
      </c>
      <c r="MJF1" s="16" t="s">
        <v>10505</v>
      </c>
      <c r="MJG1" s="16" t="s">
        <v>10506</v>
      </c>
      <c r="MJH1" s="16" t="s">
        <v>10507</v>
      </c>
      <c r="MJI1" s="16" t="s">
        <v>10508</v>
      </c>
      <c r="MJJ1" s="16" t="s">
        <v>10509</v>
      </c>
      <c r="MJK1" s="16" t="s">
        <v>10510</v>
      </c>
      <c r="MJL1" s="16" t="s">
        <v>10511</v>
      </c>
      <c r="MJM1" s="16" t="s">
        <v>10512</v>
      </c>
      <c r="MJN1" s="16" t="s">
        <v>10513</v>
      </c>
      <c r="MJO1" s="16" t="s">
        <v>10514</v>
      </c>
      <c r="MJP1" s="16" t="s">
        <v>10515</v>
      </c>
      <c r="MJQ1" s="16" t="s">
        <v>10516</v>
      </c>
      <c r="MJR1" s="16" t="s">
        <v>10517</v>
      </c>
      <c r="MJS1" s="16" t="s">
        <v>10518</v>
      </c>
      <c r="MJT1" s="16" t="s">
        <v>10519</v>
      </c>
      <c r="MJU1" s="16" t="s">
        <v>10520</v>
      </c>
      <c r="MJV1" s="16" t="s">
        <v>10521</v>
      </c>
      <c r="MJW1" s="16" t="s">
        <v>10522</v>
      </c>
      <c r="MJX1" s="16" t="s">
        <v>10523</v>
      </c>
      <c r="MJY1" s="16" t="s">
        <v>10524</v>
      </c>
      <c r="MJZ1" s="16" t="s">
        <v>10525</v>
      </c>
      <c r="MKA1" s="16" t="s">
        <v>10526</v>
      </c>
      <c r="MKB1" s="16" t="s">
        <v>10527</v>
      </c>
      <c r="MKC1" s="16" t="s">
        <v>10528</v>
      </c>
      <c r="MKD1" s="16" t="s">
        <v>10529</v>
      </c>
      <c r="MKE1" s="16" t="s">
        <v>10530</v>
      </c>
      <c r="MKF1" s="16" t="s">
        <v>10531</v>
      </c>
      <c r="MKG1" s="16" t="s">
        <v>10532</v>
      </c>
      <c r="MKH1" s="16" t="s">
        <v>10533</v>
      </c>
      <c r="MKI1" s="16" t="s">
        <v>10534</v>
      </c>
      <c r="MKJ1" s="16" t="s">
        <v>10535</v>
      </c>
      <c r="MKK1" s="16" t="s">
        <v>10536</v>
      </c>
      <c r="MKL1" s="16" t="s">
        <v>10537</v>
      </c>
      <c r="MKM1" s="16" t="s">
        <v>10538</v>
      </c>
      <c r="MKN1" s="16" t="s">
        <v>10539</v>
      </c>
      <c r="MKO1" s="16" t="s">
        <v>10540</v>
      </c>
      <c r="MKP1" s="16" t="s">
        <v>10541</v>
      </c>
      <c r="MKQ1" s="16" t="s">
        <v>10542</v>
      </c>
      <c r="MKR1" s="16" t="s">
        <v>10543</v>
      </c>
      <c r="MKS1" s="16" t="s">
        <v>10544</v>
      </c>
      <c r="MKT1" s="16" t="s">
        <v>10545</v>
      </c>
      <c r="MKU1" s="16" t="s">
        <v>10546</v>
      </c>
      <c r="MKV1" s="16" t="s">
        <v>10547</v>
      </c>
      <c r="MKW1" s="16" t="s">
        <v>10548</v>
      </c>
      <c r="MKX1" s="16" t="s">
        <v>10549</v>
      </c>
      <c r="MKY1" s="16" t="s">
        <v>10550</v>
      </c>
      <c r="MKZ1" s="16" t="s">
        <v>10551</v>
      </c>
      <c r="MLA1" s="16" t="s">
        <v>10552</v>
      </c>
      <c r="MLB1" s="16" t="s">
        <v>10553</v>
      </c>
      <c r="MLC1" s="16" t="s">
        <v>10554</v>
      </c>
      <c r="MLD1" s="16" t="s">
        <v>10555</v>
      </c>
      <c r="MLE1" s="16" t="s">
        <v>10556</v>
      </c>
      <c r="MLF1" s="16" t="s">
        <v>10557</v>
      </c>
      <c r="MLG1" s="16" t="s">
        <v>10558</v>
      </c>
      <c r="MLH1" s="16" t="s">
        <v>10559</v>
      </c>
      <c r="MLI1" s="16" t="s">
        <v>10560</v>
      </c>
      <c r="MLJ1" s="16" t="s">
        <v>10561</v>
      </c>
      <c r="MLK1" s="16" t="s">
        <v>10562</v>
      </c>
      <c r="MLL1" s="16" t="s">
        <v>10563</v>
      </c>
      <c r="MLM1" s="16" t="s">
        <v>10564</v>
      </c>
      <c r="MLN1" s="16" t="s">
        <v>10565</v>
      </c>
      <c r="MLO1" s="16" t="s">
        <v>10566</v>
      </c>
      <c r="MLP1" s="16" t="s">
        <v>10567</v>
      </c>
      <c r="MLQ1" s="16" t="s">
        <v>10568</v>
      </c>
      <c r="MLR1" s="16" t="s">
        <v>10569</v>
      </c>
      <c r="MLS1" s="16" t="s">
        <v>10570</v>
      </c>
      <c r="MLT1" s="16" t="s">
        <v>10571</v>
      </c>
      <c r="MLU1" s="16" t="s">
        <v>10572</v>
      </c>
      <c r="MLV1" s="16" t="s">
        <v>10573</v>
      </c>
      <c r="MLW1" s="16" t="s">
        <v>10574</v>
      </c>
      <c r="MLX1" s="16" t="s">
        <v>10575</v>
      </c>
      <c r="MLY1" s="16" t="s">
        <v>10576</v>
      </c>
      <c r="MLZ1" s="16" t="s">
        <v>10577</v>
      </c>
      <c r="MMA1" s="16" t="s">
        <v>10578</v>
      </c>
      <c r="MMB1" s="16" t="s">
        <v>10579</v>
      </c>
      <c r="MMC1" s="16" t="s">
        <v>10580</v>
      </c>
      <c r="MMD1" s="16" t="s">
        <v>10581</v>
      </c>
      <c r="MME1" s="16" t="s">
        <v>10582</v>
      </c>
      <c r="MMF1" s="16" t="s">
        <v>10583</v>
      </c>
      <c r="MMG1" s="16" t="s">
        <v>10584</v>
      </c>
      <c r="MMH1" s="16" t="s">
        <v>10585</v>
      </c>
      <c r="MMI1" s="16" t="s">
        <v>10586</v>
      </c>
      <c r="MMJ1" s="16" t="s">
        <v>10587</v>
      </c>
      <c r="MMK1" s="16" t="s">
        <v>10588</v>
      </c>
      <c r="MML1" s="16" t="s">
        <v>10589</v>
      </c>
      <c r="MMM1" s="16" t="s">
        <v>10590</v>
      </c>
      <c r="MMN1" s="16" t="s">
        <v>10591</v>
      </c>
      <c r="MMO1" s="16" t="s">
        <v>10592</v>
      </c>
      <c r="MMP1" s="16" t="s">
        <v>10593</v>
      </c>
      <c r="MMQ1" s="16" t="s">
        <v>10594</v>
      </c>
      <c r="MMR1" s="16" t="s">
        <v>10595</v>
      </c>
      <c r="MMS1" s="16" t="s">
        <v>10596</v>
      </c>
      <c r="MMT1" s="16" t="s">
        <v>10597</v>
      </c>
      <c r="MMU1" s="16" t="s">
        <v>10598</v>
      </c>
      <c r="MMV1" s="16" t="s">
        <v>10599</v>
      </c>
      <c r="MMW1" s="16" t="s">
        <v>10600</v>
      </c>
      <c r="MMX1" s="16" t="s">
        <v>10601</v>
      </c>
      <c r="MMY1" s="16" t="s">
        <v>10602</v>
      </c>
      <c r="MMZ1" s="16" t="s">
        <v>10603</v>
      </c>
      <c r="MNA1" s="16" t="s">
        <v>10604</v>
      </c>
      <c r="MNB1" s="16" t="s">
        <v>10605</v>
      </c>
      <c r="MNC1" s="16" t="s">
        <v>10606</v>
      </c>
      <c r="MND1" s="16" t="s">
        <v>10607</v>
      </c>
      <c r="MNE1" s="16" t="s">
        <v>10608</v>
      </c>
      <c r="MNF1" s="16" t="s">
        <v>10609</v>
      </c>
      <c r="MNG1" s="16" t="s">
        <v>10610</v>
      </c>
      <c r="MNH1" s="16" t="s">
        <v>10611</v>
      </c>
      <c r="MNI1" s="16" t="s">
        <v>10612</v>
      </c>
      <c r="MNJ1" s="16" t="s">
        <v>10613</v>
      </c>
      <c r="MNK1" s="16" t="s">
        <v>10614</v>
      </c>
      <c r="MNL1" s="16" t="s">
        <v>10615</v>
      </c>
      <c r="MNM1" s="16" t="s">
        <v>10616</v>
      </c>
      <c r="MNN1" s="16" t="s">
        <v>10617</v>
      </c>
      <c r="MNO1" s="16" t="s">
        <v>10618</v>
      </c>
      <c r="MNP1" s="16" t="s">
        <v>10619</v>
      </c>
      <c r="MNQ1" s="16" t="s">
        <v>10620</v>
      </c>
      <c r="MNR1" s="16" t="s">
        <v>10621</v>
      </c>
      <c r="MNS1" s="16" t="s">
        <v>10622</v>
      </c>
      <c r="MNT1" s="16" t="s">
        <v>10623</v>
      </c>
      <c r="MNU1" s="16" t="s">
        <v>10624</v>
      </c>
      <c r="MNV1" s="16" t="s">
        <v>10625</v>
      </c>
      <c r="MNW1" s="16" t="s">
        <v>10626</v>
      </c>
      <c r="MNX1" s="16" t="s">
        <v>10627</v>
      </c>
      <c r="MNY1" s="16" t="s">
        <v>10628</v>
      </c>
      <c r="MNZ1" s="16" t="s">
        <v>10629</v>
      </c>
      <c r="MOA1" s="16" t="s">
        <v>10630</v>
      </c>
      <c r="MOB1" s="16" t="s">
        <v>10631</v>
      </c>
      <c r="MOC1" s="16" t="s">
        <v>10632</v>
      </c>
      <c r="MOD1" s="16" t="s">
        <v>10633</v>
      </c>
      <c r="MOE1" s="16" t="s">
        <v>10634</v>
      </c>
      <c r="MOF1" s="16" t="s">
        <v>10635</v>
      </c>
      <c r="MOG1" s="16" t="s">
        <v>10636</v>
      </c>
      <c r="MOH1" s="16" t="s">
        <v>10637</v>
      </c>
      <c r="MOI1" s="16" t="s">
        <v>10638</v>
      </c>
      <c r="MOJ1" s="16" t="s">
        <v>10639</v>
      </c>
      <c r="MOK1" s="16" t="s">
        <v>10640</v>
      </c>
      <c r="MOL1" s="16" t="s">
        <v>10641</v>
      </c>
      <c r="MOM1" s="16" t="s">
        <v>10642</v>
      </c>
      <c r="MON1" s="16" t="s">
        <v>10643</v>
      </c>
      <c r="MOO1" s="16" t="s">
        <v>10644</v>
      </c>
      <c r="MOP1" s="16" t="s">
        <v>10645</v>
      </c>
      <c r="MOQ1" s="16" t="s">
        <v>10646</v>
      </c>
      <c r="MOR1" s="16" t="s">
        <v>10647</v>
      </c>
      <c r="MOS1" s="16" t="s">
        <v>10648</v>
      </c>
      <c r="MOT1" s="16" t="s">
        <v>10649</v>
      </c>
      <c r="MOU1" s="16" t="s">
        <v>10650</v>
      </c>
      <c r="MOV1" s="16" t="s">
        <v>10651</v>
      </c>
      <c r="MOW1" s="16" t="s">
        <v>10652</v>
      </c>
      <c r="MOX1" s="16" t="s">
        <v>10653</v>
      </c>
      <c r="MOY1" s="16" t="s">
        <v>10654</v>
      </c>
      <c r="MOZ1" s="16" t="s">
        <v>10655</v>
      </c>
      <c r="MPA1" s="16" t="s">
        <v>10656</v>
      </c>
      <c r="MPB1" s="16" t="s">
        <v>10657</v>
      </c>
      <c r="MPC1" s="16" t="s">
        <v>10658</v>
      </c>
      <c r="MPD1" s="16" t="s">
        <v>10659</v>
      </c>
      <c r="MPE1" s="16" t="s">
        <v>10660</v>
      </c>
      <c r="MPF1" s="16" t="s">
        <v>10661</v>
      </c>
      <c r="MPG1" s="16" t="s">
        <v>10662</v>
      </c>
      <c r="MPH1" s="16" t="s">
        <v>10663</v>
      </c>
      <c r="MPI1" s="16" t="s">
        <v>10664</v>
      </c>
      <c r="MPJ1" s="16" t="s">
        <v>10665</v>
      </c>
      <c r="MPK1" s="16" t="s">
        <v>10666</v>
      </c>
      <c r="MPL1" s="16" t="s">
        <v>10667</v>
      </c>
      <c r="MPM1" s="16" t="s">
        <v>10668</v>
      </c>
      <c r="MPN1" s="16" t="s">
        <v>10669</v>
      </c>
      <c r="MPO1" s="16" t="s">
        <v>10670</v>
      </c>
      <c r="MPP1" s="16" t="s">
        <v>10671</v>
      </c>
      <c r="MPQ1" s="16" t="s">
        <v>10672</v>
      </c>
      <c r="MPR1" s="16" t="s">
        <v>10673</v>
      </c>
      <c r="MPS1" s="16" t="s">
        <v>10674</v>
      </c>
      <c r="MPT1" s="16" t="s">
        <v>10675</v>
      </c>
      <c r="MPU1" s="16" t="s">
        <v>10676</v>
      </c>
      <c r="MPV1" s="16" t="s">
        <v>10677</v>
      </c>
      <c r="MPW1" s="16" t="s">
        <v>10678</v>
      </c>
      <c r="MPX1" s="16" t="s">
        <v>10679</v>
      </c>
      <c r="MPY1" s="16" t="s">
        <v>10680</v>
      </c>
      <c r="MPZ1" s="16" t="s">
        <v>10681</v>
      </c>
      <c r="MQA1" s="16" t="s">
        <v>10682</v>
      </c>
      <c r="MQB1" s="16" t="s">
        <v>10683</v>
      </c>
      <c r="MQC1" s="16" t="s">
        <v>10684</v>
      </c>
      <c r="MQD1" s="16" t="s">
        <v>10685</v>
      </c>
      <c r="MQE1" s="16" t="s">
        <v>10686</v>
      </c>
      <c r="MQF1" s="16" t="s">
        <v>10687</v>
      </c>
      <c r="MQG1" s="16" t="s">
        <v>10688</v>
      </c>
      <c r="MQH1" s="16" t="s">
        <v>10689</v>
      </c>
      <c r="MQI1" s="16" t="s">
        <v>10690</v>
      </c>
      <c r="MQJ1" s="16" t="s">
        <v>10691</v>
      </c>
      <c r="MQK1" s="16" t="s">
        <v>10692</v>
      </c>
      <c r="MQL1" s="16" t="s">
        <v>10693</v>
      </c>
      <c r="MQM1" s="16" t="s">
        <v>10694</v>
      </c>
      <c r="MQN1" s="16" t="s">
        <v>10695</v>
      </c>
      <c r="MQO1" s="16" t="s">
        <v>10696</v>
      </c>
      <c r="MQP1" s="16" t="s">
        <v>10697</v>
      </c>
      <c r="MQQ1" s="16" t="s">
        <v>10698</v>
      </c>
      <c r="MQR1" s="16" t="s">
        <v>10699</v>
      </c>
      <c r="MQS1" s="16" t="s">
        <v>10700</v>
      </c>
      <c r="MQT1" s="16" t="s">
        <v>10701</v>
      </c>
      <c r="MQU1" s="16" t="s">
        <v>10702</v>
      </c>
      <c r="MQV1" s="16" t="s">
        <v>10703</v>
      </c>
      <c r="MQW1" s="16" t="s">
        <v>10704</v>
      </c>
      <c r="MQX1" s="16" t="s">
        <v>10705</v>
      </c>
      <c r="MQY1" s="16" t="s">
        <v>10706</v>
      </c>
      <c r="MQZ1" s="16" t="s">
        <v>10707</v>
      </c>
      <c r="MRA1" s="16" t="s">
        <v>10708</v>
      </c>
      <c r="MRB1" s="16" t="s">
        <v>10709</v>
      </c>
      <c r="MRC1" s="16" t="s">
        <v>10710</v>
      </c>
      <c r="MRD1" s="16" t="s">
        <v>10711</v>
      </c>
      <c r="MRE1" s="16" t="s">
        <v>10712</v>
      </c>
      <c r="MRF1" s="16" t="s">
        <v>10713</v>
      </c>
      <c r="MRG1" s="16" t="s">
        <v>10714</v>
      </c>
      <c r="MRH1" s="16" t="s">
        <v>10715</v>
      </c>
      <c r="MRI1" s="16" t="s">
        <v>10716</v>
      </c>
      <c r="MRJ1" s="16" t="s">
        <v>10717</v>
      </c>
      <c r="MRK1" s="16" t="s">
        <v>10718</v>
      </c>
      <c r="MRL1" s="16" t="s">
        <v>10719</v>
      </c>
      <c r="MRM1" s="16" t="s">
        <v>10720</v>
      </c>
      <c r="MRN1" s="16" t="s">
        <v>10721</v>
      </c>
      <c r="MRO1" s="16" t="s">
        <v>10722</v>
      </c>
      <c r="MRP1" s="16" t="s">
        <v>10723</v>
      </c>
      <c r="MRQ1" s="16" t="s">
        <v>10724</v>
      </c>
      <c r="MRR1" s="16" t="s">
        <v>10725</v>
      </c>
      <c r="MRS1" s="16" t="s">
        <v>10726</v>
      </c>
      <c r="MRT1" s="16" t="s">
        <v>10727</v>
      </c>
      <c r="MRU1" s="16" t="s">
        <v>10728</v>
      </c>
      <c r="MRV1" s="16" t="s">
        <v>10729</v>
      </c>
      <c r="MRW1" s="16" t="s">
        <v>10730</v>
      </c>
      <c r="MRX1" s="16" t="s">
        <v>10731</v>
      </c>
      <c r="MRY1" s="16" t="s">
        <v>10732</v>
      </c>
      <c r="MRZ1" s="16" t="s">
        <v>10733</v>
      </c>
      <c r="MSA1" s="16" t="s">
        <v>10734</v>
      </c>
      <c r="MSB1" s="16" t="s">
        <v>10735</v>
      </c>
      <c r="MSC1" s="16" t="s">
        <v>10736</v>
      </c>
      <c r="MSD1" s="16" t="s">
        <v>10737</v>
      </c>
      <c r="MSE1" s="16" t="s">
        <v>10738</v>
      </c>
      <c r="MSF1" s="16" t="s">
        <v>10739</v>
      </c>
      <c r="MSG1" s="16" t="s">
        <v>10740</v>
      </c>
      <c r="MSH1" s="16" t="s">
        <v>10741</v>
      </c>
      <c r="MSI1" s="16" t="s">
        <v>10742</v>
      </c>
      <c r="MSJ1" s="16" t="s">
        <v>10743</v>
      </c>
      <c r="MSK1" s="16" t="s">
        <v>10744</v>
      </c>
      <c r="MSL1" s="16" t="s">
        <v>10745</v>
      </c>
      <c r="MSM1" s="16" t="s">
        <v>10746</v>
      </c>
      <c r="MSN1" s="16" t="s">
        <v>10747</v>
      </c>
      <c r="MSO1" s="16" t="s">
        <v>10748</v>
      </c>
      <c r="MSP1" s="16" t="s">
        <v>10749</v>
      </c>
      <c r="MSQ1" s="16" t="s">
        <v>10750</v>
      </c>
      <c r="MSR1" s="16" t="s">
        <v>10751</v>
      </c>
      <c r="MSS1" s="16" t="s">
        <v>10752</v>
      </c>
      <c r="MST1" s="16" t="s">
        <v>10753</v>
      </c>
      <c r="MSU1" s="16" t="s">
        <v>10754</v>
      </c>
      <c r="MSV1" s="16" t="s">
        <v>10755</v>
      </c>
      <c r="MSW1" s="16" t="s">
        <v>10756</v>
      </c>
      <c r="MSX1" s="16" t="s">
        <v>10757</v>
      </c>
      <c r="MSY1" s="16" t="s">
        <v>10758</v>
      </c>
      <c r="MSZ1" s="16" t="s">
        <v>10759</v>
      </c>
      <c r="MTA1" s="16" t="s">
        <v>10760</v>
      </c>
      <c r="MTB1" s="16" t="s">
        <v>10761</v>
      </c>
      <c r="MTC1" s="16" t="s">
        <v>10762</v>
      </c>
      <c r="MTD1" s="16" t="s">
        <v>10763</v>
      </c>
      <c r="MTE1" s="16" t="s">
        <v>10764</v>
      </c>
      <c r="MTF1" s="16" t="s">
        <v>10765</v>
      </c>
      <c r="MTG1" s="16" t="s">
        <v>10766</v>
      </c>
      <c r="MTH1" s="16" t="s">
        <v>10767</v>
      </c>
      <c r="MTI1" s="16" t="s">
        <v>10768</v>
      </c>
      <c r="MTJ1" s="16" t="s">
        <v>10769</v>
      </c>
      <c r="MTK1" s="16" t="s">
        <v>10770</v>
      </c>
      <c r="MTL1" s="16" t="s">
        <v>10771</v>
      </c>
      <c r="MTM1" s="16" t="s">
        <v>10772</v>
      </c>
      <c r="MTN1" s="16" t="s">
        <v>10773</v>
      </c>
      <c r="MTO1" s="16" t="s">
        <v>10774</v>
      </c>
      <c r="MTP1" s="16" t="s">
        <v>10775</v>
      </c>
      <c r="MTQ1" s="16" t="s">
        <v>10776</v>
      </c>
      <c r="MTR1" s="16" t="s">
        <v>10777</v>
      </c>
      <c r="MTS1" s="16" t="s">
        <v>10778</v>
      </c>
      <c r="MTT1" s="16" t="s">
        <v>10779</v>
      </c>
      <c r="MTU1" s="16" t="s">
        <v>10780</v>
      </c>
      <c r="MTV1" s="16" t="s">
        <v>10781</v>
      </c>
      <c r="MTW1" s="16" t="s">
        <v>10782</v>
      </c>
      <c r="MTX1" s="16" t="s">
        <v>10783</v>
      </c>
      <c r="MTY1" s="16" t="s">
        <v>10784</v>
      </c>
      <c r="MTZ1" s="16" t="s">
        <v>10785</v>
      </c>
      <c r="MUA1" s="16" t="s">
        <v>10786</v>
      </c>
      <c r="MUB1" s="16" t="s">
        <v>10787</v>
      </c>
      <c r="MUC1" s="16" t="s">
        <v>10788</v>
      </c>
      <c r="MUD1" s="16" t="s">
        <v>10789</v>
      </c>
      <c r="MUE1" s="16" t="s">
        <v>10790</v>
      </c>
      <c r="MUF1" s="16" t="s">
        <v>10791</v>
      </c>
      <c r="MUG1" s="16" t="s">
        <v>10792</v>
      </c>
      <c r="MUH1" s="16" t="s">
        <v>10793</v>
      </c>
      <c r="MUI1" s="16" t="s">
        <v>10794</v>
      </c>
      <c r="MUJ1" s="16" t="s">
        <v>10795</v>
      </c>
      <c r="MUK1" s="16" t="s">
        <v>10796</v>
      </c>
      <c r="MUL1" s="16" t="s">
        <v>10797</v>
      </c>
      <c r="MUM1" s="16" t="s">
        <v>10798</v>
      </c>
      <c r="MUN1" s="16" t="s">
        <v>10799</v>
      </c>
      <c r="MUO1" s="16" t="s">
        <v>10800</v>
      </c>
      <c r="MUP1" s="16" t="s">
        <v>10801</v>
      </c>
      <c r="MUQ1" s="16" t="s">
        <v>10802</v>
      </c>
      <c r="MUR1" s="16" t="s">
        <v>10803</v>
      </c>
      <c r="MUS1" s="16" t="s">
        <v>10804</v>
      </c>
      <c r="MUT1" s="16" t="s">
        <v>10805</v>
      </c>
      <c r="MUU1" s="16" t="s">
        <v>10806</v>
      </c>
      <c r="MUV1" s="16" t="s">
        <v>10807</v>
      </c>
      <c r="MUW1" s="16" t="s">
        <v>10808</v>
      </c>
      <c r="MUX1" s="16" t="s">
        <v>10809</v>
      </c>
      <c r="MUY1" s="16" t="s">
        <v>10810</v>
      </c>
      <c r="MUZ1" s="16" t="s">
        <v>10811</v>
      </c>
      <c r="MVA1" s="16" t="s">
        <v>10812</v>
      </c>
      <c r="MVB1" s="16" t="s">
        <v>10813</v>
      </c>
      <c r="MVC1" s="16" t="s">
        <v>10814</v>
      </c>
      <c r="MVD1" s="16" t="s">
        <v>10815</v>
      </c>
      <c r="MVE1" s="16" t="s">
        <v>10816</v>
      </c>
      <c r="MVF1" s="16" t="s">
        <v>10817</v>
      </c>
      <c r="MVG1" s="16" t="s">
        <v>10818</v>
      </c>
      <c r="MVH1" s="16" t="s">
        <v>10819</v>
      </c>
      <c r="MVI1" s="16" t="s">
        <v>10820</v>
      </c>
      <c r="MVJ1" s="16" t="s">
        <v>10821</v>
      </c>
      <c r="MVK1" s="16" t="s">
        <v>10822</v>
      </c>
      <c r="MVL1" s="16" t="s">
        <v>10823</v>
      </c>
      <c r="MVM1" s="16" t="s">
        <v>10824</v>
      </c>
      <c r="MVN1" s="16" t="s">
        <v>10825</v>
      </c>
      <c r="MVO1" s="16" t="s">
        <v>10826</v>
      </c>
      <c r="MVP1" s="16" t="s">
        <v>10827</v>
      </c>
      <c r="MVQ1" s="16" t="s">
        <v>10828</v>
      </c>
      <c r="MVR1" s="16" t="s">
        <v>10829</v>
      </c>
      <c r="MVS1" s="16" t="s">
        <v>10830</v>
      </c>
      <c r="MVT1" s="16" t="s">
        <v>10831</v>
      </c>
      <c r="MVU1" s="16" t="s">
        <v>10832</v>
      </c>
      <c r="MVV1" s="16" t="s">
        <v>10833</v>
      </c>
      <c r="MVW1" s="16" t="s">
        <v>10834</v>
      </c>
      <c r="MVX1" s="16" t="s">
        <v>10835</v>
      </c>
      <c r="MVY1" s="16" t="s">
        <v>10836</v>
      </c>
      <c r="MVZ1" s="16" t="s">
        <v>10837</v>
      </c>
      <c r="MWA1" s="16" t="s">
        <v>10838</v>
      </c>
      <c r="MWB1" s="16" t="s">
        <v>10839</v>
      </c>
      <c r="MWC1" s="16" t="s">
        <v>10840</v>
      </c>
      <c r="MWD1" s="16" t="s">
        <v>10841</v>
      </c>
      <c r="MWE1" s="16" t="s">
        <v>10842</v>
      </c>
      <c r="MWF1" s="16" t="s">
        <v>10843</v>
      </c>
      <c r="MWG1" s="16" t="s">
        <v>10844</v>
      </c>
      <c r="MWH1" s="16" t="s">
        <v>10845</v>
      </c>
      <c r="MWI1" s="16" t="s">
        <v>10846</v>
      </c>
      <c r="MWJ1" s="16" t="s">
        <v>10847</v>
      </c>
      <c r="MWK1" s="16" t="s">
        <v>10848</v>
      </c>
      <c r="MWL1" s="16" t="s">
        <v>10849</v>
      </c>
      <c r="MWM1" s="16" t="s">
        <v>10850</v>
      </c>
      <c r="MWN1" s="16" t="s">
        <v>10851</v>
      </c>
      <c r="MWO1" s="16" t="s">
        <v>10852</v>
      </c>
      <c r="MWP1" s="16" t="s">
        <v>10853</v>
      </c>
      <c r="MWQ1" s="16" t="s">
        <v>10854</v>
      </c>
      <c r="MWR1" s="16" t="s">
        <v>10855</v>
      </c>
      <c r="MWS1" s="16" t="s">
        <v>10856</v>
      </c>
      <c r="MWT1" s="16" t="s">
        <v>10857</v>
      </c>
      <c r="MWU1" s="16" t="s">
        <v>10858</v>
      </c>
      <c r="MWV1" s="16" t="s">
        <v>10859</v>
      </c>
      <c r="MWW1" s="16" t="s">
        <v>10860</v>
      </c>
      <c r="MWX1" s="16" t="s">
        <v>10861</v>
      </c>
      <c r="MWY1" s="16" t="s">
        <v>10862</v>
      </c>
      <c r="MWZ1" s="16" t="s">
        <v>10863</v>
      </c>
      <c r="MXA1" s="16" t="s">
        <v>10864</v>
      </c>
      <c r="MXB1" s="16" t="s">
        <v>10865</v>
      </c>
      <c r="MXC1" s="16" t="s">
        <v>10866</v>
      </c>
      <c r="MXD1" s="16" t="s">
        <v>10867</v>
      </c>
      <c r="MXE1" s="16" t="s">
        <v>10868</v>
      </c>
      <c r="MXF1" s="16" t="s">
        <v>10869</v>
      </c>
      <c r="MXG1" s="16" t="s">
        <v>10870</v>
      </c>
      <c r="MXH1" s="16" t="s">
        <v>10871</v>
      </c>
      <c r="MXI1" s="16" t="s">
        <v>10872</v>
      </c>
      <c r="MXJ1" s="16" t="s">
        <v>10873</v>
      </c>
      <c r="MXK1" s="16" t="s">
        <v>10874</v>
      </c>
      <c r="MXL1" s="16" t="s">
        <v>10875</v>
      </c>
      <c r="MXM1" s="16" t="s">
        <v>10876</v>
      </c>
      <c r="MXN1" s="16" t="s">
        <v>10877</v>
      </c>
      <c r="MXO1" s="16" t="s">
        <v>10878</v>
      </c>
      <c r="MXP1" s="16" t="s">
        <v>10879</v>
      </c>
      <c r="MXQ1" s="16" t="s">
        <v>10880</v>
      </c>
      <c r="MXR1" s="16" t="s">
        <v>10881</v>
      </c>
      <c r="MXS1" s="16" t="s">
        <v>10882</v>
      </c>
      <c r="MXT1" s="16" t="s">
        <v>10883</v>
      </c>
      <c r="MXU1" s="16" t="s">
        <v>10884</v>
      </c>
      <c r="MXV1" s="16" t="s">
        <v>10885</v>
      </c>
      <c r="MXW1" s="16" t="s">
        <v>10886</v>
      </c>
      <c r="MXX1" s="16" t="s">
        <v>10887</v>
      </c>
      <c r="MXY1" s="16" t="s">
        <v>10888</v>
      </c>
      <c r="MXZ1" s="16" t="s">
        <v>10889</v>
      </c>
      <c r="MYA1" s="16" t="s">
        <v>10890</v>
      </c>
      <c r="MYB1" s="16" t="s">
        <v>10891</v>
      </c>
      <c r="MYC1" s="16" t="s">
        <v>10892</v>
      </c>
      <c r="MYD1" s="16" t="s">
        <v>10893</v>
      </c>
      <c r="MYE1" s="16" t="s">
        <v>10894</v>
      </c>
      <c r="MYF1" s="16" t="s">
        <v>10895</v>
      </c>
      <c r="MYG1" s="16" t="s">
        <v>10896</v>
      </c>
      <c r="MYH1" s="16" t="s">
        <v>10897</v>
      </c>
      <c r="MYI1" s="16" t="s">
        <v>10898</v>
      </c>
      <c r="MYJ1" s="16" t="s">
        <v>10899</v>
      </c>
      <c r="MYK1" s="16" t="s">
        <v>10900</v>
      </c>
      <c r="MYL1" s="16" t="s">
        <v>10901</v>
      </c>
      <c r="MYM1" s="16" t="s">
        <v>10902</v>
      </c>
      <c r="MYN1" s="16" t="s">
        <v>10903</v>
      </c>
      <c r="MYO1" s="16" t="s">
        <v>10904</v>
      </c>
      <c r="MYP1" s="16" t="s">
        <v>10905</v>
      </c>
      <c r="MYQ1" s="16" t="s">
        <v>10906</v>
      </c>
      <c r="MYR1" s="16" t="s">
        <v>10907</v>
      </c>
      <c r="MYS1" s="16" t="s">
        <v>10908</v>
      </c>
      <c r="MYT1" s="16" t="s">
        <v>10909</v>
      </c>
      <c r="MYU1" s="16" t="s">
        <v>10910</v>
      </c>
      <c r="MYV1" s="16" t="s">
        <v>10911</v>
      </c>
      <c r="MYW1" s="16" t="s">
        <v>10912</v>
      </c>
      <c r="MYX1" s="16" t="s">
        <v>10913</v>
      </c>
      <c r="MYY1" s="16" t="s">
        <v>10914</v>
      </c>
      <c r="MYZ1" s="16" t="s">
        <v>10915</v>
      </c>
      <c r="MZA1" s="16" t="s">
        <v>10916</v>
      </c>
      <c r="MZB1" s="16" t="s">
        <v>10917</v>
      </c>
      <c r="MZC1" s="16" t="s">
        <v>10918</v>
      </c>
      <c r="MZD1" s="16" t="s">
        <v>10919</v>
      </c>
      <c r="MZE1" s="16" t="s">
        <v>10920</v>
      </c>
      <c r="MZF1" s="16" t="s">
        <v>10921</v>
      </c>
      <c r="MZG1" s="16" t="s">
        <v>10922</v>
      </c>
      <c r="MZH1" s="16" t="s">
        <v>10923</v>
      </c>
      <c r="MZI1" s="16" t="s">
        <v>10924</v>
      </c>
      <c r="MZJ1" s="16" t="s">
        <v>10925</v>
      </c>
      <c r="MZK1" s="16" t="s">
        <v>10926</v>
      </c>
      <c r="MZL1" s="16" t="s">
        <v>10927</v>
      </c>
      <c r="MZM1" s="16" t="s">
        <v>10928</v>
      </c>
      <c r="MZN1" s="16" t="s">
        <v>10929</v>
      </c>
      <c r="MZO1" s="16" t="s">
        <v>10930</v>
      </c>
      <c r="MZP1" s="16" t="s">
        <v>10931</v>
      </c>
      <c r="MZQ1" s="16" t="s">
        <v>10932</v>
      </c>
      <c r="MZR1" s="16" t="s">
        <v>10933</v>
      </c>
      <c r="MZS1" s="16" t="s">
        <v>10934</v>
      </c>
      <c r="MZT1" s="16" t="s">
        <v>10935</v>
      </c>
      <c r="MZU1" s="16" t="s">
        <v>10936</v>
      </c>
      <c r="MZV1" s="16" t="s">
        <v>10937</v>
      </c>
      <c r="MZW1" s="16" t="s">
        <v>10938</v>
      </c>
      <c r="MZX1" s="16" t="s">
        <v>10939</v>
      </c>
      <c r="MZY1" s="16" t="s">
        <v>10940</v>
      </c>
      <c r="MZZ1" s="16" t="s">
        <v>10941</v>
      </c>
      <c r="NAA1" s="16" t="s">
        <v>10942</v>
      </c>
      <c r="NAB1" s="16" t="s">
        <v>10943</v>
      </c>
      <c r="NAC1" s="16" t="s">
        <v>10944</v>
      </c>
      <c r="NAD1" s="16" t="s">
        <v>10945</v>
      </c>
      <c r="NAE1" s="16" t="s">
        <v>10946</v>
      </c>
      <c r="NAF1" s="16" t="s">
        <v>10947</v>
      </c>
      <c r="NAG1" s="16" t="s">
        <v>10948</v>
      </c>
      <c r="NAH1" s="16" t="s">
        <v>10949</v>
      </c>
      <c r="NAI1" s="16" t="s">
        <v>10950</v>
      </c>
      <c r="NAJ1" s="16" t="s">
        <v>10951</v>
      </c>
      <c r="NAK1" s="16" t="s">
        <v>10952</v>
      </c>
      <c r="NAL1" s="16" t="s">
        <v>10953</v>
      </c>
      <c r="NAM1" s="16" t="s">
        <v>10954</v>
      </c>
      <c r="NAN1" s="16" t="s">
        <v>10955</v>
      </c>
      <c r="NAO1" s="16" t="s">
        <v>10956</v>
      </c>
      <c r="NAP1" s="16" t="s">
        <v>10957</v>
      </c>
      <c r="NAQ1" s="16" t="s">
        <v>10958</v>
      </c>
      <c r="NAR1" s="16" t="s">
        <v>10959</v>
      </c>
      <c r="NAS1" s="16" t="s">
        <v>10960</v>
      </c>
      <c r="NAT1" s="16" t="s">
        <v>10961</v>
      </c>
      <c r="NAU1" s="16" t="s">
        <v>10962</v>
      </c>
      <c r="NAV1" s="16" t="s">
        <v>10963</v>
      </c>
      <c r="NAW1" s="16" t="s">
        <v>10964</v>
      </c>
      <c r="NAX1" s="16" t="s">
        <v>10965</v>
      </c>
      <c r="NAY1" s="16" t="s">
        <v>10966</v>
      </c>
      <c r="NAZ1" s="16" t="s">
        <v>10967</v>
      </c>
      <c r="NBA1" s="16" t="s">
        <v>10968</v>
      </c>
      <c r="NBB1" s="16" t="s">
        <v>10969</v>
      </c>
      <c r="NBC1" s="16" t="s">
        <v>10970</v>
      </c>
      <c r="NBD1" s="16" t="s">
        <v>10971</v>
      </c>
      <c r="NBE1" s="16" t="s">
        <v>10972</v>
      </c>
      <c r="NBF1" s="16" t="s">
        <v>10973</v>
      </c>
      <c r="NBG1" s="16" t="s">
        <v>10974</v>
      </c>
      <c r="NBH1" s="16" t="s">
        <v>10975</v>
      </c>
      <c r="NBI1" s="16" t="s">
        <v>10976</v>
      </c>
      <c r="NBJ1" s="16" t="s">
        <v>10977</v>
      </c>
      <c r="NBK1" s="16" t="s">
        <v>10978</v>
      </c>
      <c r="NBL1" s="16" t="s">
        <v>10979</v>
      </c>
      <c r="NBM1" s="16" t="s">
        <v>10980</v>
      </c>
      <c r="NBN1" s="16" t="s">
        <v>10981</v>
      </c>
      <c r="NBO1" s="16" t="s">
        <v>10982</v>
      </c>
      <c r="NBP1" s="16" t="s">
        <v>10983</v>
      </c>
      <c r="NBQ1" s="16" t="s">
        <v>10984</v>
      </c>
      <c r="NBR1" s="16" t="s">
        <v>10985</v>
      </c>
      <c r="NBS1" s="16" t="s">
        <v>10986</v>
      </c>
      <c r="NBT1" s="16" t="s">
        <v>10987</v>
      </c>
      <c r="NBU1" s="16" t="s">
        <v>10988</v>
      </c>
      <c r="NBV1" s="16" t="s">
        <v>10989</v>
      </c>
      <c r="NBW1" s="16" t="s">
        <v>10990</v>
      </c>
      <c r="NBX1" s="16" t="s">
        <v>10991</v>
      </c>
      <c r="NBY1" s="16" t="s">
        <v>10992</v>
      </c>
      <c r="NBZ1" s="16" t="s">
        <v>10993</v>
      </c>
      <c r="NCA1" s="16" t="s">
        <v>10994</v>
      </c>
      <c r="NCB1" s="16" t="s">
        <v>10995</v>
      </c>
      <c r="NCC1" s="16" t="s">
        <v>10996</v>
      </c>
      <c r="NCD1" s="16" t="s">
        <v>10997</v>
      </c>
      <c r="NCE1" s="16" t="s">
        <v>10998</v>
      </c>
      <c r="NCF1" s="16" t="s">
        <v>10999</v>
      </c>
      <c r="NCG1" s="16" t="s">
        <v>11000</v>
      </c>
      <c r="NCH1" s="16" t="s">
        <v>11001</v>
      </c>
      <c r="NCI1" s="16" t="s">
        <v>11002</v>
      </c>
      <c r="NCJ1" s="16" t="s">
        <v>11003</v>
      </c>
      <c r="NCK1" s="16" t="s">
        <v>11004</v>
      </c>
      <c r="NCL1" s="16" t="s">
        <v>11005</v>
      </c>
      <c r="NCM1" s="16" t="s">
        <v>11006</v>
      </c>
      <c r="NCN1" s="16" t="s">
        <v>11007</v>
      </c>
      <c r="NCO1" s="16" t="s">
        <v>11008</v>
      </c>
      <c r="NCP1" s="16" t="s">
        <v>11009</v>
      </c>
      <c r="NCQ1" s="16" t="s">
        <v>11010</v>
      </c>
      <c r="NCR1" s="16" t="s">
        <v>11011</v>
      </c>
      <c r="NCS1" s="16" t="s">
        <v>11012</v>
      </c>
      <c r="NCT1" s="16" t="s">
        <v>11013</v>
      </c>
      <c r="NCU1" s="16" t="s">
        <v>11014</v>
      </c>
      <c r="NCV1" s="16" t="s">
        <v>11015</v>
      </c>
      <c r="NCW1" s="16" t="s">
        <v>11016</v>
      </c>
      <c r="NCX1" s="16" t="s">
        <v>11017</v>
      </c>
      <c r="NCY1" s="16" t="s">
        <v>11018</v>
      </c>
      <c r="NCZ1" s="16" t="s">
        <v>11019</v>
      </c>
      <c r="NDA1" s="16" t="s">
        <v>11020</v>
      </c>
      <c r="NDB1" s="16" t="s">
        <v>11021</v>
      </c>
      <c r="NDC1" s="16" t="s">
        <v>11022</v>
      </c>
      <c r="NDD1" s="16" t="s">
        <v>11023</v>
      </c>
      <c r="NDE1" s="16" t="s">
        <v>11024</v>
      </c>
      <c r="NDF1" s="16" t="s">
        <v>11025</v>
      </c>
      <c r="NDG1" s="16" t="s">
        <v>11026</v>
      </c>
      <c r="NDH1" s="16" t="s">
        <v>11027</v>
      </c>
      <c r="NDI1" s="16" t="s">
        <v>11028</v>
      </c>
      <c r="NDJ1" s="16" t="s">
        <v>11029</v>
      </c>
      <c r="NDK1" s="16" t="s">
        <v>11030</v>
      </c>
      <c r="NDL1" s="16" t="s">
        <v>11031</v>
      </c>
      <c r="NDM1" s="16" t="s">
        <v>11032</v>
      </c>
      <c r="NDN1" s="16" t="s">
        <v>11033</v>
      </c>
      <c r="NDO1" s="16" t="s">
        <v>11034</v>
      </c>
      <c r="NDP1" s="16" t="s">
        <v>11035</v>
      </c>
      <c r="NDQ1" s="16" t="s">
        <v>11036</v>
      </c>
      <c r="NDR1" s="16" t="s">
        <v>11037</v>
      </c>
      <c r="NDS1" s="16" t="s">
        <v>11038</v>
      </c>
      <c r="NDT1" s="16" t="s">
        <v>11039</v>
      </c>
      <c r="NDU1" s="16" t="s">
        <v>11040</v>
      </c>
      <c r="NDV1" s="16" t="s">
        <v>11041</v>
      </c>
      <c r="NDW1" s="16" t="s">
        <v>11042</v>
      </c>
      <c r="NDX1" s="16" t="s">
        <v>11043</v>
      </c>
      <c r="NDY1" s="16" t="s">
        <v>11044</v>
      </c>
      <c r="NDZ1" s="16" t="s">
        <v>11045</v>
      </c>
      <c r="NEA1" s="16" t="s">
        <v>11046</v>
      </c>
      <c r="NEB1" s="16" t="s">
        <v>11047</v>
      </c>
      <c r="NEC1" s="16" t="s">
        <v>11048</v>
      </c>
      <c r="NED1" s="16" t="s">
        <v>11049</v>
      </c>
      <c r="NEE1" s="16" t="s">
        <v>11050</v>
      </c>
      <c r="NEF1" s="16" t="s">
        <v>11051</v>
      </c>
      <c r="NEG1" s="16" t="s">
        <v>11052</v>
      </c>
      <c r="NEH1" s="16" t="s">
        <v>11053</v>
      </c>
      <c r="NEI1" s="16" t="s">
        <v>11054</v>
      </c>
      <c r="NEJ1" s="16" t="s">
        <v>11055</v>
      </c>
      <c r="NEK1" s="16" t="s">
        <v>11056</v>
      </c>
      <c r="NEL1" s="16" t="s">
        <v>11057</v>
      </c>
      <c r="NEM1" s="16" t="s">
        <v>11058</v>
      </c>
      <c r="NEN1" s="16" t="s">
        <v>11059</v>
      </c>
      <c r="NEO1" s="16" t="s">
        <v>11060</v>
      </c>
      <c r="NEP1" s="16" t="s">
        <v>11061</v>
      </c>
      <c r="NEQ1" s="16" t="s">
        <v>11062</v>
      </c>
      <c r="NER1" s="16" t="s">
        <v>11063</v>
      </c>
      <c r="NES1" s="16" t="s">
        <v>11064</v>
      </c>
      <c r="NET1" s="16" t="s">
        <v>11065</v>
      </c>
      <c r="NEU1" s="16" t="s">
        <v>11066</v>
      </c>
      <c r="NEV1" s="16" t="s">
        <v>11067</v>
      </c>
      <c r="NEW1" s="16" t="s">
        <v>11068</v>
      </c>
      <c r="NEX1" s="16" t="s">
        <v>11069</v>
      </c>
      <c r="NEY1" s="16" t="s">
        <v>11070</v>
      </c>
      <c r="NEZ1" s="16" t="s">
        <v>11071</v>
      </c>
      <c r="NFA1" s="16" t="s">
        <v>11072</v>
      </c>
      <c r="NFB1" s="16" t="s">
        <v>11073</v>
      </c>
      <c r="NFC1" s="16" t="s">
        <v>11074</v>
      </c>
      <c r="NFD1" s="16" t="s">
        <v>11075</v>
      </c>
      <c r="NFE1" s="16" t="s">
        <v>11076</v>
      </c>
      <c r="NFF1" s="16" t="s">
        <v>11077</v>
      </c>
      <c r="NFG1" s="16" t="s">
        <v>11078</v>
      </c>
      <c r="NFH1" s="16" t="s">
        <v>11079</v>
      </c>
      <c r="NFI1" s="16" t="s">
        <v>11080</v>
      </c>
      <c r="NFJ1" s="16" t="s">
        <v>11081</v>
      </c>
      <c r="NFK1" s="16" t="s">
        <v>11082</v>
      </c>
      <c r="NFL1" s="16" t="s">
        <v>11083</v>
      </c>
      <c r="NFM1" s="16" t="s">
        <v>11084</v>
      </c>
      <c r="NFN1" s="16" t="s">
        <v>11085</v>
      </c>
      <c r="NFO1" s="16" t="s">
        <v>11086</v>
      </c>
      <c r="NFP1" s="16" t="s">
        <v>11087</v>
      </c>
      <c r="NFQ1" s="16" t="s">
        <v>11088</v>
      </c>
      <c r="NFR1" s="16" t="s">
        <v>11089</v>
      </c>
      <c r="NFS1" s="16" t="s">
        <v>11090</v>
      </c>
      <c r="NFT1" s="16" t="s">
        <v>11091</v>
      </c>
      <c r="NFU1" s="16" t="s">
        <v>11092</v>
      </c>
      <c r="NFV1" s="16" t="s">
        <v>11093</v>
      </c>
      <c r="NFW1" s="16" t="s">
        <v>11094</v>
      </c>
      <c r="NFX1" s="16" t="s">
        <v>11095</v>
      </c>
      <c r="NFY1" s="16" t="s">
        <v>11096</v>
      </c>
      <c r="NFZ1" s="16" t="s">
        <v>11097</v>
      </c>
      <c r="NGA1" s="16" t="s">
        <v>11098</v>
      </c>
      <c r="NGB1" s="16" t="s">
        <v>11099</v>
      </c>
      <c r="NGC1" s="16" t="s">
        <v>11100</v>
      </c>
      <c r="NGD1" s="16" t="s">
        <v>11101</v>
      </c>
      <c r="NGE1" s="16" t="s">
        <v>11102</v>
      </c>
      <c r="NGF1" s="16" t="s">
        <v>11103</v>
      </c>
      <c r="NGG1" s="16" t="s">
        <v>11104</v>
      </c>
      <c r="NGH1" s="16" t="s">
        <v>11105</v>
      </c>
      <c r="NGI1" s="16" t="s">
        <v>11106</v>
      </c>
      <c r="NGJ1" s="16" t="s">
        <v>11107</v>
      </c>
      <c r="NGK1" s="16" t="s">
        <v>11108</v>
      </c>
      <c r="NGL1" s="16" t="s">
        <v>11109</v>
      </c>
      <c r="NGM1" s="16" t="s">
        <v>11110</v>
      </c>
      <c r="NGN1" s="16" t="s">
        <v>11111</v>
      </c>
      <c r="NGO1" s="16" t="s">
        <v>11112</v>
      </c>
      <c r="NGP1" s="16" t="s">
        <v>11113</v>
      </c>
      <c r="NGQ1" s="16" t="s">
        <v>11114</v>
      </c>
      <c r="NGR1" s="16" t="s">
        <v>11115</v>
      </c>
      <c r="NGS1" s="16" t="s">
        <v>11116</v>
      </c>
      <c r="NGT1" s="16" t="s">
        <v>11117</v>
      </c>
      <c r="NGU1" s="16" t="s">
        <v>11118</v>
      </c>
      <c r="NGV1" s="16" t="s">
        <v>11119</v>
      </c>
      <c r="NGW1" s="16" t="s">
        <v>11120</v>
      </c>
      <c r="NGX1" s="16" t="s">
        <v>11121</v>
      </c>
      <c r="NGY1" s="16" t="s">
        <v>11122</v>
      </c>
      <c r="NGZ1" s="16" t="s">
        <v>11123</v>
      </c>
      <c r="NHA1" s="16" t="s">
        <v>11124</v>
      </c>
      <c r="NHB1" s="16" t="s">
        <v>11125</v>
      </c>
      <c r="NHC1" s="16" t="s">
        <v>11126</v>
      </c>
      <c r="NHD1" s="16" t="s">
        <v>11127</v>
      </c>
      <c r="NHE1" s="16" t="s">
        <v>11128</v>
      </c>
      <c r="NHF1" s="16" t="s">
        <v>11129</v>
      </c>
      <c r="NHG1" s="16" t="s">
        <v>11130</v>
      </c>
      <c r="NHH1" s="16" t="s">
        <v>11131</v>
      </c>
      <c r="NHI1" s="16" t="s">
        <v>11132</v>
      </c>
      <c r="NHJ1" s="16" t="s">
        <v>11133</v>
      </c>
      <c r="NHK1" s="16" t="s">
        <v>11134</v>
      </c>
      <c r="NHL1" s="16" t="s">
        <v>11135</v>
      </c>
      <c r="NHM1" s="16" t="s">
        <v>11136</v>
      </c>
      <c r="NHN1" s="16" t="s">
        <v>11137</v>
      </c>
      <c r="NHO1" s="16" t="s">
        <v>11138</v>
      </c>
      <c r="NHP1" s="16" t="s">
        <v>11139</v>
      </c>
      <c r="NHQ1" s="16" t="s">
        <v>11140</v>
      </c>
      <c r="NHR1" s="16" t="s">
        <v>11141</v>
      </c>
      <c r="NHS1" s="16" t="s">
        <v>11142</v>
      </c>
      <c r="NHT1" s="16" t="s">
        <v>11143</v>
      </c>
      <c r="NHU1" s="16" t="s">
        <v>11144</v>
      </c>
      <c r="NHV1" s="16" t="s">
        <v>11145</v>
      </c>
      <c r="NHW1" s="16" t="s">
        <v>11146</v>
      </c>
      <c r="NHX1" s="16" t="s">
        <v>11147</v>
      </c>
      <c r="NHY1" s="16" t="s">
        <v>11148</v>
      </c>
      <c r="NHZ1" s="16" t="s">
        <v>11149</v>
      </c>
      <c r="NIA1" s="16" t="s">
        <v>11150</v>
      </c>
      <c r="NIB1" s="16" t="s">
        <v>11151</v>
      </c>
      <c r="NIC1" s="16" t="s">
        <v>11152</v>
      </c>
      <c r="NID1" s="16" t="s">
        <v>11153</v>
      </c>
      <c r="NIE1" s="16" t="s">
        <v>11154</v>
      </c>
      <c r="NIF1" s="16" t="s">
        <v>11155</v>
      </c>
      <c r="NIG1" s="16" t="s">
        <v>11156</v>
      </c>
      <c r="NIH1" s="16" t="s">
        <v>11157</v>
      </c>
      <c r="NII1" s="16" t="s">
        <v>11158</v>
      </c>
      <c r="NIJ1" s="16" t="s">
        <v>11159</v>
      </c>
      <c r="NIK1" s="16" t="s">
        <v>11160</v>
      </c>
      <c r="NIL1" s="16" t="s">
        <v>11161</v>
      </c>
      <c r="NIM1" s="16" t="s">
        <v>11162</v>
      </c>
      <c r="NIN1" s="16" t="s">
        <v>11163</v>
      </c>
      <c r="NIO1" s="16" t="s">
        <v>11164</v>
      </c>
      <c r="NIP1" s="16" t="s">
        <v>11165</v>
      </c>
      <c r="NIQ1" s="16" t="s">
        <v>11166</v>
      </c>
      <c r="NIR1" s="16" t="s">
        <v>11167</v>
      </c>
      <c r="NIS1" s="16" t="s">
        <v>11168</v>
      </c>
      <c r="NIT1" s="16" t="s">
        <v>11169</v>
      </c>
      <c r="NIU1" s="16" t="s">
        <v>11170</v>
      </c>
      <c r="NIV1" s="16" t="s">
        <v>11171</v>
      </c>
      <c r="NIW1" s="16" t="s">
        <v>11172</v>
      </c>
      <c r="NIX1" s="16" t="s">
        <v>11173</v>
      </c>
      <c r="NIY1" s="16" t="s">
        <v>11174</v>
      </c>
      <c r="NIZ1" s="16" t="s">
        <v>11175</v>
      </c>
      <c r="NJA1" s="16" t="s">
        <v>11176</v>
      </c>
      <c r="NJB1" s="16" t="s">
        <v>11177</v>
      </c>
      <c r="NJC1" s="16" t="s">
        <v>11178</v>
      </c>
      <c r="NJD1" s="16" t="s">
        <v>11179</v>
      </c>
      <c r="NJE1" s="16" t="s">
        <v>11180</v>
      </c>
      <c r="NJF1" s="16" t="s">
        <v>11181</v>
      </c>
      <c r="NJG1" s="16" t="s">
        <v>11182</v>
      </c>
      <c r="NJH1" s="16" t="s">
        <v>11183</v>
      </c>
      <c r="NJI1" s="16" t="s">
        <v>11184</v>
      </c>
      <c r="NJJ1" s="16" t="s">
        <v>11185</v>
      </c>
      <c r="NJK1" s="16" t="s">
        <v>11186</v>
      </c>
      <c r="NJL1" s="16" t="s">
        <v>11187</v>
      </c>
      <c r="NJM1" s="16" t="s">
        <v>11188</v>
      </c>
      <c r="NJN1" s="16" t="s">
        <v>11189</v>
      </c>
      <c r="NJO1" s="16" t="s">
        <v>11190</v>
      </c>
      <c r="NJP1" s="16" t="s">
        <v>11191</v>
      </c>
      <c r="NJQ1" s="16" t="s">
        <v>11192</v>
      </c>
      <c r="NJR1" s="16" t="s">
        <v>11193</v>
      </c>
      <c r="NJS1" s="16" t="s">
        <v>11194</v>
      </c>
      <c r="NJT1" s="16" t="s">
        <v>11195</v>
      </c>
      <c r="NJU1" s="16" t="s">
        <v>11196</v>
      </c>
      <c r="NJV1" s="16" t="s">
        <v>11197</v>
      </c>
      <c r="NJW1" s="16" t="s">
        <v>11198</v>
      </c>
      <c r="NJX1" s="16" t="s">
        <v>11199</v>
      </c>
      <c r="NJY1" s="16" t="s">
        <v>11200</v>
      </c>
      <c r="NJZ1" s="16" t="s">
        <v>11201</v>
      </c>
      <c r="NKA1" s="16" t="s">
        <v>11202</v>
      </c>
      <c r="NKB1" s="16" t="s">
        <v>11203</v>
      </c>
      <c r="NKC1" s="16" t="s">
        <v>11204</v>
      </c>
      <c r="NKD1" s="16" t="s">
        <v>11205</v>
      </c>
      <c r="NKE1" s="16" t="s">
        <v>11206</v>
      </c>
      <c r="NKF1" s="16" t="s">
        <v>11207</v>
      </c>
      <c r="NKG1" s="16" t="s">
        <v>11208</v>
      </c>
      <c r="NKH1" s="16" t="s">
        <v>11209</v>
      </c>
      <c r="NKI1" s="16" t="s">
        <v>11210</v>
      </c>
      <c r="NKJ1" s="16" t="s">
        <v>11211</v>
      </c>
      <c r="NKK1" s="16" t="s">
        <v>11212</v>
      </c>
      <c r="NKL1" s="16" t="s">
        <v>11213</v>
      </c>
      <c r="NKM1" s="16" t="s">
        <v>11214</v>
      </c>
      <c r="NKN1" s="16" t="s">
        <v>11215</v>
      </c>
      <c r="NKO1" s="16" t="s">
        <v>11216</v>
      </c>
      <c r="NKP1" s="16" t="s">
        <v>11217</v>
      </c>
      <c r="NKQ1" s="16" t="s">
        <v>11218</v>
      </c>
      <c r="NKR1" s="16" t="s">
        <v>11219</v>
      </c>
      <c r="NKS1" s="16" t="s">
        <v>11220</v>
      </c>
      <c r="NKT1" s="16" t="s">
        <v>11221</v>
      </c>
      <c r="NKU1" s="16" t="s">
        <v>11222</v>
      </c>
      <c r="NKV1" s="16" t="s">
        <v>11223</v>
      </c>
      <c r="NKW1" s="16" t="s">
        <v>11224</v>
      </c>
      <c r="NKX1" s="16" t="s">
        <v>11225</v>
      </c>
      <c r="NKY1" s="16" t="s">
        <v>11226</v>
      </c>
      <c r="NKZ1" s="16" t="s">
        <v>11227</v>
      </c>
      <c r="NLA1" s="16" t="s">
        <v>11228</v>
      </c>
      <c r="NLB1" s="16" t="s">
        <v>11229</v>
      </c>
      <c r="NLC1" s="16" t="s">
        <v>11230</v>
      </c>
      <c r="NLD1" s="16" t="s">
        <v>11231</v>
      </c>
      <c r="NLE1" s="16" t="s">
        <v>11232</v>
      </c>
      <c r="NLF1" s="16" t="s">
        <v>11233</v>
      </c>
      <c r="NLG1" s="16" t="s">
        <v>11234</v>
      </c>
      <c r="NLH1" s="16" t="s">
        <v>11235</v>
      </c>
      <c r="NLI1" s="16" t="s">
        <v>11236</v>
      </c>
      <c r="NLJ1" s="16" t="s">
        <v>11237</v>
      </c>
      <c r="NLK1" s="16" t="s">
        <v>11238</v>
      </c>
      <c r="NLL1" s="16" t="s">
        <v>11239</v>
      </c>
      <c r="NLM1" s="16" t="s">
        <v>11240</v>
      </c>
      <c r="NLN1" s="16" t="s">
        <v>11241</v>
      </c>
      <c r="NLO1" s="16" t="s">
        <v>11242</v>
      </c>
      <c r="NLP1" s="16" t="s">
        <v>11243</v>
      </c>
      <c r="NLQ1" s="16" t="s">
        <v>11244</v>
      </c>
      <c r="NLR1" s="16" t="s">
        <v>11245</v>
      </c>
      <c r="NLS1" s="16" t="s">
        <v>11246</v>
      </c>
      <c r="NLT1" s="16" t="s">
        <v>11247</v>
      </c>
      <c r="NLU1" s="16" t="s">
        <v>11248</v>
      </c>
      <c r="NLV1" s="16" t="s">
        <v>11249</v>
      </c>
      <c r="NLW1" s="16" t="s">
        <v>11250</v>
      </c>
      <c r="NLX1" s="16" t="s">
        <v>11251</v>
      </c>
      <c r="NLY1" s="16" t="s">
        <v>11252</v>
      </c>
      <c r="NLZ1" s="16" t="s">
        <v>11253</v>
      </c>
      <c r="NMA1" s="16" t="s">
        <v>11254</v>
      </c>
      <c r="NMB1" s="16" t="s">
        <v>11255</v>
      </c>
      <c r="NMC1" s="16" t="s">
        <v>11256</v>
      </c>
      <c r="NMD1" s="16" t="s">
        <v>11257</v>
      </c>
      <c r="NME1" s="16" t="s">
        <v>11258</v>
      </c>
      <c r="NMF1" s="16" t="s">
        <v>11259</v>
      </c>
      <c r="NMG1" s="16" t="s">
        <v>11260</v>
      </c>
      <c r="NMH1" s="16" t="s">
        <v>11261</v>
      </c>
      <c r="NMI1" s="16" t="s">
        <v>11262</v>
      </c>
      <c r="NMJ1" s="16" t="s">
        <v>11263</v>
      </c>
      <c r="NMK1" s="16" t="s">
        <v>11264</v>
      </c>
      <c r="NML1" s="16" t="s">
        <v>11265</v>
      </c>
      <c r="NMM1" s="16" t="s">
        <v>11266</v>
      </c>
      <c r="NMN1" s="16" t="s">
        <v>11267</v>
      </c>
      <c r="NMO1" s="16" t="s">
        <v>11268</v>
      </c>
      <c r="NMP1" s="16" t="s">
        <v>11269</v>
      </c>
      <c r="NMQ1" s="16" t="s">
        <v>11270</v>
      </c>
      <c r="NMR1" s="16" t="s">
        <v>11271</v>
      </c>
      <c r="NMS1" s="16" t="s">
        <v>11272</v>
      </c>
      <c r="NMT1" s="16" t="s">
        <v>11273</v>
      </c>
      <c r="NMU1" s="16" t="s">
        <v>11274</v>
      </c>
      <c r="NMV1" s="16" t="s">
        <v>11275</v>
      </c>
      <c r="NMW1" s="16" t="s">
        <v>11276</v>
      </c>
      <c r="NMX1" s="16" t="s">
        <v>11277</v>
      </c>
      <c r="NMY1" s="16" t="s">
        <v>11278</v>
      </c>
      <c r="NMZ1" s="16" t="s">
        <v>11279</v>
      </c>
      <c r="NNA1" s="16" t="s">
        <v>11280</v>
      </c>
      <c r="NNB1" s="16" t="s">
        <v>11281</v>
      </c>
      <c r="NNC1" s="16" t="s">
        <v>11282</v>
      </c>
      <c r="NND1" s="16" t="s">
        <v>11283</v>
      </c>
      <c r="NNE1" s="16" t="s">
        <v>11284</v>
      </c>
      <c r="NNF1" s="16" t="s">
        <v>11285</v>
      </c>
      <c r="NNG1" s="16" t="s">
        <v>11286</v>
      </c>
      <c r="NNH1" s="16" t="s">
        <v>11287</v>
      </c>
      <c r="NNI1" s="16" t="s">
        <v>11288</v>
      </c>
      <c r="NNJ1" s="16" t="s">
        <v>11289</v>
      </c>
      <c r="NNK1" s="16" t="s">
        <v>11290</v>
      </c>
      <c r="NNL1" s="16" t="s">
        <v>11291</v>
      </c>
      <c r="NNM1" s="16" t="s">
        <v>11292</v>
      </c>
      <c r="NNN1" s="16" t="s">
        <v>11293</v>
      </c>
      <c r="NNO1" s="16" t="s">
        <v>11294</v>
      </c>
      <c r="NNP1" s="16" t="s">
        <v>11295</v>
      </c>
      <c r="NNQ1" s="16" t="s">
        <v>11296</v>
      </c>
      <c r="NNR1" s="16" t="s">
        <v>11297</v>
      </c>
      <c r="NNS1" s="16" t="s">
        <v>11298</v>
      </c>
      <c r="NNT1" s="16" t="s">
        <v>11299</v>
      </c>
      <c r="NNU1" s="16" t="s">
        <v>11300</v>
      </c>
      <c r="NNV1" s="16" t="s">
        <v>11301</v>
      </c>
      <c r="NNW1" s="16" t="s">
        <v>11302</v>
      </c>
      <c r="NNX1" s="16" t="s">
        <v>11303</v>
      </c>
      <c r="NNY1" s="16" t="s">
        <v>11304</v>
      </c>
      <c r="NNZ1" s="16" t="s">
        <v>11305</v>
      </c>
      <c r="NOA1" s="16" t="s">
        <v>11306</v>
      </c>
      <c r="NOB1" s="16" t="s">
        <v>11307</v>
      </c>
      <c r="NOC1" s="16" t="s">
        <v>11308</v>
      </c>
      <c r="NOD1" s="16" t="s">
        <v>11309</v>
      </c>
      <c r="NOE1" s="16" t="s">
        <v>11310</v>
      </c>
      <c r="NOF1" s="16" t="s">
        <v>11311</v>
      </c>
      <c r="NOG1" s="16" t="s">
        <v>11312</v>
      </c>
      <c r="NOH1" s="16" t="s">
        <v>11313</v>
      </c>
      <c r="NOI1" s="16" t="s">
        <v>11314</v>
      </c>
      <c r="NOJ1" s="16" t="s">
        <v>11315</v>
      </c>
      <c r="NOK1" s="16" t="s">
        <v>11316</v>
      </c>
      <c r="NOL1" s="16" t="s">
        <v>11317</v>
      </c>
      <c r="NOM1" s="16" t="s">
        <v>11318</v>
      </c>
      <c r="NON1" s="16" t="s">
        <v>11319</v>
      </c>
      <c r="NOO1" s="16" t="s">
        <v>11320</v>
      </c>
      <c r="NOP1" s="16" t="s">
        <v>11321</v>
      </c>
      <c r="NOQ1" s="16" t="s">
        <v>11322</v>
      </c>
      <c r="NOR1" s="16" t="s">
        <v>11323</v>
      </c>
      <c r="NOS1" s="16" t="s">
        <v>11324</v>
      </c>
      <c r="NOT1" s="16" t="s">
        <v>11325</v>
      </c>
      <c r="NOU1" s="16" t="s">
        <v>11326</v>
      </c>
      <c r="NOV1" s="16" t="s">
        <v>11327</v>
      </c>
      <c r="NOW1" s="16" t="s">
        <v>11328</v>
      </c>
      <c r="NOX1" s="16" t="s">
        <v>11329</v>
      </c>
      <c r="NOY1" s="16" t="s">
        <v>11330</v>
      </c>
      <c r="NOZ1" s="16" t="s">
        <v>11331</v>
      </c>
      <c r="NPA1" s="16" t="s">
        <v>11332</v>
      </c>
      <c r="NPB1" s="16" t="s">
        <v>11333</v>
      </c>
      <c r="NPC1" s="16" t="s">
        <v>11334</v>
      </c>
      <c r="NPD1" s="16" t="s">
        <v>11335</v>
      </c>
      <c r="NPE1" s="16" t="s">
        <v>11336</v>
      </c>
      <c r="NPF1" s="16" t="s">
        <v>11337</v>
      </c>
      <c r="NPG1" s="16" t="s">
        <v>11338</v>
      </c>
      <c r="NPH1" s="16" t="s">
        <v>11339</v>
      </c>
      <c r="NPI1" s="16" t="s">
        <v>11340</v>
      </c>
      <c r="NPJ1" s="16" t="s">
        <v>11341</v>
      </c>
      <c r="NPK1" s="16" t="s">
        <v>11342</v>
      </c>
      <c r="NPL1" s="16" t="s">
        <v>11343</v>
      </c>
      <c r="NPM1" s="16" t="s">
        <v>11344</v>
      </c>
      <c r="NPN1" s="16" t="s">
        <v>11345</v>
      </c>
      <c r="NPO1" s="16" t="s">
        <v>11346</v>
      </c>
      <c r="NPP1" s="16" t="s">
        <v>11347</v>
      </c>
      <c r="NPQ1" s="16" t="s">
        <v>11348</v>
      </c>
      <c r="NPR1" s="16" t="s">
        <v>11349</v>
      </c>
      <c r="NPS1" s="16" t="s">
        <v>11350</v>
      </c>
      <c r="NPT1" s="16" t="s">
        <v>11351</v>
      </c>
      <c r="NPU1" s="16" t="s">
        <v>11352</v>
      </c>
      <c r="NPV1" s="16" t="s">
        <v>11353</v>
      </c>
      <c r="NPW1" s="16" t="s">
        <v>11354</v>
      </c>
      <c r="NPX1" s="16" t="s">
        <v>11355</v>
      </c>
      <c r="NPY1" s="16" t="s">
        <v>11356</v>
      </c>
      <c r="NPZ1" s="16" t="s">
        <v>11357</v>
      </c>
      <c r="NQA1" s="16" t="s">
        <v>11358</v>
      </c>
      <c r="NQB1" s="16" t="s">
        <v>11359</v>
      </c>
      <c r="NQC1" s="16" t="s">
        <v>11360</v>
      </c>
      <c r="NQD1" s="16" t="s">
        <v>11361</v>
      </c>
      <c r="NQE1" s="16" t="s">
        <v>11362</v>
      </c>
      <c r="NQF1" s="16" t="s">
        <v>11363</v>
      </c>
      <c r="NQG1" s="16" t="s">
        <v>11364</v>
      </c>
      <c r="NQH1" s="16" t="s">
        <v>11365</v>
      </c>
      <c r="NQI1" s="16" t="s">
        <v>11366</v>
      </c>
      <c r="NQJ1" s="16" t="s">
        <v>11367</v>
      </c>
      <c r="NQK1" s="16" t="s">
        <v>11368</v>
      </c>
      <c r="NQL1" s="16" t="s">
        <v>11369</v>
      </c>
      <c r="NQM1" s="16" t="s">
        <v>11370</v>
      </c>
      <c r="NQN1" s="16" t="s">
        <v>11371</v>
      </c>
      <c r="NQO1" s="16" t="s">
        <v>11372</v>
      </c>
      <c r="NQP1" s="16" t="s">
        <v>11373</v>
      </c>
      <c r="NQQ1" s="16" t="s">
        <v>11374</v>
      </c>
      <c r="NQR1" s="16" t="s">
        <v>11375</v>
      </c>
      <c r="NQS1" s="16" t="s">
        <v>11376</v>
      </c>
      <c r="NQT1" s="16" t="s">
        <v>11377</v>
      </c>
      <c r="NQU1" s="16" t="s">
        <v>11378</v>
      </c>
      <c r="NQV1" s="16" t="s">
        <v>11379</v>
      </c>
      <c r="NQW1" s="16" t="s">
        <v>11380</v>
      </c>
      <c r="NQX1" s="16" t="s">
        <v>11381</v>
      </c>
      <c r="NQY1" s="16" t="s">
        <v>11382</v>
      </c>
      <c r="NQZ1" s="16" t="s">
        <v>11383</v>
      </c>
      <c r="NRA1" s="16" t="s">
        <v>11384</v>
      </c>
      <c r="NRB1" s="16" t="s">
        <v>11385</v>
      </c>
      <c r="NRC1" s="16" t="s">
        <v>11386</v>
      </c>
      <c r="NRD1" s="16" t="s">
        <v>11387</v>
      </c>
      <c r="NRE1" s="16" t="s">
        <v>11388</v>
      </c>
      <c r="NRF1" s="16" t="s">
        <v>11389</v>
      </c>
      <c r="NRG1" s="16" t="s">
        <v>11390</v>
      </c>
      <c r="NRH1" s="16" t="s">
        <v>11391</v>
      </c>
      <c r="NRI1" s="16" t="s">
        <v>11392</v>
      </c>
      <c r="NRJ1" s="16" t="s">
        <v>11393</v>
      </c>
      <c r="NRK1" s="16" t="s">
        <v>11394</v>
      </c>
      <c r="NRL1" s="16" t="s">
        <v>11395</v>
      </c>
      <c r="NRM1" s="16" t="s">
        <v>11396</v>
      </c>
      <c r="NRN1" s="16" t="s">
        <v>11397</v>
      </c>
      <c r="NRO1" s="16" t="s">
        <v>11398</v>
      </c>
      <c r="NRP1" s="16" t="s">
        <v>11399</v>
      </c>
      <c r="NRQ1" s="16" t="s">
        <v>11400</v>
      </c>
      <c r="NRR1" s="16" t="s">
        <v>11401</v>
      </c>
      <c r="NRS1" s="16" t="s">
        <v>11402</v>
      </c>
      <c r="NRT1" s="16" t="s">
        <v>11403</v>
      </c>
      <c r="NRU1" s="16" t="s">
        <v>11404</v>
      </c>
      <c r="NRV1" s="16" t="s">
        <v>11405</v>
      </c>
      <c r="NRW1" s="16" t="s">
        <v>11406</v>
      </c>
      <c r="NRX1" s="16" t="s">
        <v>11407</v>
      </c>
      <c r="NRY1" s="16" t="s">
        <v>11408</v>
      </c>
      <c r="NRZ1" s="16" t="s">
        <v>11409</v>
      </c>
      <c r="NSA1" s="16" t="s">
        <v>11410</v>
      </c>
      <c r="NSB1" s="16" t="s">
        <v>11411</v>
      </c>
      <c r="NSC1" s="16" t="s">
        <v>11412</v>
      </c>
      <c r="NSD1" s="16" t="s">
        <v>11413</v>
      </c>
      <c r="NSE1" s="16" t="s">
        <v>11414</v>
      </c>
      <c r="NSF1" s="16" t="s">
        <v>11415</v>
      </c>
      <c r="NSG1" s="16" t="s">
        <v>11416</v>
      </c>
      <c r="NSH1" s="16" t="s">
        <v>11417</v>
      </c>
      <c r="NSI1" s="16" t="s">
        <v>11418</v>
      </c>
      <c r="NSJ1" s="16" t="s">
        <v>11419</v>
      </c>
      <c r="NSK1" s="16" t="s">
        <v>11420</v>
      </c>
      <c r="NSL1" s="16" t="s">
        <v>11421</v>
      </c>
      <c r="NSM1" s="16" t="s">
        <v>11422</v>
      </c>
      <c r="NSN1" s="16" t="s">
        <v>11423</v>
      </c>
      <c r="NSO1" s="16" t="s">
        <v>11424</v>
      </c>
      <c r="NSP1" s="16" t="s">
        <v>11425</v>
      </c>
      <c r="NSQ1" s="16" t="s">
        <v>11426</v>
      </c>
      <c r="NSR1" s="16" t="s">
        <v>11427</v>
      </c>
      <c r="NSS1" s="16" t="s">
        <v>11428</v>
      </c>
      <c r="NST1" s="16" t="s">
        <v>11429</v>
      </c>
      <c r="NSU1" s="16" t="s">
        <v>11430</v>
      </c>
      <c r="NSV1" s="16" t="s">
        <v>11431</v>
      </c>
      <c r="NSW1" s="16" t="s">
        <v>11432</v>
      </c>
      <c r="NSX1" s="16" t="s">
        <v>11433</v>
      </c>
      <c r="NSY1" s="16" t="s">
        <v>11434</v>
      </c>
      <c r="NSZ1" s="16" t="s">
        <v>11435</v>
      </c>
      <c r="NTA1" s="16" t="s">
        <v>11436</v>
      </c>
      <c r="NTB1" s="16" t="s">
        <v>11437</v>
      </c>
      <c r="NTC1" s="16" t="s">
        <v>11438</v>
      </c>
      <c r="NTD1" s="16" t="s">
        <v>11439</v>
      </c>
      <c r="NTE1" s="16" t="s">
        <v>11440</v>
      </c>
      <c r="NTF1" s="16" t="s">
        <v>11441</v>
      </c>
      <c r="NTG1" s="16" t="s">
        <v>11442</v>
      </c>
      <c r="NTH1" s="16" t="s">
        <v>11443</v>
      </c>
      <c r="NTI1" s="16" t="s">
        <v>11444</v>
      </c>
      <c r="NTJ1" s="16" t="s">
        <v>11445</v>
      </c>
      <c r="NTK1" s="16" t="s">
        <v>11446</v>
      </c>
      <c r="NTL1" s="16" t="s">
        <v>11447</v>
      </c>
      <c r="NTM1" s="16" t="s">
        <v>11448</v>
      </c>
      <c r="NTN1" s="16" t="s">
        <v>11449</v>
      </c>
      <c r="NTO1" s="16" t="s">
        <v>11450</v>
      </c>
      <c r="NTP1" s="16" t="s">
        <v>11451</v>
      </c>
      <c r="NTQ1" s="16" t="s">
        <v>11452</v>
      </c>
      <c r="NTR1" s="16" t="s">
        <v>11453</v>
      </c>
      <c r="NTS1" s="16" t="s">
        <v>11454</v>
      </c>
      <c r="NTT1" s="16" t="s">
        <v>11455</v>
      </c>
      <c r="NTU1" s="16" t="s">
        <v>11456</v>
      </c>
      <c r="NTV1" s="16" t="s">
        <v>11457</v>
      </c>
      <c r="NTW1" s="16" t="s">
        <v>11458</v>
      </c>
      <c r="NTX1" s="16" t="s">
        <v>11459</v>
      </c>
      <c r="NTY1" s="16" t="s">
        <v>11460</v>
      </c>
      <c r="NTZ1" s="16" t="s">
        <v>11461</v>
      </c>
      <c r="NUA1" s="16" t="s">
        <v>11462</v>
      </c>
      <c r="NUB1" s="16" t="s">
        <v>11463</v>
      </c>
      <c r="NUC1" s="16" t="s">
        <v>11464</v>
      </c>
      <c r="NUD1" s="16" t="s">
        <v>11465</v>
      </c>
      <c r="NUE1" s="16" t="s">
        <v>11466</v>
      </c>
      <c r="NUF1" s="16" t="s">
        <v>11467</v>
      </c>
      <c r="NUG1" s="16" t="s">
        <v>11468</v>
      </c>
      <c r="NUH1" s="16" t="s">
        <v>11469</v>
      </c>
      <c r="NUI1" s="16" t="s">
        <v>11470</v>
      </c>
      <c r="NUJ1" s="16" t="s">
        <v>11471</v>
      </c>
      <c r="NUK1" s="16" t="s">
        <v>11472</v>
      </c>
      <c r="NUL1" s="16" t="s">
        <v>11473</v>
      </c>
      <c r="NUM1" s="16" t="s">
        <v>11474</v>
      </c>
      <c r="NUN1" s="16" t="s">
        <v>11475</v>
      </c>
      <c r="NUO1" s="16" t="s">
        <v>11476</v>
      </c>
      <c r="NUP1" s="16" t="s">
        <v>11477</v>
      </c>
      <c r="NUQ1" s="16" t="s">
        <v>11478</v>
      </c>
      <c r="NUR1" s="16" t="s">
        <v>11479</v>
      </c>
      <c r="NUS1" s="16" t="s">
        <v>11480</v>
      </c>
      <c r="NUT1" s="16" t="s">
        <v>11481</v>
      </c>
      <c r="NUU1" s="16" t="s">
        <v>11482</v>
      </c>
      <c r="NUV1" s="16" t="s">
        <v>11483</v>
      </c>
      <c r="NUW1" s="16" t="s">
        <v>11484</v>
      </c>
      <c r="NUX1" s="16" t="s">
        <v>11485</v>
      </c>
      <c r="NUY1" s="16" t="s">
        <v>11486</v>
      </c>
      <c r="NUZ1" s="16" t="s">
        <v>11487</v>
      </c>
      <c r="NVA1" s="16" t="s">
        <v>11488</v>
      </c>
      <c r="NVB1" s="16" t="s">
        <v>11489</v>
      </c>
      <c r="NVC1" s="16" t="s">
        <v>11490</v>
      </c>
      <c r="NVD1" s="16" t="s">
        <v>11491</v>
      </c>
      <c r="NVE1" s="16" t="s">
        <v>11492</v>
      </c>
      <c r="NVF1" s="16" t="s">
        <v>11493</v>
      </c>
      <c r="NVG1" s="16" t="s">
        <v>11494</v>
      </c>
      <c r="NVH1" s="16" t="s">
        <v>11495</v>
      </c>
      <c r="NVI1" s="16" t="s">
        <v>11496</v>
      </c>
      <c r="NVJ1" s="16" t="s">
        <v>11497</v>
      </c>
      <c r="NVK1" s="16" t="s">
        <v>11498</v>
      </c>
      <c r="NVL1" s="16" t="s">
        <v>11499</v>
      </c>
      <c r="NVM1" s="16" t="s">
        <v>11500</v>
      </c>
      <c r="NVN1" s="16" t="s">
        <v>11501</v>
      </c>
      <c r="NVO1" s="16" t="s">
        <v>11502</v>
      </c>
      <c r="NVP1" s="16" t="s">
        <v>11503</v>
      </c>
      <c r="NVQ1" s="16" t="s">
        <v>11504</v>
      </c>
      <c r="NVR1" s="16" t="s">
        <v>11505</v>
      </c>
      <c r="NVS1" s="16" t="s">
        <v>11506</v>
      </c>
      <c r="NVT1" s="16" t="s">
        <v>11507</v>
      </c>
      <c r="NVU1" s="16" t="s">
        <v>11508</v>
      </c>
      <c r="NVV1" s="16" t="s">
        <v>11509</v>
      </c>
      <c r="NVW1" s="16" t="s">
        <v>11510</v>
      </c>
      <c r="NVX1" s="16" t="s">
        <v>11511</v>
      </c>
      <c r="NVY1" s="16" t="s">
        <v>11512</v>
      </c>
      <c r="NVZ1" s="16" t="s">
        <v>11513</v>
      </c>
      <c r="NWA1" s="16" t="s">
        <v>11514</v>
      </c>
      <c r="NWB1" s="16" t="s">
        <v>11515</v>
      </c>
      <c r="NWC1" s="16" t="s">
        <v>11516</v>
      </c>
      <c r="NWD1" s="16" t="s">
        <v>11517</v>
      </c>
      <c r="NWE1" s="16" t="s">
        <v>11518</v>
      </c>
      <c r="NWF1" s="16" t="s">
        <v>11519</v>
      </c>
      <c r="NWG1" s="16" t="s">
        <v>11520</v>
      </c>
      <c r="NWH1" s="16" t="s">
        <v>11521</v>
      </c>
      <c r="NWI1" s="16" t="s">
        <v>11522</v>
      </c>
      <c r="NWJ1" s="16" t="s">
        <v>11523</v>
      </c>
      <c r="NWK1" s="16" t="s">
        <v>11524</v>
      </c>
      <c r="NWL1" s="16" t="s">
        <v>11525</v>
      </c>
      <c r="NWM1" s="16" t="s">
        <v>11526</v>
      </c>
      <c r="NWN1" s="16" t="s">
        <v>11527</v>
      </c>
      <c r="NWO1" s="16" t="s">
        <v>11528</v>
      </c>
      <c r="NWP1" s="16" t="s">
        <v>11529</v>
      </c>
      <c r="NWQ1" s="16" t="s">
        <v>11530</v>
      </c>
      <c r="NWR1" s="16" t="s">
        <v>11531</v>
      </c>
      <c r="NWS1" s="16" t="s">
        <v>11532</v>
      </c>
      <c r="NWT1" s="16" t="s">
        <v>11533</v>
      </c>
      <c r="NWU1" s="16" t="s">
        <v>11534</v>
      </c>
      <c r="NWV1" s="16" t="s">
        <v>11535</v>
      </c>
      <c r="NWW1" s="16" t="s">
        <v>11536</v>
      </c>
      <c r="NWX1" s="16" t="s">
        <v>11537</v>
      </c>
      <c r="NWY1" s="16" t="s">
        <v>11538</v>
      </c>
      <c r="NWZ1" s="16" t="s">
        <v>11539</v>
      </c>
      <c r="NXA1" s="16" t="s">
        <v>11540</v>
      </c>
      <c r="NXB1" s="16" t="s">
        <v>11541</v>
      </c>
      <c r="NXC1" s="16" t="s">
        <v>11542</v>
      </c>
      <c r="NXD1" s="16" t="s">
        <v>11543</v>
      </c>
      <c r="NXE1" s="16" t="s">
        <v>11544</v>
      </c>
      <c r="NXF1" s="16" t="s">
        <v>11545</v>
      </c>
      <c r="NXG1" s="16" t="s">
        <v>11546</v>
      </c>
      <c r="NXH1" s="16" t="s">
        <v>11547</v>
      </c>
      <c r="NXI1" s="16" t="s">
        <v>11548</v>
      </c>
      <c r="NXJ1" s="16" t="s">
        <v>11549</v>
      </c>
      <c r="NXK1" s="16" t="s">
        <v>11550</v>
      </c>
      <c r="NXL1" s="16" t="s">
        <v>11551</v>
      </c>
      <c r="NXM1" s="16" t="s">
        <v>11552</v>
      </c>
      <c r="NXN1" s="16" t="s">
        <v>11553</v>
      </c>
      <c r="NXO1" s="16" t="s">
        <v>11554</v>
      </c>
      <c r="NXP1" s="16" t="s">
        <v>11555</v>
      </c>
      <c r="NXQ1" s="16" t="s">
        <v>11556</v>
      </c>
      <c r="NXR1" s="16" t="s">
        <v>11557</v>
      </c>
      <c r="NXS1" s="16" t="s">
        <v>11558</v>
      </c>
      <c r="NXT1" s="16" t="s">
        <v>11559</v>
      </c>
      <c r="NXU1" s="16" t="s">
        <v>11560</v>
      </c>
      <c r="NXV1" s="16" t="s">
        <v>11561</v>
      </c>
      <c r="NXW1" s="16" t="s">
        <v>11562</v>
      </c>
      <c r="NXX1" s="16" t="s">
        <v>11563</v>
      </c>
      <c r="NXY1" s="16" t="s">
        <v>11564</v>
      </c>
      <c r="NXZ1" s="16" t="s">
        <v>11565</v>
      </c>
      <c r="NYA1" s="16" t="s">
        <v>11566</v>
      </c>
      <c r="NYB1" s="16" t="s">
        <v>11567</v>
      </c>
      <c r="NYC1" s="16" t="s">
        <v>11568</v>
      </c>
      <c r="NYD1" s="16" t="s">
        <v>11569</v>
      </c>
      <c r="NYE1" s="16" t="s">
        <v>11570</v>
      </c>
      <c r="NYF1" s="16" t="s">
        <v>11571</v>
      </c>
      <c r="NYG1" s="16" t="s">
        <v>11572</v>
      </c>
      <c r="NYH1" s="16" t="s">
        <v>11573</v>
      </c>
      <c r="NYI1" s="16" t="s">
        <v>11574</v>
      </c>
      <c r="NYJ1" s="16" t="s">
        <v>11575</v>
      </c>
      <c r="NYK1" s="16" t="s">
        <v>11576</v>
      </c>
      <c r="NYL1" s="16" t="s">
        <v>11577</v>
      </c>
      <c r="NYM1" s="16" t="s">
        <v>11578</v>
      </c>
      <c r="NYN1" s="16" t="s">
        <v>11579</v>
      </c>
      <c r="NYO1" s="16" t="s">
        <v>11580</v>
      </c>
      <c r="NYP1" s="16" t="s">
        <v>11581</v>
      </c>
      <c r="NYQ1" s="16" t="s">
        <v>11582</v>
      </c>
      <c r="NYR1" s="16" t="s">
        <v>11583</v>
      </c>
      <c r="NYS1" s="16" t="s">
        <v>11584</v>
      </c>
      <c r="NYT1" s="16" t="s">
        <v>11585</v>
      </c>
      <c r="NYU1" s="16" t="s">
        <v>11586</v>
      </c>
      <c r="NYV1" s="16" t="s">
        <v>11587</v>
      </c>
      <c r="NYW1" s="16" t="s">
        <v>11588</v>
      </c>
      <c r="NYX1" s="16" t="s">
        <v>11589</v>
      </c>
      <c r="NYY1" s="16" t="s">
        <v>11590</v>
      </c>
      <c r="NYZ1" s="16" t="s">
        <v>11591</v>
      </c>
      <c r="NZA1" s="16" t="s">
        <v>11592</v>
      </c>
      <c r="NZB1" s="16" t="s">
        <v>11593</v>
      </c>
      <c r="NZC1" s="16" t="s">
        <v>11594</v>
      </c>
      <c r="NZD1" s="16" t="s">
        <v>11595</v>
      </c>
      <c r="NZE1" s="16" t="s">
        <v>11596</v>
      </c>
      <c r="NZF1" s="16" t="s">
        <v>11597</v>
      </c>
      <c r="NZG1" s="16" t="s">
        <v>11598</v>
      </c>
      <c r="NZH1" s="16" t="s">
        <v>11599</v>
      </c>
      <c r="NZI1" s="16" t="s">
        <v>11600</v>
      </c>
      <c r="NZJ1" s="16" t="s">
        <v>11601</v>
      </c>
      <c r="NZK1" s="16" t="s">
        <v>11602</v>
      </c>
      <c r="NZL1" s="16" t="s">
        <v>11603</v>
      </c>
      <c r="NZM1" s="16" t="s">
        <v>11604</v>
      </c>
      <c r="NZN1" s="16" t="s">
        <v>11605</v>
      </c>
      <c r="NZO1" s="16" t="s">
        <v>11606</v>
      </c>
      <c r="NZP1" s="16" t="s">
        <v>11607</v>
      </c>
      <c r="NZQ1" s="16" t="s">
        <v>11608</v>
      </c>
      <c r="NZR1" s="16" t="s">
        <v>11609</v>
      </c>
      <c r="NZS1" s="16" t="s">
        <v>11610</v>
      </c>
      <c r="NZT1" s="16" t="s">
        <v>11611</v>
      </c>
      <c r="NZU1" s="16" t="s">
        <v>11612</v>
      </c>
      <c r="NZV1" s="16" t="s">
        <v>11613</v>
      </c>
      <c r="NZW1" s="16" t="s">
        <v>11614</v>
      </c>
      <c r="NZX1" s="16" t="s">
        <v>11615</v>
      </c>
      <c r="NZY1" s="16" t="s">
        <v>11616</v>
      </c>
      <c r="NZZ1" s="16" t="s">
        <v>11617</v>
      </c>
      <c r="OAA1" s="16" t="s">
        <v>11618</v>
      </c>
      <c r="OAB1" s="16" t="s">
        <v>11619</v>
      </c>
      <c r="OAC1" s="16" t="s">
        <v>11620</v>
      </c>
      <c r="OAD1" s="16" t="s">
        <v>11621</v>
      </c>
      <c r="OAE1" s="16" t="s">
        <v>11622</v>
      </c>
      <c r="OAF1" s="16" t="s">
        <v>11623</v>
      </c>
      <c r="OAG1" s="16" t="s">
        <v>11624</v>
      </c>
      <c r="OAH1" s="16" t="s">
        <v>11625</v>
      </c>
      <c r="OAI1" s="16" t="s">
        <v>11626</v>
      </c>
      <c r="OAJ1" s="16" t="s">
        <v>11627</v>
      </c>
      <c r="OAK1" s="16" t="s">
        <v>11628</v>
      </c>
      <c r="OAL1" s="16" t="s">
        <v>11629</v>
      </c>
      <c r="OAM1" s="16" t="s">
        <v>11630</v>
      </c>
      <c r="OAN1" s="16" t="s">
        <v>11631</v>
      </c>
      <c r="OAO1" s="16" t="s">
        <v>11632</v>
      </c>
      <c r="OAP1" s="16" t="s">
        <v>11633</v>
      </c>
      <c r="OAQ1" s="16" t="s">
        <v>11634</v>
      </c>
      <c r="OAR1" s="16" t="s">
        <v>11635</v>
      </c>
      <c r="OAS1" s="16" t="s">
        <v>11636</v>
      </c>
      <c r="OAT1" s="16" t="s">
        <v>11637</v>
      </c>
      <c r="OAU1" s="16" t="s">
        <v>11638</v>
      </c>
      <c r="OAV1" s="16" t="s">
        <v>11639</v>
      </c>
      <c r="OAW1" s="16" t="s">
        <v>11640</v>
      </c>
      <c r="OAX1" s="16" t="s">
        <v>11641</v>
      </c>
      <c r="OAY1" s="16" t="s">
        <v>11642</v>
      </c>
      <c r="OAZ1" s="16" t="s">
        <v>11643</v>
      </c>
      <c r="OBA1" s="16" t="s">
        <v>11644</v>
      </c>
      <c r="OBB1" s="16" t="s">
        <v>11645</v>
      </c>
      <c r="OBC1" s="16" t="s">
        <v>11646</v>
      </c>
      <c r="OBD1" s="16" t="s">
        <v>11647</v>
      </c>
      <c r="OBE1" s="16" t="s">
        <v>11648</v>
      </c>
      <c r="OBF1" s="16" t="s">
        <v>11649</v>
      </c>
      <c r="OBG1" s="16" t="s">
        <v>11650</v>
      </c>
      <c r="OBH1" s="16" t="s">
        <v>11651</v>
      </c>
      <c r="OBI1" s="16" t="s">
        <v>11652</v>
      </c>
      <c r="OBJ1" s="16" t="s">
        <v>11653</v>
      </c>
      <c r="OBK1" s="16" t="s">
        <v>11654</v>
      </c>
      <c r="OBL1" s="16" t="s">
        <v>11655</v>
      </c>
      <c r="OBM1" s="16" t="s">
        <v>11656</v>
      </c>
      <c r="OBN1" s="16" t="s">
        <v>11657</v>
      </c>
      <c r="OBO1" s="16" t="s">
        <v>11658</v>
      </c>
      <c r="OBP1" s="16" t="s">
        <v>11659</v>
      </c>
      <c r="OBQ1" s="16" t="s">
        <v>11660</v>
      </c>
      <c r="OBR1" s="16" t="s">
        <v>11661</v>
      </c>
      <c r="OBS1" s="16" t="s">
        <v>11662</v>
      </c>
      <c r="OBT1" s="16" t="s">
        <v>11663</v>
      </c>
      <c r="OBU1" s="16" t="s">
        <v>11664</v>
      </c>
      <c r="OBV1" s="16" t="s">
        <v>11665</v>
      </c>
      <c r="OBW1" s="16" t="s">
        <v>11666</v>
      </c>
      <c r="OBX1" s="16" t="s">
        <v>11667</v>
      </c>
      <c r="OBY1" s="16" t="s">
        <v>11668</v>
      </c>
      <c r="OBZ1" s="16" t="s">
        <v>11669</v>
      </c>
      <c r="OCA1" s="16" t="s">
        <v>11670</v>
      </c>
      <c r="OCB1" s="16" t="s">
        <v>11671</v>
      </c>
      <c r="OCC1" s="16" t="s">
        <v>11672</v>
      </c>
      <c r="OCD1" s="16" t="s">
        <v>11673</v>
      </c>
      <c r="OCE1" s="16" t="s">
        <v>11674</v>
      </c>
      <c r="OCF1" s="16" t="s">
        <v>11675</v>
      </c>
      <c r="OCG1" s="16" t="s">
        <v>11676</v>
      </c>
      <c r="OCH1" s="16" t="s">
        <v>11677</v>
      </c>
      <c r="OCI1" s="16" t="s">
        <v>11678</v>
      </c>
      <c r="OCJ1" s="16" t="s">
        <v>11679</v>
      </c>
      <c r="OCK1" s="16" t="s">
        <v>11680</v>
      </c>
      <c r="OCL1" s="16" t="s">
        <v>11681</v>
      </c>
      <c r="OCM1" s="16" t="s">
        <v>11682</v>
      </c>
      <c r="OCN1" s="16" t="s">
        <v>11683</v>
      </c>
      <c r="OCO1" s="16" t="s">
        <v>11684</v>
      </c>
      <c r="OCP1" s="16" t="s">
        <v>11685</v>
      </c>
      <c r="OCQ1" s="16" t="s">
        <v>11686</v>
      </c>
      <c r="OCR1" s="16" t="s">
        <v>11687</v>
      </c>
      <c r="OCS1" s="16" t="s">
        <v>11688</v>
      </c>
      <c r="OCT1" s="16" t="s">
        <v>11689</v>
      </c>
      <c r="OCU1" s="16" t="s">
        <v>11690</v>
      </c>
      <c r="OCV1" s="16" t="s">
        <v>11691</v>
      </c>
      <c r="OCW1" s="16" t="s">
        <v>11692</v>
      </c>
      <c r="OCX1" s="16" t="s">
        <v>11693</v>
      </c>
      <c r="OCY1" s="16" t="s">
        <v>11694</v>
      </c>
      <c r="OCZ1" s="16" t="s">
        <v>11695</v>
      </c>
      <c r="ODA1" s="16" t="s">
        <v>11696</v>
      </c>
      <c r="ODB1" s="16" t="s">
        <v>11697</v>
      </c>
      <c r="ODC1" s="16" t="s">
        <v>11698</v>
      </c>
      <c r="ODD1" s="16" t="s">
        <v>11699</v>
      </c>
      <c r="ODE1" s="16" t="s">
        <v>11700</v>
      </c>
      <c r="ODF1" s="16" t="s">
        <v>11701</v>
      </c>
      <c r="ODG1" s="16" t="s">
        <v>11702</v>
      </c>
      <c r="ODH1" s="16" t="s">
        <v>11703</v>
      </c>
      <c r="ODI1" s="16" t="s">
        <v>11704</v>
      </c>
      <c r="ODJ1" s="16" t="s">
        <v>11705</v>
      </c>
      <c r="ODK1" s="16" t="s">
        <v>11706</v>
      </c>
      <c r="ODL1" s="16" t="s">
        <v>11707</v>
      </c>
      <c r="ODM1" s="16" t="s">
        <v>11708</v>
      </c>
      <c r="ODN1" s="16" t="s">
        <v>11709</v>
      </c>
      <c r="ODO1" s="16" t="s">
        <v>11710</v>
      </c>
      <c r="ODP1" s="16" t="s">
        <v>11711</v>
      </c>
      <c r="ODQ1" s="16" t="s">
        <v>11712</v>
      </c>
      <c r="ODR1" s="16" t="s">
        <v>11713</v>
      </c>
      <c r="ODS1" s="16" t="s">
        <v>11714</v>
      </c>
      <c r="ODT1" s="16" t="s">
        <v>11715</v>
      </c>
      <c r="ODU1" s="16" t="s">
        <v>11716</v>
      </c>
      <c r="ODV1" s="16" t="s">
        <v>11717</v>
      </c>
      <c r="ODW1" s="16" t="s">
        <v>11718</v>
      </c>
      <c r="ODX1" s="16" t="s">
        <v>11719</v>
      </c>
      <c r="ODY1" s="16" t="s">
        <v>11720</v>
      </c>
      <c r="ODZ1" s="16" t="s">
        <v>11721</v>
      </c>
      <c r="OEA1" s="16" t="s">
        <v>11722</v>
      </c>
      <c r="OEB1" s="16" t="s">
        <v>11723</v>
      </c>
      <c r="OEC1" s="16" t="s">
        <v>11724</v>
      </c>
      <c r="OED1" s="16" t="s">
        <v>11725</v>
      </c>
      <c r="OEE1" s="16" t="s">
        <v>11726</v>
      </c>
      <c r="OEF1" s="16" t="s">
        <v>11727</v>
      </c>
      <c r="OEG1" s="16" t="s">
        <v>11728</v>
      </c>
      <c r="OEH1" s="16" t="s">
        <v>11729</v>
      </c>
      <c r="OEI1" s="16" t="s">
        <v>11730</v>
      </c>
      <c r="OEJ1" s="16" t="s">
        <v>11731</v>
      </c>
      <c r="OEK1" s="16" t="s">
        <v>11732</v>
      </c>
      <c r="OEL1" s="16" t="s">
        <v>11733</v>
      </c>
      <c r="OEM1" s="16" t="s">
        <v>11734</v>
      </c>
      <c r="OEN1" s="16" t="s">
        <v>11735</v>
      </c>
      <c r="OEO1" s="16" t="s">
        <v>11736</v>
      </c>
      <c r="OEP1" s="16" t="s">
        <v>11737</v>
      </c>
      <c r="OEQ1" s="16" t="s">
        <v>11738</v>
      </c>
      <c r="OER1" s="16" t="s">
        <v>11739</v>
      </c>
      <c r="OES1" s="16" t="s">
        <v>11740</v>
      </c>
      <c r="OET1" s="16" t="s">
        <v>11741</v>
      </c>
      <c r="OEU1" s="16" t="s">
        <v>11742</v>
      </c>
      <c r="OEV1" s="16" t="s">
        <v>11743</v>
      </c>
      <c r="OEW1" s="16" t="s">
        <v>11744</v>
      </c>
      <c r="OEX1" s="16" t="s">
        <v>11745</v>
      </c>
      <c r="OEY1" s="16" t="s">
        <v>11746</v>
      </c>
      <c r="OEZ1" s="16" t="s">
        <v>11747</v>
      </c>
      <c r="OFA1" s="16" t="s">
        <v>11748</v>
      </c>
      <c r="OFB1" s="16" t="s">
        <v>11749</v>
      </c>
      <c r="OFC1" s="16" t="s">
        <v>11750</v>
      </c>
      <c r="OFD1" s="16" t="s">
        <v>11751</v>
      </c>
      <c r="OFE1" s="16" t="s">
        <v>11752</v>
      </c>
      <c r="OFF1" s="16" t="s">
        <v>11753</v>
      </c>
      <c r="OFG1" s="16" t="s">
        <v>11754</v>
      </c>
      <c r="OFH1" s="16" t="s">
        <v>11755</v>
      </c>
      <c r="OFI1" s="16" t="s">
        <v>11756</v>
      </c>
      <c r="OFJ1" s="16" t="s">
        <v>11757</v>
      </c>
      <c r="OFK1" s="16" t="s">
        <v>11758</v>
      </c>
      <c r="OFL1" s="16" t="s">
        <v>11759</v>
      </c>
      <c r="OFM1" s="16" t="s">
        <v>11760</v>
      </c>
      <c r="OFN1" s="16" t="s">
        <v>11761</v>
      </c>
      <c r="OFO1" s="16" t="s">
        <v>11762</v>
      </c>
      <c r="OFP1" s="16" t="s">
        <v>11763</v>
      </c>
      <c r="OFQ1" s="16" t="s">
        <v>11764</v>
      </c>
      <c r="OFR1" s="16" t="s">
        <v>11765</v>
      </c>
      <c r="OFS1" s="16" t="s">
        <v>11766</v>
      </c>
      <c r="OFT1" s="16" t="s">
        <v>11767</v>
      </c>
      <c r="OFU1" s="16" t="s">
        <v>11768</v>
      </c>
      <c r="OFV1" s="16" t="s">
        <v>11769</v>
      </c>
      <c r="OFW1" s="16" t="s">
        <v>11770</v>
      </c>
      <c r="OFX1" s="16" t="s">
        <v>11771</v>
      </c>
      <c r="OFY1" s="16" t="s">
        <v>11772</v>
      </c>
      <c r="OFZ1" s="16" t="s">
        <v>11773</v>
      </c>
      <c r="OGA1" s="16" t="s">
        <v>11774</v>
      </c>
      <c r="OGB1" s="16" t="s">
        <v>11775</v>
      </c>
      <c r="OGC1" s="16" t="s">
        <v>11776</v>
      </c>
      <c r="OGD1" s="16" t="s">
        <v>11777</v>
      </c>
      <c r="OGE1" s="16" t="s">
        <v>11778</v>
      </c>
      <c r="OGF1" s="16" t="s">
        <v>11779</v>
      </c>
      <c r="OGG1" s="16" t="s">
        <v>11780</v>
      </c>
      <c r="OGH1" s="16" t="s">
        <v>11781</v>
      </c>
      <c r="OGI1" s="16" t="s">
        <v>11782</v>
      </c>
      <c r="OGJ1" s="16" t="s">
        <v>11783</v>
      </c>
      <c r="OGK1" s="16" t="s">
        <v>11784</v>
      </c>
      <c r="OGL1" s="16" t="s">
        <v>11785</v>
      </c>
      <c r="OGM1" s="16" t="s">
        <v>11786</v>
      </c>
      <c r="OGN1" s="16" t="s">
        <v>11787</v>
      </c>
      <c r="OGO1" s="16" t="s">
        <v>11788</v>
      </c>
      <c r="OGP1" s="16" t="s">
        <v>11789</v>
      </c>
      <c r="OGQ1" s="16" t="s">
        <v>11790</v>
      </c>
      <c r="OGR1" s="16" t="s">
        <v>11791</v>
      </c>
      <c r="OGS1" s="16" t="s">
        <v>11792</v>
      </c>
      <c r="OGT1" s="16" t="s">
        <v>11793</v>
      </c>
      <c r="OGU1" s="16" t="s">
        <v>11794</v>
      </c>
      <c r="OGV1" s="16" t="s">
        <v>11795</v>
      </c>
      <c r="OGW1" s="16" t="s">
        <v>11796</v>
      </c>
      <c r="OGX1" s="16" t="s">
        <v>11797</v>
      </c>
      <c r="OGY1" s="16" t="s">
        <v>11798</v>
      </c>
      <c r="OGZ1" s="16" t="s">
        <v>11799</v>
      </c>
      <c r="OHA1" s="16" t="s">
        <v>11800</v>
      </c>
      <c r="OHB1" s="16" t="s">
        <v>11801</v>
      </c>
      <c r="OHC1" s="16" t="s">
        <v>11802</v>
      </c>
      <c r="OHD1" s="16" t="s">
        <v>11803</v>
      </c>
      <c r="OHE1" s="16" t="s">
        <v>11804</v>
      </c>
      <c r="OHF1" s="16" t="s">
        <v>11805</v>
      </c>
      <c r="OHG1" s="16" t="s">
        <v>11806</v>
      </c>
      <c r="OHH1" s="16" t="s">
        <v>11807</v>
      </c>
      <c r="OHI1" s="16" t="s">
        <v>11808</v>
      </c>
      <c r="OHJ1" s="16" t="s">
        <v>11809</v>
      </c>
      <c r="OHK1" s="16" t="s">
        <v>11810</v>
      </c>
      <c r="OHL1" s="16" t="s">
        <v>11811</v>
      </c>
      <c r="OHM1" s="16" t="s">
        <v>11812</v>
      </c>
      <c r="OHN1" s="16" t="s">
        <v>11813</v>
      </c>
      <c r="OHO1" s="16" t="s">
        <v>11814</v>
      </c>
      <c r="OHP1" s="16" t="s">
        <v>11815</v>
      </c>
      <c r="OHQ1" s="16" t="s">
        <v>11816</v>
      </c>
      <c r="OHR1" s="16" t="s">
        <v>11817</v>
      </c>
      <c r="OHS1" s="16" t="s">
        <v>11818</v>
      </c>
      <c r="OHT1" s="16" t="s">
        <v>11819</v>
      </c>
      <c r="OHU1" s="16" t="s">
        <v>11820</v>
      </c>
      <c r="OHV1" s="16" t="s">
        <v>11821</v>
      </c>
      <c r="OHW1" s="16" t="s">
        <v>11822</v>
      </c>
      <c r="OHX1" s="16" t="s">
        <v>11823</v>
      </c>
      <c r="OHY1" s="16" t="s">
        <v>11824</v>
      </c>
      <c r="OHZ1" s="16" t="s">
        <v>11825</v>
      </c>
      <c r="OIA1" s="16" t="s">
        <v>11826</v>
      </c>
      <c r="OIB1" s="16" t="s">
        <v>11827</v>
      </c>
      <c r="OIC1" s="16" t="s">
        <v>11828</v>
      </c>
      <c r="OID1" s="16" t="s">
        <v>11829</v>
      </c>
      <c r="OIE1" s="16" t="s">
        <v>11830</v>
      </c>
      <c r="OIF1" s="16" t="s">
        <v>11831</v>
      </c>
      <c r="OIG1" s="16" t="s">
        <v>11832</v>
      </c>
      <c r="OIH1" s="16" t="s">
        <v>11833</v>
      </c>
      <c r="OII1" s="16" t="s">
        <v>11834</v>
      </c>
      <c r="OIJ1" s="16" t="s">
        <v>11835</v>
      </c>
      <c r="OIK1" s="16" t="s">
        <v>11836</v>
      </c>
      <c r="OIL1" s="16" t="s">
        <v>11837</v>
      </c>
      <c r="OIM1" s="16" t="s">
        <v>11838</v>
      </c>
      <c r="OIN1" s="16" t="s">
        <v>11839</v>
      </c>
      <c r="OIO1" s="16" t="s">
        <v>11840</v>
      </c>
      <c r="OIP1" s="16" t="s">
        <v>11841</v>
      </c>
      <c r="OIQ1" s="16" t="s">
        <v>11842</v>
      </c>
      <c r="OIR1" s="16" t="s">
        <v>11843</v>
      </c>
      <c r="OIS1" s="16" t="s">
        <v>11844</v>
      </c>
      <c r="OIT1" s="16" t="s">
        <v>11845</v>
      </c>
      <c r="OIU1" s="16" t="s">
        <v>11846</v>
      </c>
      <c r="OIV1" s="16" t="s">
        <v>11847</v>
      </c>
      <c r="OIW1" s="16" t="s">
        <v>11848</v>
      </c>
      <c r="OIX1" s="16" t="s">
        <v>11849</v>
      </c>
      <c r="OIY1" s="16" t="s">
        <v>11850</v>
      </c>
      <c r="OIZ1" s="16" t="s">
        <v>11851</v>
      </c>
      <c r="OJA1" s="16" t="s">
        <v>11852</v>
      </c>
      <c r="OJB1" s="16" t="s">
        <v>11853</v>
      </c>
      <c r="OJC1" s="16" t="s">
        <v>11854</v>
      </c>
      <c r="OJD1" s="16" t="s">
        <v>11855</v>
      </c>
      <c r="OJE1" s="16" t="s">
        <v>11856</v>
      </c>
      <c r="OJF1" s="16" t="s">
        <v>11857</v>
      </c>
      <c r="OJG1" s="16" t="s">
        <v>11858</v>
      </c>
      <c r="OJH1" s="16" t="s">
        <v>11859</v>
      </c>
      <c r="OJI1" s="16" t="s">
        <v>11860</v>
      </c>
      <c r="OJJ1" s="16" t="s">
        <v>11861</v>
      </c>
      <c r="OJK1" s="16" t="s">
        <v>11862</v>
      </c>
      <c r="OJL1" s="16" t="s">
        <v>11863</v>
      </c>
      <c r="OJM1" s="16" t="s">
        <v>11864</v>
      </c>
      <c r="OJN1" s="16" t="s">
        <v>11865</v>
      </c>
      <c r="OJO1" s="16" t="s">
        <v>11866</v>
      </c>
      <c r="OJP1" s="16" t="s">
        <v>11867</v>
      </c>
      <c r="OJQ1" s="16" t="s">
        <v>11868</v>
      </c>
      <c r="OJR1" s="16" t="s">
        <v>11869</v>
      </c>
      <c r="OJS1" s="16" t="s">
        <v>11870</v>
      </c>
      <c r="OJT1" s="16" t="s">
        <v>11871</v>
      </c>
      <c r="OJU1" s="16" t="s">
        <v>11872</v>
      </c>
      <c r="OJV1" s="16" t="s">
        <v>11873</v>
      </c>
      <c r="OJW1" s="16" t="s">
        <v>11874</v>
      </c>
      <c r="OJX1" s="16" t="s">
        <v>11875</v>
      </c>
      <c r="OJY1" s="16" t="s">
        <v>11876</v>
      </c>
      <c r="OJZ1" s="16" t="s">
        <v>11877</v>
      </c>
      <c r="OKA1" s="16" t="s">
        <v>11878</v>
      </c>
      <c r="OKB1" s="16" t="s">
        <v>11879</v>
      </c>
      <c r="OKC1" s="16" t="s">
        <v>11880</v>
      </c>
      <c r="OKD1" s="16" t="s">
        <v>11881</v>
      </c>
      <c r="OKE1" s="16" t="s">
        <v>11882</v>
      </c>
      <c r="OKF1" s="16" t="s">
        <v>11883</v>
      </c>
      <c r="OKG1" s="16" t="s">
        <v>11884</v>
      </c>
      <c r="OKH1" s="16" t="s">
        <v>11885</v>
      </c>
      <c r="OKI1" s="16" t="s">
        <v>11886</v>
      </c>
      <c r="OKJ1" s="16" t="s">
        <v>11887</v>
      </c>
      <c r="OKK1" s="16" t="s">
        <v>11888</v>
      </c>
      <c r="OKL1" s="16" t="s">
        <v>11889</v>
      </c>
      <c r="OKM1" s="16" t="s">
        <v>11890</v>
      </c>
      <c r="OKN1" s="16" t="s">
        <v>11891</v>
      </c>
      <c r="OKO1" s="16" t="s">
        <v>11892</v>
      </c>
      <c r="OKP1" s="16" t="s">
        <v>11893</v>
      </c>
      <c r="OKQ1" s="16" t="s">
        <v>11894</v>
      </c>
      <c r="OKR1" s="16" t="s">
        <v>11895</v>
      </c>
      <c r="OKS1" s="16" t="s">
        <v>11896</v>
      </c>
      <c r="OKT1" s="16" t="s">
        <v>11897</v>
      </c>
      <c r="OKU1" s="16" t="s">
        <v>11898</v>
      </c>
      <c r="OKV1" s="16" t="s">
        <v>11899</v>
      </c>
      <c r="OKW1" s="16" t="s">
        <v>11900</v>
      </c>
      <c r="OKX1" s="16" t="s">
        <v>11901</v>
      </c>
      <c r="OKY1" s="16" t="s">
        <v>11902</v>
      </c>
      <c r="OKZ1" s="16" t="s">
        <v>11903</v>
      </c>
      <c r="OLA1" s="16" t="s">
        <v>11904</v>
      </c>
      <c r="OLB1" s="16" t="s">
        <v>11905</v>
      </c>
      <c r="OLC1" s="16" t="s">
        <v>11906</v>
      </c>
      <c r="OLD1" s="16" t="s">
        <v>11907</v>
      </c>
      <c r="OLE1" s="16" t="s">
        <v>11908</v>
      </c>
      <c r="OLF1" s="16" t="s">
        <v>11909</v>
      </c>
      <c r="OLG1" s="16" t="s">
        <v>11910</v>
      </c>
      <c r="OLH1" s="16" t="s">
        <v>11911</v>
      </c>
      <c r="OLI1" s="16" t="s">
        <v>11912</v>
      </c>
      <c r="OLJ1" s="16" t="s">
        <v>11913</v>
      </c>
      <c r="OLK1" s="16" t="s">
        <v>11914</v>
      </c>
      <c r="OLL1" s="16" t="s">
        <v>11915</v>
      </c>
      <c r="OLM1" s="16" t="s">
        <v>11916</v>
      </c>
      <c r="OLN1" s="16" t="s">
        <v>11917</v>
      </c>
      <c r="OLO1" s="16" t="s">
        <v>11918</v>
      </c>
      <c r="OLP1" s="16" t="s">
        <v>11919</v>
      </c>
      <c r="OLQ1" s="16" t="s">
        <v>11920</v>
      </c>
      <c r="OLR1" s="16" t="s">
        <v>11921</v>
      </c>
      <c r="OLS1" s="16" t="s">
        <v>11922</v>
      </c>
      <c r="OLT1" s="16" t="s">
        <v>11923</v>
      </c>
      <c r="OLU1" s="16" t="s">
        <v>11924</v>
      </c>
      <c r="OLV1" s="16" t="s">
        <v>11925</v>
      </c>
      <c r="OLW1" s="16" t="s">
        <v>11926</v>
      </c>
      <c r="OLX1" s="16" t="s">
        <v>11927</v>
      </c>
      <c r="OLY1" s="16" t="s">
        <v>11928</v>
      </c>
      <c r="OLZ1" s="16" t="s">
        <v>11929</v>
      </c>
      <c r="OMA1" s="16" t="s">
        <v>11930</v>
      </c>
      <c r="OMB1" s="16" t="s">
        <v>11931</v>
      </c>
      <c r="OMC1" s="16" t="s">
        <v>11932</v>
      </c>
      <c r="OMD1" s="16" t="s">
        <v>11933</v>
      </c>
      <c r="OME1" s="16" t="s">
        <v>11934</v>
      </c>
      <c r="OMF1" s="16" t="s">
        <v>11935</v>
      </c>
      <c r="OMG1" s="16" t="s">
        <v>11936</v>
      </c>
      <c r="OMH1" s="16" t="s">
        <v>11937</v>
      </c>
      <c r="OMI1" s="16" t="s">
        <v>11938</v>
      </c>
      <c r="OMJ1" s="16" t="s">
        <v>11939</v>
      </c>
      <c r="OMK1" s="16" t="s">
        <v>11940</v>
      </c>
      <c r="OML1" s="16" t="s">
        <v>11941</v>
      </c>
      <c r="OMM1" s="16" t="s">
        <v>11942</v>
      </c>
      <c r="OMN1" s="16" t="s">
        <v>11943</v>
      </c>
      <c r="OMO1" s="16" t="s">
        <v>11944</v>
      </c>
      <c r="OMP1" s="16" t="s">
        <v>11945</v>
      </c>
      <c r="OMQ1" s="16" t="s">
        <v>11946</v>
      </c>
      <c r="OMR1" s="16" t="s">
        <v>11947</v>
      </c>
      <c r="OMS1" s="16" t="s">
        <v>11948</v>
      </c>
      <c r="OMT1" s="16" t="s">
        <v>11949</v>
      </c>
      <c r="OMU1" s="16" t="s">
        <v>11950</v>
      </c>
      <c r="OMV1" s="16" t="s">
        <v>11951</v>
      </c>
      <c r="OMW1" s="16" t="s">
        <v>11952</v>
      </c>
      <c r="OMX1" s="16" t="s">
        <v>11953</v>
      </c>
      <c r="OMY1" s="16" t="s">
        <v>11954</v>
      </c>
      <c r="OMZ1" s="16" t="s">
        <v>11955</v>
      </c>
      <c r="ONA1" s="16" t="s">
        <v>11956</v>
      </c>
      <c r="ONB1" s="16" t="s">
        <v>11957</v>
      </c>
      <c r="ONC1" s="16" t="s">
        <v>11958</v>
      </c>
      <c r="OND1" s="16" t="s">
        <v>11959</v>
      </c>
      <c r="ONE1" s="16" t="s">
        <v>11960</v>
      </c>
      <c r="ONF1" s="16" t="s">
        <v>11961</v>
      </c>
      <c r="ONG1" s="16" t="s">
        <v>11962</v>
      </c>
      <c r="ONH1" s="16" t="s">
        <v>11963</v>
      </c>
      <c r="ONI1" s="16" t="s">
        <v>11964</v>
      </c>
      <c r="ONJ1" s="16" t="s">
        <v>11965</v>
      </c>
      <c r="ONK1" s="16" t="s">
        <v>11966</v>
      </c>
      <c r="ONL1" s="16" t="s">
        <v>11967</v>
      </c>
      <c r="ONM1" s="16" t="s">
        <v>11968</v>
      </c>
      <c r="ONN1" s="16" t="s">
        <v>11969</v>
      </c>
      <c r="ONO1" s="16" t="s">
        <v>11970</v>
      </c>
      <c r="ONP1" s="16" t="s">
        <v>11971</v>
      </c>
      <c r="ONQ1" s="16" t="s">
        <v>11972</v>
      </c>
      <c r="ONR1" s="16" t="s">
        <v>11973</v>
      </c>
      <c r="ONS1" s="16" t="s">
        <v>11974</v>
      </c>
      <c r="ONT1" s="16" t="s">
        <v>11975</v>
      </c>
      <c r="ONU1" s="16" t="s">
        <v>11976</v>
      </c>
      <c r="ONV1" s="16" t="s">
        <v>11977</v>
      </c>
      <c r="ONW1" s="16" t="s">
        <v>11978</v>
      </c>
      <c r="ONX1" s="16" t="s">
        <v>11979</v>
      </c>
      <c r="ONY1" s="16" t="s">
        <v>11980</v>
      </c>
      <c r="ONZ1" s="16" t="s">
        <v>11981</v>
      </c>
      <c r="OOA1" s="16" t="s">
        <v>11982</v>
      </c>
      <c r="OOB1" s="16" t="s">
        <v>11983</v>
      </c>
      <c r="OOC1" s="16" t="s">
        <v>11984</v>
      </c>
      <c r="OOD1" s="16" t="s">
        <v>11985</v>
      </c>
      <c r="OOE1" s="16" t="s">
        <v>11986</v>
      </c>
      <c r="OOF1" s="16" t="s">
        <v>11987</v>
      </c>
      <c r="OOG1" s="16" t="s">
        <v>11988</v>
      </c>
      <c r="OOH1" s="16" t="s">
        <v>11989</v>
      </c>
      <c r="OOI1" s="16" t="s">
        <v>11990</v>
      </c>
      <c r="OOJ1" s="16" t="s">
        <v>11991</v>
      </c>
      <c r="OOK1" s="16" t="s">
        <v>11992</v>
      </c>
      <c r="OOL1" s="16" t="s">
        <v>11993</v>
      </c>
      <c r="OOM1" s="16" t="s">
        <v>11994</v>
      </c>
      <c r="OON1" s="16" t="s">
        <v>11995</v>
      </c>
      <c r="OOO1" s="16" t="s">
        <v>11996</v>
      </c>
      <c r="OOP1" s="16" t="s">
        <v>11997</v>
      </c>
      <c r="OOQ1" s="16" t="s">
        <v>11998</v>
      </c>
      <c r="OOR1" s="16" t="s">
        <v>11999</v>
      </c>
      <c r="OOS1" s="16" t="s">
        <v>12000</v>
      </c>
      <c r="OOT1" s="16" t="s">
        <v>12001</v>
      </c>
      <c r="OOU1" s="16" t="s">
        <v>12002</v>
      </c>
      <c r="OOV1" s="16" t="s">
        <v>12003</v>
      </c>
      <c r="OOW1" s="16" t="s">
        <v>12004</v>
      </c>
      <c r="OOX1" s="16" t="s">
        <v>12005</v>
      </c>
      <c r="OOY1" s="16" t="s">
        <v>12006</v>
      </c>
      <c r="OOZ1" s="16" t="s">
        <v>12007</v>
      </c>
      <c r="OPA1" s="16" t="s">
        <v>12008</v>
      </c>
      <c r="OPB1" s="16" t="s">
        <v>12009</v>
      </c>
      <c r="OPC1" s="16" t="s">
        <v>12010</v>
      </c>
      <c r="OPD1" s="16" t="s">
        <v>12011</v>
      </c>
      <c r="OPE1" s="16" t="s">
        <v>12012</v>
      </c>
      <c r="OPF1" s="16" t="s">
        <v>12013</v>
      </c>
      <c r="OPG1" s="16" t="s">
        <v>12014</v>
      </c>
      <c r="OPH1" s="16" t="s">
        <v>12015</v>
      </c>
      <c r="OPI1" s="16" t="s">
        <v>12016</v>
      </c>
      <c r="OPJ1" s="16" t="s">
        <v>12017</v>
      </c>
      <c r="OPK1" s="16" t="s">
        <v>12018</v>
      </c>
      <c r="OPL1" s="16" t="s">
        <v>12019</v>
      </c>
      <c r="OPM1" s="16" t="s">
        <v>12020</v>
      </c>
      <c r="OPN1" s="16" t="s">
        <v>12021</v>
      </c>
      <c r="OPO1" s="16" t="s">
        <v>12022</v>
      </c>
      <c r="OPP1" s="16" t="s">
        <v>12023</v>
      </c>
      <c r="OPQ1" s="16" t="s">
        <v>12024</v>
      </c>
      <c r="OPR1" s="16" t="s">
        <v>12025</v>
      </c>
      <c r="OPS1" s="16" t="s">
        <v>12026</v>
      </c>
      <c r="OPT1" s="16" t="s">
        <v>12027</v>
      </c>
      <c r="OPU1" s="16" t="s">
        <v>12028</v>
      </c>
      <c r="OPV1" s="16" t="s">
        <v>12029</v>
      </c>
      <c r="OPW1" s="16" t="s">
        <v>12030</v>
      </c>
      <c r="OPX1" s="16" t="s">
        <v>12031</v>
      </c>
      <c r="OPY1" s="16" t="s">
        <v>12032</v>
      </c>
      <c r="OPZ1" s="16" t="s">
        <v>12033</v>
      </c>
      <c r="OQA1" s="16" t="s">
        <v>12034</v>
      </c>
      <c r="OQB1" s="16" t="s">
        <v>12035</v>
      </c>
      <c r="OQC1" s="16" t="s">
        <v>12036</v>
      </c>
      <c r="OQD1" s="16" t="s">
        <v>12037</v>
      </c>
      <c r="OQE1" s="16" t="s">
        <v>12038</v>
      </c>
      <c r="OQF1" s="16" t="s">
        <v>12039</v>
      </c>
      <c r="OQG1" s="16" t="s">
        <v>12040</v>
      </c>
      <c r="OQH1" s="16" t="s">
        <v>12041</v>
      </c>
      <c r="OQI1" s="16" t="s">
        <v>12042</v>
      </c>
      <c r="OQJ1" s="16" t="s">
        <v>12043</v>
      </c>
      <c r="OQK1" s="16" t="s">
        <v>12044</v>
      </c>
      <c r="OQL1" s="16" t="s">
        <v>12045</v>
      </c>
      <c r="OQM1" s="16" t="s">
        <v>12046</v>
      </c>
      <c r="OQN1" s="16" t="s">
        <v>12047</v>
      </c>
      <c r="OQO1" s="16" t="s">
        <v>12048</v>
      </c>
      <c r="OQP1" s="16" t="s">
        <v>12049</v>
      </c>
      <c r="OQQ1" s="16" t="s">
        <v>12050</v>
      </c>
      <c r="OQR1" s="16" t="s">
        <v>12051</v>
      </c>
      <c r="OQS1" s="16" t="s">
        <v>12052</v>
      </c>
      <c r="OQT1" s="16" t="s">
        <v>12053</v>
      </c>
      <c r="OQU1" s="16" t="s">
        <v>12054</v>
      </c>
      <c r="OQV1" s="16" t="s">
        <v>12055</v>
      </c>
      <c r="OQW1" s="16" t="s">
        <v>12056</v>
      </c>
      <c r="OQX1" s="16" t="s">
        <v>12057</v>
      </c>
      <c r="OQY1" s="16" t="s">
        <v>12058</v>
      </c>
      <c r="OQZ1" s="16" t="s">
        <v>12059</v>
      </c>
      <c r="ORA1" s="16" t="s">
        <v>12060</v>
      </c>
      <c r="ORB1" s="16" t="s">
        <v>12061</v>
      </c>
      <c r="ORC1" s="16" t="s">
        <v>12062</v>
      </c>
      <c r="ORD1" s="16" t="s">
        <v>12063</v>
      </c>
      <c r="ORE1" s="16" t="s">
        <v>12064</v>
      </c>
      <c r="ORF1" s="16" t="s">
        <v>12065</v>
      </c>
      <c r="ORG1" s="16" t="s">
        <v>12066</v>
      </c>
      <c r="ORH1" s="16" t="s">
        <v>12067</v>
      </c>
      <c r="ORI1" s="16" t="s">
        <v>12068</v>
      </c>
      <c r="ORJ1" s="16" t="s">
        <v>12069</v>
      </c>
      <c r="ORK1" s="16" t="s">
        <v>12070</v>
      </c>
      <c r="ORL1" s="16" t="s">
        <v>12071</v>
      </c>
      <c r="ORM1" s="16" t="s">
        <v>12072</v>
      </c>
      <c r="ORN1" s="16" t="s">
        <v>12073</v>
      </c>
      <c r="ORO1" s="16" t="s">
        <v>12074</v>
      </c>
      <c r="ORP1" s="16" t="s">
        <v>12075</v>
      </c>
      <c r="ORQ1" s="16" t="s">
        <v>12076</v>
      </c>
      <c r="ORR1" s="16" t="s">
        <v>12077</v>
      </c>
      <c r="ORS1" s="16" t="s">
        <v>12078</v>
      </c>
      <c r="ORT1" s="16" t="s">
        <v>12079</v>
      </c>
      <c r="ORU1" s="16" t="s">
        <v>12080</v>
      </c>
      <c r="ORV1" s="16" t="s">
        <v>12081</v>
      </c>
      <c r="ORW1" s="16" t="s">
        <v>12082</v>
      </c>
      <c r="ORX1" s="16" t="s">
        <v>12083</v>
      </c>
      <c r="ORY1" s="16" t="s">
        <v>12084</v>
      </c>
      <c r="ORZ1" s="16" t="s">
        <v>12085</v>
      </c>
      <c r="OSA1" s="16" t="s">
        <v>12086</v>
      </c>
      <c r="OSB1" s="16" t="s">
        <v>12087</v>
      </c>
      <c r="OSC1" s="16" t="s">
        <v>12088</v>
      </c>
      <c r="OSD1" s="16" t="s">
        <v>12089</v>
      </c>
      <c r="OSE1" s="16" t="s">
        <v>12090</v>
      </c>
      <c r="OSF1" s="16" t="s">
        <v>12091</v>
      </c>
      <c r="OSG1" s="16" t="s">
        <v>12092</v>
      </c>
      <c r="OSH1" s="16" t="s">
        <v>12093</v>
      </c>
      <c r="OSI1" s="16" t="s">
        <v>12094</v>
      </c>
      <c r="OSJ1" s="16" t="s">
        <v>12095</v>
      </c>
      <c r="OSK1" s="16" t="s">
        <v>12096</v>
      </c>
      <c r="OSL1" s="16" t="s">
        <v>12097</v>
      </c>
      <c r="OSM1" s="16" t="s">
        <v>12098</v>
      </c>
      <c r="OSN1" s="16" t="s">
        <v>12099</v>
      </c>
      <c r="OSO1" s="16" t="s">
        <v>12100</v>
      </c>
      <c r="OSP1" s="16" t="s">
        <v>12101</v>
      </c>
      <c r="OSQ1" s="16" t="s">
        <v>12102</v>
      </c>
      <c r="OSR1" s="16" t="s">
        <v>12103</v>
      </c>
      <c r="OSS1" s="16" t="s">
        <v>12104</v>
      </c>
      <c r="OST1" s="16" t="s">
        <v>12105</v>
      </c>
      <c r="OSU1" s="16" t="s">
        <v>12106</v>
      </c>
      <c r="OSV1" s="16" t="s">
        <v>12107</v>
      </c>
      <c r="OSW1" s="16" t="s">
        <v>12108</v>
      </c>
      <c r="OSX1" s="16" t="s">
        <v>12109</v>
      </c>
      <c r="OSY1" s="16" t="s">
        <v>12110</v>
      </c>
      <c r="OSZ1" s="16" t="s">
        <v>12111</v>
      </c>
      <c r="OTA1" s="16" t="s">
        <v>12112</v>
      </c>
      <c r="OTB1" s="16" t="s">
        <v>12113</v>
      </c>
      <c r="OTC1" s="16" t="s">
        <v>12114</v>
      </c>
      <c r="OTD1" s="16" t="s">
        <v>12115</v>
      </c>
      <c r="OTE1" s="16" t="s">
        <v>12116</v>
      </c>
      <c r="OTF1" s="16" t="s">
        <v>12117</v>
      </c>
      <c r="OTG1" s="16" t="s">
        <v>12118</v>
      </c>
      <c r="OTH1" s="16" t="s">
        <v>12119</v>
      </c>
      <c r="OTI1" s="16" t="s">
        <v>12120</v>
      </c>
      <c r="OTJ1" s="16" t="s">
        <v>12121</v>
      </c>
      <c r="OTK1" s="16" t="s">
        <v>12122</v>
      </c>
      <c r="OTL1" s="16" t="s">
        <v>12123</v>
      </c>
      <c r="OTM1" s="16" t="s">
        <v>12124</v>
      </c>
      <c r="OTN1" s="16" t="s">
        <v>12125</v>
      </c>
      <c r="OTO1" s="16" t="s">
        <v>12126</v>
      </c>
      <c r="OTP1" s="16" t="s">
        <v>12127</v>
      </c>
      <c r="OTQ1" s="16" t="s">
        <v>12128</v>
      </c>
      <c r="OTR1" s="16" t="s">
        <v>12129</v>
      </c>
      <c r="OTS1" s="16" t="s">
        <v>12130</v>
      </c>
      <c r="OTT1" s="16" t="s">
        <v>12131</v>
      </c>
      <c r="OTU1" s="16" t="s">
        <v>12132</v>
      </c>
      <c r="OTV1" s="16" t="s">
        <v>12133</v>
      </c>
      <c r="OTW1" s="16" t="s">
        <v>12134</v>
      </c>
      <c r="OTX1" s="16" t="s">
        <v>12135</v>
      </c>
      <c r="OTY1" s="16" t="s">
        <v>12136</v>
      </c>
      <c r="OTZ1" s="16" t="s">
        <v>12137</v>
      </c>
      <c r="OUA1" s="16" t="s">
        <v>12138</v>
      </c>
      <c r="OUB1" s="16" t="s">
        <v>12139</v>
      </c>
      <c r="OUC1" s="16" t="s">
        <v>12140</v>
      </c>
      <c r="OUD1" s="16" t="s">
        <v>12141</v>
      </c>
      <c r="OUE1" s="16" t="s">
        <v>12142</v>
      </c>
      <c r="OUF1" s="16" t="s">
        <v>12143</v>
      </c>
      <c r="OUG1" s="16" t="s">
        <v>12144</v>
      </c>
      <c r="OUH1" s="16" t="s">
        <v>12145</v>
      </c>
      <c r="OUI1" s="16" t="s">
        <v>12146</v>
      </c>
      <c r="OUJ1" s="16" t="s">
        <v>12147</v>
      </c>
      <c r="OUK1" s="16" t="s">
        <v>12148</v>
      </c>
      <c r="OUL1" s="16" t="s">
        <v>12149</v>
      </c>
      <c r="OUM1" s="16" t="s">
        <v>12150</v>
      </c>
      <c r="OUN1" s="16" t="s">
        <v>12151</v>
      </c>
      <c r="OUO1" s="16" t="s">
        <v>12152</v>
      </c>
      <c r="OUP1" s="16" t="s">
        <v>12153</v>
      </c>
      <c r="OUQ1" s="16" t="s">
        <v>12154</v>
      </c>
      <c r="OUR1" s="16" t="s">
        <v>12155</v>
      </c>
      <c r="OUS1" s="16" t="s">
        <v>12156</v>
      </c>
      <c r="OUT1" s="16" t="s">
        <v>12157</v>
      </c>
      <c r="OUU1" s="16" t="s">
        <v>12158</v>
      </c>
      <c r="OUV1" s="16" t="s">
        <v>12159</v>
      </c>
      <c r="OUW1" s="16" t="s">
        <v>12160</v>
      </c>
      <c r="OUX1" s="16" t="s">
        <v>12161</v>
      </c>
      <c r="OUY1" s="16" t="s">
        <v>12162</v>
      </c>
      <c r="OUZ1" s="16" t="s">
        <v>12163</v>
      </c>
      <c r="OVA1" s="16" t="s">
        <v>12164</v>
      </c>
      <c r="OVB1" s="16" t="s">
        <v>12165</v>
      </c>
      <c r="OVC1" s="16" t="s">
        <v>12166</v>
      </c>
      <c r="OVD1" s="16" t="s">
        <v>12167</v>
      </c>
      <c r="OVE1" s="16" t="s">
        <v>12168</v>
      </c>
      <c r="OVF1" s="16" t="s">
        <v>12169</v>
      </c>
      <c r="OVG1" s="16" t="s">
        <v>12170</v>
      </c>
      <c r="OVH1" s="16" t="s">
        <v>12171</v>
      </c>
      <c r="OVI1" s="16" t="s">
        <v>12172</v>
      </c>
      <c r="OVJ1" s="16" t="s">
        <v>12173</v>
      </c>
      <c r="OVK1" s="16" t="s">
        <v>12174</v>
      </c>
      <c r="OVL1" s="16" t="s">
        <v>12175</v>
      </c>
      <c r="OVM1" s="16" t="s">
        <v>12176</v>
      </c>
      <c r="OVN1" s="16" t="s">
        <v>12177</v>
      </c>
      <c r="OVO1" s="16" t="s">
        <v>12178</v>
      </c>
      <c r="OVP1" s="16" t="s">
        <v>12179</v>
      </c>
      <c r="OVQ1" s="16" t="s">
        <v>12180</v>
      </c>
      <c r="OVR1" s="16" t="s">
        <v>12181</v>
      </c>
      <c r="OVS1" s="16" t="s">
        <v>12182</v>
      </c>
      <c r="OVT1" s="16" t="s">
        <v>12183</v>
      </c>
      <c r="OVU1" s="16" t="s">
        <v>12184</v>
      </c>
      <c r="OVV1" s="16" t="s">
        <v>12185</v>
      </c>
      <c r="OVW1" s="16" t="s">
        <v>12186</v>
      </c>
      <c r="OVX1" s="16" t="s">
        <v>12187</v>
      </c>
      <c r="OVY1" s="16" t="s">
        <v>12188</v>
      </c>
      <c r="OVZ1" s="16" t="s">
        <v>12189</v>
      </c>
      <c r="OWA1" s="16" t="s">
        <v>12190</v>
      </c>
      <c r="OWB1" s="16" t="s">
        <v>12191</v>
      </c>
      <c r="OWC1" s="16" t="s">
        <v>12192</v>
      </c>
      <c r="OWD1" s="16" t="s">
        <v>12193</v>
      </c>
      <c r="OWE1" s="16" t="s">
        <v>12194</v>
      </c>
      <c r="OWF1" s="16" t="s">
        <v>12195</v>
      </c>
      <c r="OWG1" s="16" t="s">
        <v>12196</v>
      </c>
      <c r="OWH1" s="16" t="s">
        <v>12197</v>
      </c>
      <c r="OWI1" s="16" t="s">
        <v>12198</v>
      </c>
      <c r="OWJ1" s="16" t="s">
        <v>12199</v>
      </c>
      <c r="OWK1" s="16" t="s">
        <v>12200</v>
      </c>
      <c r="OWL1" s="16" t="s">
        <v>12201</v>
      </c>
      <c r="OWM1" s="16" t="s">
        <v>12202</v>
      </c>
      <c r="OWN1" s="16" t="s">
        <v>12203</v>
      </c>
      <c r="OWO1" s="16" t="s">
        <v>12204</v>
      </c>
      <c r="OWP1" s="16" t="s">
        <v>12205</v>
      </c>
      <c r="OWQ1" s="16" t="s">
        <v>12206</v>
      </c>
      <c r="OWR1" s="16" t="s">
        <v>12207</v>
      </c>
      <c r="OWS1" s="16" t="s">
        <v>12208</v>
      </c>
      <c r="OWT1" s="16" t="s">
        <v>12209</v>
      </c>
      <c r="OWU1" s="16" t="s">
        <v>12210</v>
      </c>
      <c r="OWV1" s="16" t="s">
        <v>12211</v>
      </c>
      <c r="OWW1" s="16" t="s">
        <v>12212</v>
      </c>
      <c r="OWX1" s="16" t="s">
        <v>12213</v>
      </c>
      <c r="OWY1" s="16" t="s">
        <v>12214</v>
      </c>
      <c r="OWZ1" s="16" t="s">
        <v>12215</v>
      </c>
      <c r="OXA1" s="16" t="s">
        <v>12216</v>
      </c>
      <c r="OXB1" s="16" t="s">
        <v>12217</v>
      </c>
      <c r="OXC1" s="16" t="s">
        <v>12218</v>
      </c>
      <c r="OXD1" s="16" t="s">
        <v>12219</v>
      </c>
      <c r="OXE1" s="16" t="s">
        <v>12220</v>
      </c>
      <c r="OXF1" s="16" t="s">
        <v>12221</v>
      </c>
      <c r="OXG1" s="16" t="s">
        <v>12222</v>
      </c>
      <c r="OXH1" s="16" t="s">
        <v>12223</v>
      </c>
      <c r="OXI1" s="16" t="s">
        <v>12224</v>
      </c>
      <c r="OXJ1" s="16" t="s">
        <v>12225</v>
      </c>
      <c r="OXK1" s="16" t="s">
        <v>12226</v>
      </c>
      <c r="OXL1" s="16" t="s">
        <v>12227</v>
      </c>
      <c r="OXM1" s="16" t="s">
        <v>12228</v>
      </c>
      <c r="OXN1" s="16" t="s">
        <v>12229</v>
      </c>
      <c r="OXO1" s="16" t="s">
        <v>12230</v>
      </c>
      <c r="OXP1" s="16" t="s">
        <v>12231</v>
      </c>
      <c r="OXQ1" s="16" t="s">
        <v>12232</v>
      </c>
      <c r="OXR1" s="16" t="s">
        <v>12233</v>
      </c>
      <c r="OXS1" s="16" t="s">
        <v>12234</v>
      </c>
      <c r="OXT1" s="16" t="s">
        <v>12235</v>
      </c>
      <c r="OXU1" s="16" t="s">
        <v>12236</v>
      </c>
      <c r="OXV1" s="16" t="s">
        <v>12237</v>
      </c>
      <c r="OXW1" s="16" t="s">
        <v>12238</v>
      </c>
      <c r="OXX1" s="16" t="s">
        <v>12239</v>
      </c>
      <c r="OXY1" s="16" t="s">
        <v>12240</v>
      </c>
      <c r="OXZ1" s="16" t="s">
        <v>12241</v>
      </c>
      <c r="OYA1" s="16" t="s">
        <v>12242</v>
      </c>
      <c r="OYB1" s="16" t="s">
        <v>12243</v>
      </c>
      <c r="OYC1" s="16" t="s">
        <v>12244</v>
      </c>
      <c r="OYD1" s="16" t="s">
        <v>12245</v>
      </c>
      <c r="OYE1" s="16" t="s">
        <v>12246</v>
      </c>
      <c r="OYF1" s="16" t="s">
        <v>12247</v>
      </c>
      <c r="OYG1" s="16" t="s">
        <v>12248</v>
      </c>
      <c r="OYH1" s="16" t="s">
        <v>12249</v>
      </c>
      <c r="OYI1" s="16" t="s">
        <v>12250</v>
      </c>
      <c r="OYJ1" s="16" t="s">
        <v>12251</v>
      </c>
      <c r="OYK1" s="16" t="s">
        <v>12252</v>
      </c>
      <c r="OYL1" s="16" t="s">
        <v>12253</v>
      </c>
      <c r="OYM1" s="16" t="s">
        <v>12254</v>
      </c>
      <c r="OYN1" s="16" t="s">
        <v>12255</v>
      </c>
      <c r="OYO1" s="16" t="s">
        <v>12256</v>
      </c>
      <c r="OYP1" s="16" t="s">
        <v>12257</v>
      </c>
      <c r="OYQ1" s="16" t="s">
        <v>12258</v>
      </c>
      <c r="OYR1" s="16" t="s">
        <v>12259</v>
      </c>
      <c r="OYS1" s="16" t="s">
        <v>12260</v>
      </c>
      <c r="OYT1" s="16" t="s">
        <v>12261</v>
      </c>
      <c r="OYU1" s="16" t="s">
        <v>12262</v>
      </c>
      <c r="OYV1" s="16" t="s">
        <v>12263</v>
      </c>
      <c r="OYW1" s="16" t="s">
        <v>12264</v>
      </c>
      <c r="OYX1" s="16" t="s">
        <v>12265</v>
      </c>
      <c r="OYY1" s="16" t="s">
        <v>12266</v>
      </c>
      <c r="OYZ1" s="16" t="s">
        <v>12267</v>
      </c>
      <c r="OZA1" s="16" t="s">
        <v>12268</v>
      </c>
      <c r="OZB1" s="16" t="s">
        <v>12269</v>
      </c>
      <c r="OZC1" s="16" t="s">
        <v>12270</v>
      </c>
      <c r="OZD1" s="16" t="s">
        <v>12271</v>
      </c>
      <c r="OZE1" s="16" t="s">
        <v>12272</v>
      </c>
      <c r="OZF1" s="16" t="s">
        <v>12273</v>
      </c>
      <c r="OZG1" s="16" t="s">
        <v>12274</v>
      </c>
      <c r="OZH1" s="16" t="s">
        <v>12275</v>
      </c>
      <c r="OZI1" s="16" t="s">
        <v>12276</v>
      </c>
      <c r="OZJ1" s="16" t="s">
        <v>12277</v>
      </c>
      <c r="OZK1" s="16" t="s">
        <v>12278</v>
      </c>
      <c r="OZL1" s="16" t="s">
        <v>12279</v>
      </c>
      <c r="OZM1" s="16" t="s">
        <v>12280</v>
      </c>
      <c r="OZN1" s="16" t="s">
        <v>12281</v>
      </c>
      <c r="OZO1" s="16" t="s">
        <v>12282</v>
      </c>
      <c r="OZP1" s="16" t="s">
        <v>12283</v>
      </c>
      <c r="OZQ1" s="16" t="s">
        <v>12284</v>
      </c>
      <c r="OZR1" s="16" t="s">
        <v>12285</v>
      </c>
      <c r="OZS1" s="16" t="s">
        <v>12286</v>
      </c>
      <c r="OZT1" s="16" t="s">
        <v>12287</v>
      </c>
      <c r="OZU1" s="16" t="s">
        <v>12288</v>
      </c>
      <c r="OZV1" s="16" t="s">
        <v>12289</v>
      </c>
      <c r="OZW1" s="16" t="s">
        <v>12290</v>
      </c>
      <c r="OZX1" s="16" t="s">
        <v>12291</v>
      </c>
      <c r="OZY1" s="16" t="s">
        <v>12292</v>
      </c>
      <c r="OZZ1" s="16" t="s">
        <v>12293</v>
      </c>
      <c r="PAA1" s="16" t="s">
        <v>12294</v>
      </c>
      <c r="PAB1" s="16" t="s">
        <v>12295</v>
      </c>
      <c r="PAC1" s="16" t="s">
        <v>12296</v>
      </c>
      <c r="PAD1" s="16" t="s">
        <v>12297</v>
      </c>
      <c r="PAE1" s="16" t="s">
        <v>12298</v>
      </c>
      <c r="PAF1" s="16" t="s">
        <v>12299</v>
      </c>
      <c r="PAG1" s="16" t="s">
        <v>12300</v>
      </c>
      <c r="PAH1" s="16" t="s">
        <v>12301</v>
      </c>
      <c r="PAI1" s="16" t="s">
        <v>12302</v>
      </c>
      <c r="PAJ1" s="16" t="s">
        <v>12303</v>
      </c>
      <c r="PAK1" s="16" t="s">
        <v>12304</v>
      </c>
      <c r="PAL1" s="16" t="s">
        <v>12305</v>
      </c>
      <c r="PAM1" s="16" t="s">
        <v>12306</v>
      </c>
      <c r="PAN1" s="16" t="s">
        <v>12307</v>
      </c>
      <c r="PAO1" s="16" t="s">
        <v>12308</v>
      </c>
      <c r="PAP1" s="16" t="s">
        <v>12309</v>
      </c>
      <c r="PAQ1" s="16" t="s">
        <v>12310</v>
      </c>
      <c r="PAR1" s="16" t="s">
        <v>12311</v>
      </c>
      <c r="PAS1" s="16" t="s">
        <v>12312</v>
      </c>
      <c r="PAT1" s="16" t="s">
        <v>12313</v>
      </c>
      <c r="PAU1" s="16" t="s">
        <v>12314</v>
      </c>
      <c r="PAV1" s="16" t="s">
        <v>12315</v>
      </c>
      <c r="PAW1" s="16" t="s">
        <v>12316</v>
      </c>
      <c r="PAX1" s="16" t="s">
        <v>12317</v>
      </c>
      <c r="PAY1" s="16" t="s">
        <v>12318</v>
      </c>
      <c r="PAZ1" s="16" t="s">
        <v>12319</v>
      </c>
      <c r="PBA1" s="16" t="s">
        <v>12320</v>
      </c>
      <c r="PBB1" s="16" t="s">
        <v>12321</v>
      </c>
      <c r="PBC1" s="16" t="s">
        <v>12322</v>
      </c>
      <c r="PBD1" s="16" t="s">
        <v>12323</v>
      </c>
      <c r="PBE1" s="16" t="s">
        <v>12324</v>
      </c>
      <c r="PBF1" s="16" t="s">
        <v>12325</v>
      </c>
      <c r="PBG1" s="16" t="s">
        <v>12326</v>
      </c>
      <c r="PBH1" s="16" t="s">
        <v>12327</v>
      </c>
      <c r="PBI1" s="16" t="s">
        <v>12328</v>
      </c>
      <c r="PBJ1" s="16" t="s">
        <v>12329</v>
      </c>
      <c r="PBK1" s="16" t="s">
        <v>12330</v>
      </c>
      <c r="PBL1" s="16" t="s">
        <v>12331</v>
      </c>
      <c r="PBM1" s="16" t="s">
        <v>12332</v>
      </c>
      <c r="PBN1" s="16" t="s">
        <v>12333</v>
      </c>
      <c r="PBO1" s="16" t="s">
        <v>12334</v>
      </c>
      <c r="PBP1" s="16" t="s">
        <v>12335</v>
      </c>
      <c r="PBQ1" s="16" t="s">
        <v>12336</v>
      </c>
      <c r="PBR1" s="16" t="s">
        <v>12337</v>
      </c>
      <c r="PBS1" s="16" t="s">
        <v>12338</v>
      </c>
      <c r="PBT1" s="16" t="s">
        <v>12339</v>
      </c>
      <c r="PBU1" s="16" t="s">
        <v>12340</v>
      </c>
      <c r="PBV1" s="16" t="s">
        <v>12341</v>
      </c>
      <c r="PBW1" s="16" t="s">
        <v>12342</v>
      </c>
      <c r="PBX1" s="16" t="s">
        <v>12343</v>
      </c>
      <c r="PBY1" s="16" t="s">
        <v>12344</v>
      </c>
      <c r="PBZ1" s="16" t="s">
        <v>12345</v>
      </c>
      <c r="PCA1" s="16" t="s">
        <v>12346</v>
      </c>
      <c r="PCB1" s="16" t="s">
        <v>12347</v>
      </c>
      <c r="PCC1" s="16" t="s">
        <v>12348</v>
      </c>
      <c r="PCD1" s="16" t="s">
        <v>12349</v>
      </c>
      <c r="PCE1" s="16" t="s">
        <v>12350</v>
      </c>
      <c r="PCF1" s="16" t="s">
        <v>12351</v>
      </c>
      <c r="PCG1" s="16" t="s">
        <v>12352</v>
      </c>
      <c r="PCH1" s="16" t="s">
        <v>12353</v>
      </c>
      <c r="PCI1" s="16" t="s">
        <v>12354</v>
      </c>
      <c r="PCJ1" s="16" t="s">
        <v>12355</v>
      </c>
      <c r="PCK1" s="16" t="s">
        <v>12356</v>
      </c>
      <c r="PCL1" s="16" t="s">
        <v>12357</v>
      </c>
      <c r="PCM1" s="16" t="s">
        <v>12358</v>
      </c>
      <c r="PCN1" s="16" t="s">
        <v>12359</v>
      </c>
      <c r="PCO1" s="16" t="s">
        <v>12360</v>
      </c>
      <c r="PCP1" s="16" t="s">
        <v>12361</v>
      </c>
      <c r="PCQ1" s="16" t="s">
        <v>12362</v>
      </c>
      <c r="PCR1" s="16" t="s">
        <v>12363</v>
      </c>
      <c r="PCS1" s="16" t="s">
        <v>12364</v>
      </c>
      <c r="PCT1" s="16" t="s">
        <v>12365</v>
      </c>
      <c r="PCU1" s="16" t="s">
        <v>12366</v>
      </c>
      <c r="PCV1" s="16" t="s">
        <v>12367</v>
      </c>
      <c r="PCW1" s="16" t="s">
        <v>12368</v>
      </c>
      <c r="PCX1" s="16" t="s">
        <v>12369</v>
      </c>
      <c r="PCY1" s="16" t="s">
        <v>12370</v>
      </c>
      <c r="PCZ1" s="16" t="s">
        <v>12371</v>
      </c>
      <c r="PDA1" s="16" t="s">
        <v>12372</v>
      </c>
      <c r="PDB1" s="16" t="s">
        <v>12373</v>
      </c>
      <c r="PDC1" s="16" t="s">
        <v>12374</v>
      </c>
      <c r="PDD1" s="16" t="s">
        <v>12375</v>
      </c>
      <c r="PDE1" s="16" t="s">
        <v>12376</v>
      </c>
      <c r="PDF1" s="16" t="s">
        <v>12377</v>
      </c>
      <c r="PDG1" s="16" t="s">
        <v>12378</v>
      </c>
      <c r="PDH1" s="16" t="s">
        <v>12379</v>
      </c>
      <c r="PDI1" s="16" t="s">
        <v>12380</v>
      </c>
      <c r="PDJ1" s="16" t="s">
        <v>12381</v>
      </c>
      <c r="PDK1" s="16" t="s">
        <v>12382</v>
      </c>
      <c r="PDL1" s="16" t="s">
        <v>12383</v>
      </c>
      <c r="PDM1" s="16" t="s">
        <v>12384</v>
      </c>
      <c r="PDN1" s="16" t="s">
        <v>12385</v>
      </c>
      <c r="PDO1" s="16" t="s">
        <v>12386</v>
      </c>
      <c r="PDP1" s="16" t="s">
        <v>12387</v>
      </c>
      <c r="PDQ1" s="16" t="s">
        <v>12388</v>
      </c>
      <c r="PDR1" s="16" t="s">
        <v>12389</v>
      </c>
      <c r="PDS1" s="16" t="s">
        <v>12390</v>
      </c>
      <c r="PDT1" s="16" t="s">
        <v>12391</v>
      </c>
      <c r="PDU1" s="16" t="s">
        <v>12392</v>
      </c>
      <c r="PDV1" s="16" t="s">
        <v>12393</v>
      </c>
      <c r="PDW1" s="16" t="s">
        <v>12394</v>
      </c>
      <c r="PDX1" s="16" t="s">
        <v>12395</v>
      </c>
      <c r="PDY1" s="16" t="s">
        <v>12396</v>
      </c>
      <c r="PDZ1" s="16" t="s">
        <v>12397</v>
      </c>
      <c r="PEA1" s="16" t="s">
        <v>12398</v>
      </c>
      <c r="PEB1" s="16" t="s">
        <v>12399</v>
      </c>
      <c r="PEC1" s="16" t="s">
        <v>12400</v>
      </c>
      <c r="PED1" s="16" t="s">
        <v>12401</v>
      </c>
      <c r="PEE1" s="16" t="s">
        <v>12402</v>
      </c>
      <c r="PEF1" s="16" t="s">
        <v>12403</v>
      </c>
      <c r="PEG1" s="16" t="s">
        <v>12404</v>
      </c>
      <c r="PEH1" s="16" t="s">
        <v>12405</v>
      </c>
      <c r="PEI1" s="16" t="s">
        <v>12406</v>
      </c>
      <c r="PEJ1" s="16" t="s">
        <v>12407</v>
      </c>
      <c r="PEK1" s="16" t="s">
        <v>12408</v>
      </c>
      <c r="PEL1" s="16" t="s">
        <v>12409</v>
      </c>
      <c r="PEM1" s="16" t="s">
        <v>12410</v>
      </c>
      <c r="PEN1" s="16" t="s">
        <v>12411</v>
      </c>
      <c r="PEO1" s="16" t="s">
        <v>12412</v>
      </c>
      <c r="PEP1" s="16" t="s">
        <v>12413</v>
      </c>
      <c r="PEQ1" s="16" t="s">
        <v>12414</v>
      </c>
      <c r="PER1" s="16" t="s">
        <v>12415</v>
      </c>
      <c r="PES1" s="16" t="s">
        <v>12416</v>
      </c>
      <c r="PET1" s="16" t="s">
        <v>12417</v>
      </c>
      <c r="PEU1" s="16" t="s">
        <v>12418</v>
      </c>
      <c r="PEV1" s="16" t="s">
        <v>12419</v>
      </c>
      <c r="PEW1" s="16" t="s">
        <v>12420</v>
      </c>
      <c r="PEX1" s="16" t="s">
        <v>12421</v>
      </c>
      <c r="PEY1" s="16" t="s">
        <v>12422</v>
      </c>
      <c r="PEZ1" s="16" t="s">
        <v>12423</v>
      </c>
      <c r="PFA1" s="16" t="s">
        <v>12424</v>
      </c>
      <c r="PFB1" s="16" t="s">
        <v>12425</v>
      </c>
      <c r="PFC1" s="16" t="s">
        <v>12426</v>
      </c>
      <c r="PFD1" s="16" t="s">
        <v>12427</v>
      </c>
      <c r="PFE1" s="16" t="s">
        <v>12428</v>
      </c>
      <c r="PFF1" s="16" t="s">
        <v>12429</v>
      </c>
      <c r="PFG1" s="16" t="s">
        <v>12430</v>
      </c>
      <c r="PFH1" s="16" t="s">
        <v>12431</v>
      </c>
      <c r="PFI1" s="16" t="s">
        <v>12432</v>
      </c>
      <c r="PFJ1" s="16" t="s">
        <v>12433</v>
      </c>
      <c r="PFK1" s="16" t="s">
        <v>12434</v>
      </c>
      <c r="PFL1" s="16" t="s">
        <v>12435</v>
      </c>
      <c r="PFM1" s="16" t="s">
        <v>12436</v>
      </c>
      <c r="PFN1" s="16" t="s">
        <v>12437</v>
      </c>
      <c r="PFO1" s="16" t="s">
        <v>12438</v>
      </c>
      <c r="PFP1" s="16" t="s">
        <v>12439</v>
      </c>
      <c r="PFQ1" s="16" t="s">
        <v>12440</v>
      </c>
      <c r="PFR1" s="16" t="s">
        <v>12441</v>
      </c>
      <c r="PFS1" s="16" t="s">
        <v>12442</v>
      </c>
      <c r="PFT1" s="16" t="s">
        <v>12443</v>
      </c>
      <c r="PFU1" s="16" t="s">
        <v>12444</v>
      </c>
      <c r="PFV1" s="16" t="s">
        <v>12445</v>
      </c>
      <c r="PFW1" s="16" t="s">
        <v>12446</v>
      </c>
      <c r="PFX1" s="16" t="s">
        <v>12447</v>
      </c>
      <c r="PFY1" s="16" t="s">
        <v>12448</v>
      </c>
      <c r="PFZ1" s="16" t="s">
        <v>12449</v>
      </c>
      <c r="PGA1" s="16" t="s">
        <v>12450</v>
      </c>
      <c r="PGB1" s="16" t="s">
        <v>12451</v>
      </c>
      <c r="PGC1" s="16" t="s">
        <v>12452</v>
      </c>
      <c r="PGD1" s="16" t="s">
        <v>12453</v>
      </c>
      <c r="PGE1" s="16" t="s">
        <v>12454</v>
      </c>
      <c r="PGF1" s="16" t="s">
        <v>12455</v>
      </c>
      <c r="PGG1" s="16" t="s">
        <v>12456</v>
      </c>
      <c r="PGH1" s="16" t="s">
        <v>12457</v>
      </c>
      <c r="PGI1" s="16" t="s">
        <v>12458</v>
      </c>
      <c r="PGJ1" s="16" t="s">
        <v>12459</v>
      </c>
      <c r="PGK1" s="16" t="s">
        <v>12460</v>
      </c>
      <c r="PGL1" s="16" t="s">
        <v>12461</v>
      </c>
      <c r="PGM1" s="16" t="s">
        <v>12462</v>
      </c>
      <c r="PGN1" s="16" t="s">
        <v>12463</v>
      </c>
      <c r="PGO1" s="16" t="s">
        <v>12464</v>
      </c>
      <c r="PGP1" s="16" t="s">
        <v>12465</v>
      </c>
      <c r="PGQ1" s="16" t="s">
        <v>12466</v>
      </c>
      <c r="PGR1" s="16" t="s">
        <v>12467</v>
      </c>
      <c r="PGS1" s="16" t="s">
        <v>12468</v>
      </c>
      <c r="PGT1" s="16" t="s">
        <v>12469</v>
      </c>
      <c r="PGU1" s="16" t="s">
        <v>12470</v>
      </c>
      <c r="PGV1" s="16" t="s">
        <v>12471</v>
      </c>
      <c r="PGW1" s="16" t="s">
        <v>12472</v>
      </c>
      <c r="PGX1" s="16" t="s">
        <v>12473</v>
      </c>
      <c r="PGY1" s="16" t="s">
        <v>12474</v>
      </c>
      <c r="PGZ1" s="16" t="s">
        <v>12475</v>
      </c>
      <c r="PHA1" s="16" t="s">
        <v>12476</v>
      </c>
      <c r="PHB1" s="16" t="s">
        <v>12477</v>
      </c>
      <c r="PHC1" s="16" t="s">
        <v>12478</v>
      </c>
      <c r="PHD1" s="16" t="s">
        <v>12479</v>
      </c>
      <c r="PHE1" s="16" t="s">
        <v>12480</v>
      </c>
      <c r="PHF1" s="16" t="s">
        <v>12481</v>
      </c>
      <c r="PHG1" s="16" t="s">
        <v>12482</v>
      </c>
      <c r="PHH1" s="16" t="s">
        <v>12483</v>
      </c>
      <c r="PHI1" s="16" t="s">
        <v>12484</v>
      </c>
      <c r="PHJ1" s="16" t="s">
        <v>12485</v>
      </c>
      <c r="PHK1" s="16" t="s">
        <v>12486</v>
      </c>
      <c r="PHL1" s="16" t="s">
        <v>12487</v>
      </c>
      <c r="PHM1" s="16" t="s">
        <v>12488</v>
      </c>
      <c r="PHN1" s="16" t="s">
        <v>12489</v>
      </c>
      <c r="PHO1" s="16" t="s">
        <v>12490</v>
      </c>
      <c r="PHP1" s="16" t="s">
        <v>12491</v>
      </c>
      <c r="PHQ1" s="16" t="s">
        <v>12492</v>
      </c>
      <c r="PHR1" s="16" t="s">
        <v>12493</v>
      </c>
      <c r="PHS1" s="16" t="s">
        <v>12494</v>
      </c>
      <c r="PHT1" s="16" t="s">
        <v>12495</v>
      </c>
      <c r="PHU1" s="16" t="s">
        <v>12496</v>
      </c>
      <c r="PHV1" s="16" t="s">
        <v>12497</v>
      </c>
      <c r="PHW1" s="16" t="s">
        <v>12498</v>
      </c>
      <c r="PHX1" s="16" t="s">
        <v>12499</v>
      </c>
      <c r="PHY1" s="16" t="s">
        <v>12500</v>
      </c>
      <c r="PHZ1" s="16" t="s">
        <v>12501</v>
      </c>
      <c r="PIA1" s="16" t="s">
        <v>12502</v>
      </c>
      <c r="PIB1" s="16" t="s">
        <v>12503</v>
      </c>
      <c r="PIC1" s="16" t="s">
        <v>12504</v>
      </c>
      <c r="PID1" s="16" t="s">
        <v>12505</v>
      </c>
      <c r="PIE1" s="16" t="s">
        <v>12506</v>
      </c>
      <c r="PIF1" s="16" t="s">
        <v>12507</v>
      </c>
      <c r="PIG1" s="16" t="s">
        <v>12508</v>
      </c>
      <c r="PIH1" s="16" t="s">
        <v>12509</v>
      </c>
      <c r="PII1" s="16" t="s">
        <v>12510</v>
      </c>
      <c r="PIJ1" s="16" t="s">
        <v>12511</v>
      </c>
      <c r="PIK1" s="16" t="s">
        <v>12512</v>
      </c>
      <c r="PIL1" s="16" t="s">
        <v>12513</v>
      </c>
      <c r="PIM1" s="16" t="s">
        <v>12514</v>
      </c>
      <c r="PIN1" s="16" t="s">
        <v>12515</v>
      </c>
      <c r="PIO1" s="16" t="s">
        <v>12516</v>
      </c>
      <c r="PIP1" s="16" t="s">
        <v>12517</v>
      </c>
      <c r="PIQ1" s="16" t="s">
        <v>12518</v>
      </c>
      <c r="PIR1" s="16" t="s">
        <v>12519</v>
      </c>
      <c r="PIS1" s="16" t="s">
        <v>12520</v>
      </c>
      <c r="PIT1" s="16" t="s">
        <v>12521</v>
      </c>
      <c r="PIU1" s="16" t="s">
        <v>12522</v>
      </c>
      <c r="PIV1" s="16" t="s">
        <v>12523</v>
      </c>
      <c r="PIW1" s="16" t="s">
        <v>12524</v>
      </c>
      <c r="PIX1" s="16" t="s">
        <v>12525</v>
      </c>
      <c r="PIY1" s="16" t="s">
        <v>12526</v>
      </c>
      <c r="PIZ1" s="16" t="s">
        <v>12527</v>
      </c>
      <c r="PJA1" s="16" t="s">
        <v>12528</v>
      </c>
      <c r="PJB1" s="16" t="s">
        <v>12529</v>
      </c>
      <c r="PJC1" s="16" t="s">
        <v>12530</v>
      </c>
      <c r="PJD1" s="16" t="s">
        <v>12531</v>
      </c>
      <c r="PJE1" s="16" t="s">
        <v>12532</v>
      </c>
      <c r="PJF1" s="16" t="s">
        <v>12533</v>
      </c>
      <c r="PJG1" s="16" t="s">
        <v>12534</v>
      </c>
      <c r="PJH1" s="16" t="s">
        <v>12535</v>
      </c>
      <c r="PJI1" s="16" t="s">
        <v>12536</v>
      </c>
      <c r="PJJ1" s="16" t="s">
        <v>12537</v>
      </c>
      <c r="PJK1" s="16" t="s">
        <v>12538</v>
      </c>
      <c r="PJL1" s="16" t="s">
        <v>12539</v>
      </c>
      <c r="PJM1" s="16" t="s">
        <v>12540</v>
      </c>
      <c r="PJN1" s="16" t="s">
        <v>12541</v>
      </c>
      <c r="PJO1" s="16" t="s">
        <v>12542</v>
      </c>
      <c r="PJP1" s="16" t="s">
        <v>12543</v>
      </c>
      <c r="PJQ1" s="16" t="s">
        <v>12544</v>
      </c>
      <c r="PJR1" s="16" t="s">
        <v>12545</v>
      </c>
      <c r="PJS1" s="16" t="s">
        <v>12546</v>
      </c>
      <c r="PJT1" s="16" t="s">
        <v>12547</v>
      </c>
      <c r="PJU1" s="16" t="s">
        <v>12548</v>
      </c>
      <c r="PJV1" s="16" t="s">
        <v>12549</v>
      </c>
      <c r="PJW1" s="16" t="s">
        <v>12550</v>
      </c>
      <c r="PJX1" s="16" t="s">
        <v>12551</v>
      </c>
      <c r="PJY1" s="16" t="s">
        <v>12552</v>
      </c>
      <c r="PJZ1" s="16" t="s">
        <v>12553</v>
      </c>
      <c r="PKA1" s="16" t="s">
        <v>12554</v>
      </c>
      <c r="PKB1" s="16" t="s">
        <v>12555</v>
      </c>
      <c r="PKC1" s="16" t="s">
        <v>12556</v>
      </c>
      <c r="PKD1" s="16" t="s">
        <v>12557</v>
      </c>
      <c r="PKE1" s="16" t="s">
        <v>12558</v>
      </c>
      <c r="PKF1" s="16" t="s">
        <v>12559</v>
      </c>
      <c r="PKG1" s="16" t="s">
        <v>12560</v>
      </c>
      <c r="PKH1" s="16" t="s">
        <v>12561</v>
      </c>
      <c r="PKI1" s="16" t="s">
        <v>12562</v>
      </c>
      <c r="PKJ1" s="16" t="s">
        <v>12563</v>
      </c>
      <c r="PKK1" s="16" t="s">
        <v>12564</v>
      </c>
      <c r="PKL1" s="16" t="s">
        <v>12565</v>
      </c>
      <c r="PKM1" s="16" t="s">
        <v>12566</v>
      </c>
      <c r="PKN1" s="16" t="s">
        <v>12567</v>
      </c>
      <c r="PKO1" s="16" t="s">
        <v>12568</v>
      </c>
      <c r="PKP1" s="16" t="s">
        <v>12569</v>
      </c>
      <c r="PKQ1" s="16" t="s">
        <v>12570</v>
      </c>
      <c r="PKR1" s="16" t="s">
        <v>12571</v>
      </c>
      <c r="PKS1" s="16" t="s">
        <v>12572</v>
      </c>
      <c r="PKT1" s="16" t="s">
        <v>12573</v>
      </c>
      <c r="PKU1" s="16" t="s">
        <v>12574</v>
      </c>
      <c r="PKV1" s="16" t="s">
        <v>12575</v>
      </c>
      <c r="PKW1" s="16" t="s">
        <v>12576</v>
      </c>
      <c r="PKX1" s="16" t="s">
        <v>12577</v>
      </c>
      <c r="PKY1" s="16" t="s">
        <v>12578</v>
      </c>
      <c r="PKZ1" s="16" t="s">
        <v>12579</v>
      </c>
      <c r="PLA1" s="16" t="s">
        <v>12580</v>
      </c>
      <c r="PLB1" s="16" t="s">
        <v>12581</v>
      </c>
      <c r="PLC1" s="16" t="s">
        <v>12582</v>
      </c>
      <c r="PLD1" s="16" t="s">
        <v>12583</v>
      </c>
      <c r="PLE1" s="16" t="s">
        <v>12584</v>
      </c>
      <c r="PLF1" s="16" t="s">
        <v>12585</v>
      </c>
      <c r="PLG1" s="16" t="s">
        <v>12586</v>
      </c>
      <c r="PLH1" s="16" t="s">
        <v>12587</v>
      </c>
      <c r="PLI1" s="16" t="s">
        <v>12588</v>
      </c>
      <c r="PLJ1" s="16" t="s">
        <v>12589</v>
      </c>
      <c r="PLK1" s="16" t="s">
        <v>12590</v>
      </c>
      <c r="PLL1" s="16" t="s">
        <v>12591</v>
      </c>
      <c r="PLM1" s="16" t="s">
        <v>12592</v>
      </c>
      <c r="PLN1" s="16" t="s">
        <v>12593</v>
      </c>
      <c r="PLO1" s="16" t="s">
        <v>12594</v>
      </c>
      <c r="PLP1" s="16" t="s">
        <v>12595</v>
      </c>
      <c r="PLQ1" s="16" t="s">
        <v>12596</v>
      </c>
      <c r="PLR1" s="16" t="s">
        <v>12597</v>
      </c>
      <c r="PLS1" s="16" t="s">
        <v>12598</v>
      </c>
      <c r="PLT1" s="16" t="s">
        <v>12599</v>
      </c>
      <c r="PLU1" s="16" t="s">
        <v>12600</v>
      </c>
      <c r="PLV1" s="16" t="s">
        <v>12601</v>
      </c>
      <c r="PLW1" s="16" t="s">
        <v>12602</v>
      </c>
      <c r="PLX1" s="16" t="s">
        <v>12603</v>
      </c>
      <c r="PLY1" s="16" t="s">
        <v>12604</v>
      </c>
      <c r="PLZ1" s="16" t="s">
        <v>12605</v>
      </c>
      <c r="PMA1" s="16" t="s">
        <v>12606</v>
      </c>
      <c r="PMB1" s="16" t="s">
        <v>12607</v>
      </c>
      <c r="PMC1" s="16" t="s">
        <v>12608</v>
      </c>
      <c r="PMD1" s="16" t="s">
        <v>12609</v>
      </c>
      <c r="PME1" s="16" t="s">
        <v>12610</v>
      </c>
      <c r="PMF1" s="16" t="s">
        <v>12611</v>
      </c>
      <c r="PMG1" s="16" t="s">
        <v>12612</v>
      </c>
      <c r="PMH1" s="16" t="s">
        <v>12613</v>
      </c>
      <c r="PMI1" s="16" t="s">
        <v>12614</v>
      </c>
      <c r="PMJ1" s="16" t="s">
        <v>12615</v>
      </c>
      <c r="PMK1" s="16" t="s">
        <v>12616</v>
      </c>
      <c r="PML1" s="16" t="s">
        <v>12617</v>
      </c>
      <c r="PMM1" s="16" t="s">
        <v>12618</v>
      </c>
      <c r="PMN1" s="16" t="s">
        <v>12619</v>
      </c>
      <c r="PMO1" s="16" t="s">
        <v>12620</v>
      </c>
      <c r="PMP1" s="16" t="s">
        <v>12621</v>
      </c>
      <c r="PMQ1" s="16" t="s">
        <v>12622</v>
      </c>
      <c r="PMR1" s="16" t="s">
        <v>12623</v>
      </c>
      <c r="PMS1" s="16" t="s">
        <v>12624</v>
      </c>
      <c r="PMT1" s="16" t="s">
        <v>12625</v>
      </c>
      <c r="PMU1" s="16" t="s">
        <v>12626</v>
      </c>
      <c r="PMV1" s="16" t="s">
        <v>12627</v>
      </c>
      <c r="PMW1" s="16" t="s">
        <v>12628</v>
      </c>
      <c r="PMX1" s="16" t="s">
        <v>12629</v>
      </c>
      <c r="PMY1" s="16" t="s">
        <v>12630</v>
      </c>
      <c r="PMZ1" s="16" t="s">
        <v>12631</v>
      </c>
      <c r="PNA1" s="16" t="s">
        <v>12632</v>
      </c>
      <c r="PNB1" s="16" t="s">
        <v>12633</v>
      </c>
      <c r="PNC1" s="16" t="s">
        <v>12634</v>
      </c>
      <c r="PND1" s="16" t="s">
        <v>12635</v>
      </c>
      <c r="PNE1" s="16" t="s">
        <v>12636</v>
      </c>
      <c r="PNF1" s="16" t="s">
        <v>12637</v>
      </c>
      <c r="PNG1" s="16" t="s">
        <v>12638</v>
      </c>
      <c r="PNH1" s="16" t="s">
        <v>12639</v>
      </c>
      <c r="PNI1" s="16" t="s">
        <v>12640</v>
      </c>
      <c r="PNJ1" s="16" t="s">
        <v>12641</v>
      </c>
      <c r="PNK1" s="16" t="s">
        <v>12642</v>
      </c>
      <c r="PNL1" s="16" t="s">
        <v>12643</v>
      </c>
      <c r="PNM1" s="16" t="s">
        <v>12644</v>
      </c>
      <c r="PNN1" s="16" t="s">
        <v>12645</v>
      </c>
      <c r="PNO1" s="16" t="s">
        <v>12646</v>
      </c>
      <c r="PNP1" s="16" t="s">
        <v>12647</v>
      </c>
      <c r="PNQ1" s="16" t="s">
        <v>12648</v>
      </c>
      <c r="PNR1" s="16" t="s">
        <v>12649</v>
      </c>
      <c r="PNS1" s="16" t="s">
        <v>12650</v>
      </c>
      <c r="PNT1" s="16" t="s">
        <v>12651</v>
      </c>
      <c r="PNU1" s="16" t="s">
        <v>12652</v>
      </c>
      <c r="PNV1" s="16" t="s">
        <v>12653</v>
      </c>
      <c r="PNW1" s="16" t="s">
        <v>12654</v>
      </c>
      <c r="PNX1" s="16" t="s">
        <v>12655</v>
      </c>
      <c r="PNY1" s="16" t="s">
        <v>12656</v>
      </c>
      <c r="PNZ1" s="16" t="s">
        <v>12657</v>
      </c>
      <c r="POA1" s="16" t="s">
        <v>12658</v>
      </c>
      <c r="POB1" s="16" t="s">
        <v>12659</v>
      </c>
      <c r="POC1" s="16" t="s">
        <v>12660</v>
      </c>
      <c r="POD1" s="16" t="s">
        <v>12661</v>
      </c>
      <c r="POE1" s="16" t="s">
        <v>12662</v>
      </c>
      <c r="POF1" s="16" t="s">
        <v>12663</v>
      </c>
      <c r="POG1" s="16" t="s">
        <v>12664</v>
      </c>
      <c r="POH1" s="16" t="s">
        <v>12665</v>
      </c>
      <c r="POI1" s="16" t="s">
        <v>12666</v>
      </c>
      <c r="POJ1" s="16" t="s">
        <v>12667</v>
      </c>
      <c r="POK1" s="16" t="s">
        <v>12668</v>
      </c>
      <c r="POL1" s="16" t="s">
        <v>12669</v>
      </c>
      <c r="POM1" s="16" t="s">
        <v>12670</v>
      </c>
      <c r="PON1" s="16" t="s">
        <v>12671</v>
      </c>
      <c r="POO1" s="16" t="s">
        <v>12672</v>
      </c>
      <c r="POP1" s="16" t="s">
        <v>12673</v>
      </c>
      <c r="POQ1" s="16" t="s">
        <v>12674</v>
      </c>
      <c r="POR1" s="16" t="s">
        <v>12675</v>
      </c>
      <c r="POS1" s="16" t="s">
        <v>12676</v>
      </c>
      <c r="POT1" s="16" t="s">
        <v>12677</v>
      </c>
      <c r="POU1" s="16" t="s">
        <v>12678</v>
      </c>
      <c r="POV1" s="16" t="s">
        <v>12679</v>
      </c>
      <c r="POW1" s="16" t="s">
        <v>12680</v>
      </c>
      <c r="POX1" s="16" t="s">
        <v>12681</v>
      </c>
      <c r="POY1" s="16" t="s">
        <v>12682</v>
      </c>
      <c r="POZ1" s="16" t="s">
        <v>12683</v>
      </c>
      <c r="PPA1" s="16" t="s">
        <v>12684</v>
      </c>
      <c r="PPB1" s="16" t="s">
        <v>12685</v>
      </c>
      <c r="PPC1" s="16" t="s">
        <v>12686</v>
      </c>
      <c r="PPD1" s="16" t="s">
        <v>12687</v>
      </c>
      <c r="PPE1" s="16" t="s">
        <v>12688</v>
      </c>
      <c r="PPF1" s="16" t="s">
        <v>12689</v>
      </c>
      <c r="PPG1" s="16" t="s">
        <v>12690</v>
      </c>
      <c r="PPH1" s="16" t="s">
        <v>12691</v>
      </c>
      <c r="PPI1" s="16" t="s">
        <v>12692</v>
      </c>
      <c r="PPJ1" s="16" t="s">
        <v>12693</v>
      </c>
      <c r="PPK1" s="16" t="s">
        <v>12694</v>
      </c>
      <c r="PPL1" s="16" t="s">
        <v>12695</v>
      </c>
      <c r="PPM1" s="16" t="s">
        <v>12696</v>
      </c>
      <c r="PPN1" s="16" t="s">
        <v>12697</v>
      </c>
      <c r="PPO1" s="16" t="s">
        <v>12698</v>
      </c>
      <c r="PPP1" s="16" t="s">
        <v>12699</v>
      </c>
      <c r="PPQ1" s="16" t="s">
        <v>12700</v>
      </c>
      <c r="PPR1" s="16" t="s">
        <v>12701</v>
      </c>
      <c r="PPS1" s="16" t="s">
        <v>12702</v>
      </c>
      <c r="PPT1" s="16" t="s">
        <v>12703</v>
      </c>
      <c r="PPU1" s="16" t="s">
        <v>12704</v>
      </c>
      <c r="PPV1" s="16" t="s">
        <v>12705</v>
      </c>
      <c r="PPW1" s="16" t="s">
        <v>12706</v>
      </c>
      <c r="PPX1" s="16" t="s">
        <v>12707</v>
      </c>
      <c r="PPY1" s="16" t="s">
        <v>12708</v>
      </c>
      <c r="PPZ1" s="16" t="s">
        <v>12709</v>
      </c>
      <c r="PQA1" s="16" t="s">
        <v>12710</v>
      </c>
      <c r="PQB1" s="16" t="s">
        <v>12711</v>
      </c>
      <c r="PQC1" s="16" t="s">
        <v>12712</v>
      </c>
      <c r="PQD1" s="16" t="s">
        <v>12713</v>
      </c>
      <c r="PQE1" s="16" t="s">
        <v>12714</v>
      </c>
      <c r="PQF1" s="16" t="s">
        <v>12715</v>
      </c>
      <c r="PQG1" s="16" t="s">
        <v>12716</v>
      </c>
      <c r="PQH1" s="16" t="s">
        <v>12717</v>
      </c>
      <c r="PQI1" s="16" t="s">
        <v>12718</v>
      </c>
      <c r="PQJ1" s="16" t="s">
        <v>12719</v>
      </c>
      <c r="PQK1" s="16" t="s">
        <v>12720</v>
      </c>
      <c r="PQL1" s="16" t="s">
        <v>12721</v>
      </c>
      <c r="PQM1" s="16" t="s">
        <v>12722</v>
      </c>
      <c r="PQN1" s="16" t="s">
        <v>12723</v>
      </c>
      <c r="PQO1" s="16" t="s">
        <v>12724</v>
      </c>
      <c r="PQP1" s="16" t="s">
        <v>12725</v>
      </c>
      <c r="PQQ1" s="16" t="s">
        <v>12726</v>
      </c>
      <c r="PQR1" s="16" t="s">
        <v>12727</v>
      </c>
      <c r="PQS1" s="16" t="s">
        <v>12728</v>
      </c>
      <c r="PQT1" s="16" t="s">
        <v>12729</v>
      </c>
      <c r="PQU1" s="16" t="s">
        <v>12730</v>
      </c>
      <c r="PQV1" s="16" t="s">
        <v>12731</v>
      </c>
      <c r="PQW1" s="16" t="s">
        <v>12732</v>
      </c>
      <c r="PQX1" s="16" t="s">
        <v>12733</v>
      </c>
      <c r="PQY1" s="16" t="s">
        <v>12734</v>
      </c>
      <c r="PQZ1" s="16" t="s">
        <v>12735</v>
      </c>
      <c r="PRA1" s="16" t="s">
        <v>12736</v>
      </c>
      <c r="PRB1" s="16" t="s">
        <v>12737</v>
      </c>
      <c r="PRC1" s="16" t="s">
        <v>12738</v>
      </c>
      <c r="PRD1" s="16" t="s">
        <v>12739</v>
      </c>
      <c r="PRE1" s="16" t="s">
        <v>12740</v>
      </c>
      <c r="PRF1" s="16" t="s">
        <v>12741</v>
      </c>
      <c r="PRG1" s="16" t="s">
        <v>12742</v>
      </c>
      <c r="PRH1" s="16" t="s">
        <v>12743</v>
      </c>
      <c r="PRI1" s="16" t="s">
        <v>12744</v>
      </c>
      <c r="PRJ1" s="16" t="s">
        <v>12745</v>
      </c>
      <c r="PRK1" s="16" t="s">
        <v>12746</v>
      </c>
      <c r="PRL1" s="16" t="s">
        <v>12747</v>
      </c>
      <c r="PRM1" s="16" t="s">
        <v>12748</v>
      </c>
      <c r="PRN1" s="16" t="s">
        <v>12749</v>
      </c>
      <c r="PRO1" s="16" t="s">
        <v>12750</v>
      </c>
      <c r="PRP1" s="16" t="s">
        <v>12751</v>
      </c>
      <c r="PRQ1" s="16" t="s">
        <v>12752</v>
      </c>
      <c r="PRR1" s="16" t="s">
        <v>12753</v>
      </c>
      <c r="PRS1" s="16" t="s">
        <v>12754</v>
      </c>
      <c r="PRT1" s="16" t="s">
        <v>12755</v>
      </c>
      <c r="PRU1" s="16" t="s">
        <v>12756</v>
      </c>
      <c r="PRV1" s="16" t="s">
        <v>12757</v>
      </c>
      <c r="PRW1" s="16" t="s">
        <v>12758</v>
      </c>
      <c r="PRX1" s="16" t="s">
        <v>12759</v>
      </c>
      <c r="PRY1" s="16" t="s">
        <v>12760</v>
      </c>
      <c r="PRZ1" s="16" t="s">
        <v>12761</v>
      </c>
      <c r="PSA1" s="16" t="s">
        <v>12762</v>
      </c>
      <c r="PSB1" s="16" t="s">
        <v>12763</v>
      </c>
      <c r="PSC1" s="16" t="s">
        <v>12764</v>
      </c>
      <c r="PSD1" s="16" t="s">
        <v>12765</v>
      </c>
      <c r="PSE1" s="16" t="s">
        <v>12766</v>
      </c>
      <c r="PSF1" s="16" t="s">
        <v>12767</v>
      </c>
      <c r="PSG1" s="16" t="s">
        <v>12768</v>
      </c>
      <c r="PSH1" s="16" t="s">
        <v>12769</v>
      </c>
      <c r="PSI1" s="16" t="s">
        <v>12770</v>
      </c>
      <c r="PSJ1" s="16" t="s">
        <v>12771</v>
      </c>
      <c r="PSK1" s="16" t="s">
        <v>12772</v>
      </c>
      <c r="PSL1" s="16" t="s">
        <v>12773</v>
      </c>
      <c r="PSM1" s="16" t="s">
        <v>12774</v>
      </c>
      <c r="PSN1" s="16" t="s">
        <v>12775</v>
      </c>
      <c r="PSO1" s="16" t="s">
        <v>12776</v>
      </c>
      <c r="PSP1" s="16" t="s">
        <v>12777</v>
      </c>
      <c r="PSQ1" s="16" t="s">
        <v>12778</v>
      </c>
      <c r="PSR1" s="16" t="s">
        <v>12779</v>
      </c>
      <c r="PSS1" s="16" t="s">
        <v>12780</v>
      </c>
      <c r="PST1" s="16" t="s">
        <v>12781</v>
      </c>
      <c r="PSU1" s="16" t="s">
        <v>12782</v>
      </c>
      <c r="PSV1" s="16" t="s">
        <v>12783</v>
      </c>
      <c r="PSW1" s="16" t="s">
        <v>12784</v>
      </c>
      <c r="PSX1" s="16" t="s">
        <v>12785</v>
      </c>
      <c r="PSY1" s="16" t="s">
        <v>12786</v>
      </c>
      <c r="PSZ1" s="16" t="s">
        <v>12787</v>
      </c>
      <c r="PTA1" s="16" t="s">
        <v>12788</v>
      </c>
      <c r="PTB1" s="16" t="s">
        <v>12789</v>
      </c>
      <c r="PTC1" s="16" t="s">
        <v>12790</v>
      </c>
      <c r="PTD1" s="16" t="s">
        <v>12791</v>
      </c>
      <c r="PTE1" s="16" t="s">
        <v>12792</v>
      </c>
      <c r="PTF1" s="16" t="s">
        <v>12793</v>
      </c>
      <c r="PTG1" s="16" t="s">
        <v>12794</v>
      </c>
      <c r="PTH1" s="16" t="s">
        <v>12795</v>
      </c>
      <c r="PTI1" s="16" t="s">
        <v>12796</v>
      </c>
      <c r="PTJ1" s="16" t="s">
        <v>12797</v>
      </c>
      <c r="PTK1" s="16" t="s">
        <v>12798</v>
      </c>
      <c r="PTL1" s="16" t="s">
        <v>12799</v>
      </c>
      <c r="PTM1" s="16" t="s">
        <v>12800</v>
      </c>
      <c r="PTN1" s="16" t="s">
        <v>12801</v>
      </c>
      <c r="PTO1" s="16" t="s">
        <v>12802</v>
      </c>
      <c r="PTP1" s="16" t="s">
        <v>12803</v>
      </c>
      <c r="PTQ1" s="16" t="s">
        <v>12804</v>
      </c>
      <c r="PTR1" s="16" t="s">
        <v>12805</v>
      </c>
      <c r="PTS1" s="16" t="s">
        <v>12806</v>
      </c>
      <c r="PTT1" s="16" t="s">
        <v>12807</v>
      </c>
      <c r="PTU1" s="16" t="s">
        <v>12808</v>
      </c>
      <c r="PTV1" s="16" t="s">
        <v>12809</v>
      </c>
      <c r="PTW1" s="16" t="s">
        <v>12810</v>
      </c>
      <c r="PTX1" s="16" t="s">
        <v>12811</v>
      </c>
      <c r="PTY1" s="16" t="s">
        <v>12812</v>
      </c>
      <c r="PTZ1" s="16" t="s">
        <v>12813</v>
      </c>
      <c r="PUA1" s="16" t="s">
        <v>12814</v>
      </c>
      <c r="PUB1" s="16" t="s">
        <v>12815</v>
      </c>
      <c r="PUC1" s="16" t="s">
        <v>12816</v>
      </c>
      <c r="PUD1" s="16" t="s">
        <v>12817</v>
      </c>
      <c r="PUE1" s="16" t="s">
        <v>12818</v>
      </c>
      <c r="PUF1" s="16" t="s">
        <v>12819</v>
      </c>
      <c r="PUG1" s="16" t="s">
        <v>12820</v>
      </c>
      <c r="PUH1" s="16" t="s">
        <v>12821</v>
      </c>
      <c r="PUI1" s="16" t="s">
        <v>12822</v>
      </c>
      <c r="PUJ1" s="16" t="s">
        <v>12823</v>
      </c>
      <c r="PUK1" s="16" t="s">
        <v>12824</v>
      </c>
      <c r="PUL1" s="16" t="s">
        <v>12825</v>
      </c>
      <c r="PUM1" s="16" t="s">
        <v>12826</v>
      </c>
      <c r="PUN1" s="16" t="s">
        <v>12827</v>
      </c>
      <c r="PUO1" s="16" t="s">
        <v>12828</v>
      </c>
      <c r="PUP1" s="16" t="s">
        <v>12829</v>
      </c>
      <c r="PUQ1" s="16" t="s">
        <v>12830</v>
      </c>
      <c r="PUR1" s="16" t="s">
        <v>12831</v>
      </c>
      <c r="PUS1" s="16" t="s">
        <v>12832</v>
      </c>
      <c r="PUT1" s="16" t="s">
        <v>12833</v>
      </c>
      <c r="PUU1" s="16" t="s">
        <v>12834</v>
      </c>
      <c r="PUV1" s="16" t="s">
        <v>12835</v>
      </c>
      <c r="PUW1" s="16" t="s">
        <v>12836</v>
      </c>
      <c r="PUX1" s="16" t="s">
        <v>12837</v>
      </c>
      <c r="PUY1" s="16" t="s">
        <v>12838</v>
      </c>
      <c r="PUZ1" s="16" t="s">
        <v>12839</v>
      </c>
      <c r="PVA1" s="16" t="s">
        <v>12840</v>
      </c>
      <c r="PVB1" s="16" t="s">
        <v>12841</v>
      </c>
      <c r="PVC1" s="16" t="s">
        <v>12842</v>
      </c>
      <c r="PVD1" s="16" t="s">
        <v>12843</v>
      </c>
      <c r="PVE1" s="16" t="s">
        <v>12844</v>
      </c>
      <c r="PVF1" s="16" t="s">
        <v>12845</v>
      </c>
      <c r="PVG1" s="16" t="s">
        <v>12846</v>
      </c>
      <c r="PVH1" s="16" t="s">
        <v>12847</v>
      </c>
      <c r="PVI1" s="16" t="s">
        <v>12848</v>
      </c>
      <c r="PVJ1" s="16" t="s">
        <v>12849</v>
      </c>
      <c r="PVK1" s="16" t="s">
        <v>12850</v>
      </c>
      <c r="PVL1" s="16" t="s">
        <v>12851</v>
      </c>
      <c r="PVM1" s="16" t="s">
        <v>12852</v>
      </c>
      <c r="PVN1" s="16" t="s">
        <v>12853</v>
      </c>
      <c r="PVO1" s="16" t="s">
        <v>12854</v>
      </c>
      <c r="PVP1" s="16" t="s">
        <v>12855</v>
      </c>
      <c r="PVQ1" s="16" t="s">
        <v>12856</v>
      </c>
      <c r="PVR1" s="16" t="s">
        <v>12857</v>
      </c>
      <c r="PVS1" s="16" t="s">
        <v>12858</v>
      </c>
      <c r="PVT1" s="16" t="s">
        <v>12859</v>
      </c>
      <c r="PVU1" s="16" t="s">
        <v>12860</v>
      </c>
      <c r="PVV1" s="16" t="s">
        <v>12861</v>
      </c>
      <c r="PVW1" s="16" t="s">
        <v>12862</v>
      </c>
      <c r="PVX1" s="16" t="s">
        <v>12863</v>
      </c>
      <c r="PVY1" s="16" t="s">
        <v>12864</v>
      </c>
      <c r="PVZ1" s="16" t="s">
        <v>12865</v>
      </c>
      <c r="PWA1" s="16" t="s">
        <v>12866</v>
      </c>
      <c r="PWB1" s="16" t="s">
        <v>12867</v>
      </c>
      <c r="PWC1" s="16" t="s">
        <v>12868</v>
      </c>
      <c r="PWD1" s="16" t="s">
        <v>12869</v>
      </c>
      <c r="PWE1" s="16" t="s">
        <v>12870</v>
      </c>
      <c r="PWF1" s="16" t="s">
        <v>12871</v>
      </c>
      <c r="PWG1" s="16" t="s">
        <v>12872</v>
      </c>
      <c r="PWH1" s="16" t="s">
        <v>12873</v>
      </c>
      <c r="PWI1" s="16" t="s">
        <v>12874</v>
      </c>
      <c r="PWJ1" s="16" t="s">
        <v>12875</v>
      </c>
      <c r="PWK1" s="16" t="s">
        <v>12876</v>
      </c>
      <c r="PWL1" s="16" t="s">
        <v>12877</v>
      </c>
      <c r="PWM1" s="16" t="s">
        <v>12878</v>
      </c>
      <c r="PWN1" s="16" t="s">
        <v>12879</v>
      </c>
      <c r="PWO1" s="16" t="s">
        <v>12880</v>
      </c>
      <c r="PWP1" s="16" t="s">
        <v>12881</v>
      </c>
      <c r="PWQ1" s="16" t="s">
        <v>12882</v>
      </c>
      <c r="PWR1" s="16" t="s">
        <v>12883</v>
      </c>
      <c r="PWS1" s="16" t="s">
        <v>12884</v>
      </c>
      <c r="PWT1" s="16" t="s">
        <v>12885</v>
      </c>
      <c r="PWU1" s="16" t="s">
        <v>12886</v>
      </c>
      <c r="PWV1" s="16" t="s">
        <v>12887</v>
      </c>
      <c r="PWW1" s="16" t="s">
        <v>12888</v>
      </c>
      <c r="PWX1" s="16" t="s">
        <v>12889</v>
      </c>
      <c r="PWY1" s="16" t="s">
        <v>12890</v>
      </c>
      <c r="PWZ1" s="16" t="s">
        <v>12891</v>
      </c>
      <c r="PXA1" s="16" t="s">
        <v>12892</v>
      </c>
      <c r="PXB1" s="16" t="s">
        <v>12893</v>
      </c>
      <c r="PXC1" s="16" t="s">
        <v>12894</v>
      </c>
      <c r="PXD1" s="16" t="s">
        <v>12895</v>
      </c>
      <c r="PXE1" s="16" t="s">
        <v>12896</v>
      </c>
      <c r="PXF1" s="16" t="s">
        <v>12897</v>
      </c>
      <c r="PXG1" s="16" t="s">
        <v>12898</v>
      </c>
      <c r="PXH1" s="16" t="s">
        <v>12899</v>
      </c>
      <c r="PXI1" s="16" t="s">
        <v>12900</v>
      </c>
      <c r="PXJ1" s="16" t="s">
        <v>12901</v>
      </c>
      <c r="PXK1" s="16" t="s">
        <v>12902</v>
      </c>
      <c r="PXL1" s="16" t="s">
        <v>12903</v>
      </c>
      <c r="PXM1" s="16" t="s">
        <v>12904</v>
      </c>
      <c r="PXN1" s="16" t="s">
        <v>12905</v>
      </c>
      <c r="PXO1" s="16" t="s">
        <v>12906</v>
      </c>
      <c r="PXP1" s="16" t="s">
        <v>12907</v>
      </c>
      <c r="PXQ1" s="16" t="s">
        <v>12908</v>
      </c>
      <c r="PXR1" s="16" t="s">
        <v>12909</v>
      </c>
      <c r="PXS1" s="16" t="s">
        <v>12910</v>
      </c>
      <c r="PXT1" s="16" t="s">
        <v>12911</v>
      </c>
      <c r="PXU1" s="16" t="s">
        <v>12912</v>
      </c>
      <c r="PXV1" s="16" t="s">
        <v>12913</v>
      </c>
      <c r="PXW1" s="16" t="s">
        <v>12914</v>
      </c>
      <c r="PXX1" s="16" t="s">
        <v>12915</v>
      </c>
      <c r="PXY1" s="16" t="s">
        <v>12916</v>
      </c>
      <c r="PXZ1" s="16" t="s">
        <v>12917</v>
      </c>
      <c r="PYA1" s="16" t="s">
        <v>12918</v>
      </c>
      <c r="PYB1" s="16" t="s">
        <v>12919</v>
      </c>
      <c r="PYC1" s="16" t="s">
        <v>12920</v>
      </c>
      <c r="PYD1" s="16" t="s">
        <v>12921</v>
      </c>
      <c r="PYE1" s="16" t="s">
        <v>12922</v>
      </c>
      <c r="PYF1" s="16" t="s">
        <v>12923</v>
      </c>
      <c r="PYG1" s="16" t="s">
        <v>12924</v>
      </c>
      <c r="PYH1" s="16" t="s">
        <v>12925</v>
      </c>
      <c r="PYI1" s="16" t="s">
        <v>12926</v>
      </c>
      <c r="PYJ1" s="16" t="s">
        <v>12927</v>
      </c>
      <c r="PYK1" s="16" t="s">
        <v>12928</v>
      </c>
      <c r="PYL1" s="16" t="s">
        <v>12929</v>
      </c>
      <c r="PYM1" s="16" t="s">
        <v>12930</v>
      </c>
      <c r="PYN1" s="16" t="s">
        <v>12931</v>
      </c>
      <c r="PYO1" s="16" t="s">
        <v>12932</v>
      </c>
      <c r="PYP1" s="16" t="s">
        <v>12933</v>
      </c>
      <c r="PYQ1" s="16" t="s">
        <v>12934</v>
      </c>
      <c r="PYR1" s="16" t="s">
        <v>12935</v>
      </c>
      <c r="PYS1" s="16" t="s">
        <v>12936</v>
      </c>
      <c r="PYT1" s="16" t="s">
        <v>12937</v>
      </c>
      <c r="PYU1" s="16" t="s">
        <v>12938</v>
      </c>
      <c r="PYV1" s="16" t="s">
        <v>12939</v>
      </c>
      <c r="PYW1" s="16" t="s">
        <v>12940</v>
      </c>
      <c r="PYX1" s="16" t="s">
        <v>12941</v>
      </c>
      <c r="PYY1" s="16" t="s">
        <v>12942</v>
      </c>
      <c r="PYZ1" s="16" t="s">
        <v>12943</v>
      </c>
      <c r="PZA1" s="16" t="s">
        <v>12944</v>
      </c>
      <c r="PZB1" s="16" t="s">
        <v>12945</v>
      </c>
      <c r="PZC1" s="16" t="s">
        <v>12946</v>
      </c>
      <c r="PZD1" s="16" t="s">
        <v>12947</v>
      </c>
      <c r="PZE1" s="16" t="s">
        <v>12948</v>
      </c>
      <c r="PZF1" s="16" t="s">
        <v>12949</v>
      </c>
      <c r="PZG1" s="16" t="s">
        <v>12950</v>
      </c>
      <c r="PZH1" s="16" t="s">
        <v>12951</v>
      </c>
      <c r="PZI1" s="16" t="s">
        <v>12952</v>
      </c>
      <c r="PZJ1" s="16" t="s">
        <v>12953</v>
      </c>
      <c r="PZK1" s="16" t="s">
        <v>12954</v>
      </c>
      <c r="PZL1" s="16" t="s">
        <v>12955</v>
      </c>
      <c r="PZM1" s="16" t="s">
        <v>12956</v>
      </c>
      <c r="PZN1" s="16" t="s">
        <v>12957</v>
      </c>
      <c r="PZO1" s="16" t="s">
        <v>12958</v>
      </c>
      <c r="PZP1" s="16" t="s">
        <v>12959</v>
      </c>
      <c r="PZQ1" s="16" t="s">
        <v>12960</v>
      </c>
      <c r="PZR1" s="16" t="s">
        <v>12961</v>
      </c>
      <c r="PZS1" s="16" t="s">
        <v>12962</v>
      </c>
      <c r="PZT1" s="16" t="s">
        <v>12963</v>
      </c>
      <c r="PZU1" s="16" t="s">
        <v>12964</v>
      </c>
      <c r="PZV1" s="16" t="s">
        <v>12965</v>
      </c>
      <c r="PZW1" s="16" t="s">
        <v>12966</v>
      </c>
      <c r="PZX1" s="16" t="s">
        <v>12967</v>
      </c>
      <c r="PZY1" s="16" t="s">
        <v>12968</v>
      </c>
      <c r="PZZ1" s="16" t="s">
        <v>12969</v>
      </c>
      <c r="QAA1" s="16" t="s">
        <v>12970</v>
      </c>
      <c r="QAB1" s="16" t="s">
        <v>12971</v>
      </c>
      <c r="QAC1" s="16" t="s">
        <v>12972</v>
      </c>
      <c r="QAD1" s="16" t="s">
        <v>12973</v>
      </c>
      <c r="QAE1" s="16" t="s">
        <v>12974</v>
      </c>
      <c r="QAF1" s="16" t="s">
        <v>12975</v>
      </c>
      <c r="QAG1" s="16" t="s">
        <v>12976</v>
      </c>
      <c r="QAH1" s="16" t="s">
        <v>12977</v>
      </c>
      <c r="QAI1" s="16" t="s">
        <v>12978</v>
      </c>
      <c r="QAJ1" s="16" t="s">
        <v>12979</v>
      </c>
      <c r="QAK1" s="16" t="s">
        <v>12980</v>
      </c>
      <c r="QAL1" s="16" t="s">
        <v>12981</v>
      </c>
      <c r="QAM1" s="16" t="s">
        <v>12982</v>
      </c>
      <c r="QAN1" s="16" t="s">
        <v>12983</v>
      </c>
      <c r="QAO1" s="16" t="s">
        <v>12984</v>
      </c>
      <c r="QAP1" s="16" t="s">
        <v>12985</v>
      </c>
      <c r="QAQ1" s="16" t="s">
        <v>12986</v>
      </c>
      <c r="QAR1" s="16" t="s">
        <v>12987</v>
      </c>
      <c r="QAS1" s="16" t="s">
        <v>12988</v>
      </c>
      <c r="QAT1" s="16" t="s">
        <v>12989</v>
      </c>
      <c r="QAU1" s="16" t="s">
        <v>12990</v>
      </c>
      <c r="QAV1" s="16" t="s">
        <v>12991</v>
      </c>
      <c r="QAW1" s="16" t="s">
        <v>12992</v>
      </c>
      <c r="QAX1" s="16" t="s">
        <v>12993</v>
      </c>
      <c r="QAY1" s="16" t="s">
        <v>12994</v>
      </c>
      <c r="QAZ1" s="16" t="s">
        <v>12995</v>
      </c>
      <c r="QBA1" s="16" t="s">
        <v>12996</v>
      </c>
      <c r="QBB1" s="16" t="s">
        <v>12997</v>
      </c>
      <c r="QBC1" s="16" t="s">
        <v>12998</v>
      </c>
      <c r="QBD1" s="16" t="s">
        <v>12999</v>
      </c>
      <c r="QBE1" s="16" t="s">
        <v>13000</v>
      </c>
      <c r="QBF1" s="16" t="s">
        <v>13001</v>
      </c>
      <c r="QBG1" s="16" t="s">
        <v>13002</v>
      </c>
      <c r="QBH1" s="16" t="s">
        <v>13003</v>
      </c>
      <c r="QBI1" s="16" t="s">
        <v>13004</v>
      </c>
      <c r="QBJ1" s="16" t="s">
        <v>13005</v>
      </c>
      <c r="QBK1" s="16" t="s">
        <v>13006</v>
      </c>
      <c r="QBL1" s="16" t="s">
        <v>13007</v>
      </c>
      <c r="QBM1" s="16" t="s">
        <v>13008</v>
      </c>
      <c r="QBN1" s="16" t="s">
        <v>13009</v>
      </c>
      <c r="QBO1" s="16" t="s">
        <v>13010</v>
      </c>
      <c r="QBP1" s="16" t="s">
        <v>13011</v>
      </c>
      <c r="QBQ1" s="16" t="s">
        <v>13012</v>
      </c>
      <c r="QBR1" s="16" t="s">
        <v>13013</v>
      </c>
      <c r="QBS1" s="16" t="s">
        <v>13014</v>
      </c>
      <c r="QBT1" s="16" t="s">
        <v>13015</v>
      </c>
      <c r="QBU1" s="16" t="s">
        <v>13016</v>
      </c>
      <c r="QBV1" s="16" t="s">
        <v>13017</v>
      </c>
      <c r="QBW1" s="16" t="s">
        <v>13018</v>
      </c>
      <c r="QBX1" s="16" t="s">
        <v>13019</v>
      </c>
      <c r="QBY1" s="16" t="s">
        <v>13020</v>
      </c>
      <c r="QBZ1" s="16" t="s">
        <v>13021</v>
      </c>
      <c r="QCA1" s="16" t="s">
        <v>13022</v>
      </c>
      <c r="QCB1" s="16" t="s">
        <v>13023</v>
      </c>
      <c r="QCC1" s="16" t="s">
        <v>13024</v>
      </c>
      <c r="QCD1" s="16" t="s">
        <v>13025</v>
      </c>
      <c r="QCE1" s="16" t="s">
        <v>13026</v>
      </c>
      <c r="QCF1" s="16" t="s">
        <v>13027</v>
      </c>
      <c r="QCG1" s="16" t="s">
        <v>13028</v>
      </c>
      <c r="QCH1" s="16" t="s">
        <v>13029</v>
      </c>
      <c r="QCI1" s="16" t="s">
        <v>13030</v>
      </c>
      <c r="QCJ1" s="16" t="s">
        <v>13031</v>
      </c>
      <c r="QCK1" s="16" t="s">
        <v>13032</v>
      </c>
      <c r="QCL1" s="16" t="s">
        <v>13033</v>
      </c>
      <c r="QCM1" s="16" t="s">
        <v>13034</v>
      </c>
      <c r="QCN1" s="16" t="s">
        <v>13035</v>
      </c>
      <c r="QCO1" s="16" t="s">
        <v>13036</v>
      </c>
      <c r="QCP1" s="16" t="s">
        <v>13037</v>
      </c>
      <c r="QCQ1" s="16" t="s">
        <v>13038</v>
      </c>
      <c r="QCR1" s="16" t="s">
        <v>13039</v>
      </c>
      <c r="QCS1" s="16" t="s">
        <v>13040</v>
      </c>
      <c r="QCT1" s="16" t="s">
        <v>13041</v>
      </c>
      <c r="QCU1" s="16" t="s">
        <v>13042</v>
      </c>
      <c r="QCV1" s="16" t="s">
        <v>13043</v>
      </c>
      <c r="QCW1" s="16" t="s">
        <v>13044</v>
      </c>
      <c r="QCX1" s="16" t="s">
        <v>13045</v>
      </c>
      <c r="QCY1" s="16" t="s">
        <v>13046</v>
      </c>
      <c r="QCZ1" s="16" t="s">
        <v>13047</v>
      </c>
      <c r="QDA1" s="16" t="s">
        <v>13048</v>
      </c>
      <c r="QDB1" s="16" t="s">
        <v>13049</v>
      </c>
      <c r="QDC1" s="16" t="s">
        <v>13050</v>
      </c>
      <c r="QDD1" s="16" t="s">
        <v>13051</v>
      </c>
      <c r="QDE1" s="16" t="s">
        <v>13052</v>
      </c>
      <c r="QDF1" s="16" t="s">
        <v>13053</v>
      </c>
      <c r="QDG1" s="16" t="s">
        <v>13054</v>
      </c>
      <c r="QDH1" s="16" t="s">
        <v>13055</v>
      </c>
      <c r="QDI1" s="16" t="s">
        <v>13056</v>
      </c>
      <c r="QDJ1" s="16" t="s">
        <v>13057</v>
      </c>
      <c r="QDK1" s="16" t="s">
        <v>13058</v>
      </c>
      <c r="QDL1" s="16" t="s">
        <v>13059</v>
      </c>
      <c r="QDM1" s="16" t="s">
        <v>13060</v>
      </c>
      <c r="QDN1" s="16" t="s">
        <v>13061</v>
      </c>
      <c r="QDO1" s="16" t="s">
        <v>13062</v>
      </c>
      <c r="QDP1" s="16" t="s">
        <v>13063</v>
      </c>
      <c r="QDQ1" s="16" t="s">
        <v>13064</v>
      </c>
      <c r="QDR1" s="16" t="s">
        <v>13065</v>
      </c>
      <c r="QDS1" s="16" t="s">
        <v>13066</v>
      </c>
      <c r="QDT1" s="16" t="s">
        <v>13067</v>
      </c>
      <c r="QDU1" s="16" t="s">
        <v>13068</v>
      </c>
      <c r="QDV1" s="16" t="s">
        <v>13069</v>
      </c>
      <c r="QDW1" s="16" t="s">
        <v>13070</v>
      </c>
      <c r="QDX1" s="16" t="s">
        <v>13071</v>
      </c>
      <c r="QDY1" s="16" t="s">
        <v>13072</v>
      </c>
      <c r="QDZ1" s="16" t="s">
        <v>13073</v>
      </c>
      <c r="QEA1" s="16" t="s">
        <v>13074</v>
      </c>
      <c r="QEB1" s="16" t="s">
        <v>13075</v>
      </c>
      <c r="QEC1" s="16" t="s">
        <v>13076</v>
      </c>
      <c r="QED1" s="16" t="s">
        <v>13077</v>
      </c>
      <c r="QEE1" s="16" t="s">
        <v>13078</v>
      </c>
      <c r="QEF1" s="16" t="s">
        <v>13079</v>
      </c>
      <c r="QEG1" s="16" t="s">
        <v>13080</v>
      </c>
      <c r="QEH1" s="16" t="s">
        <v>13081</v>
      </c>
      <c r="QEI1" s="16" t="s">
        <v>13082</v>
      </c>
      <c r="QEJ1" s="16" t="s">
        <v>13083</v>
      </c>
      <c r="QEK1" s="16" t="s">
        <v>13084</v>
      </c>
      <c r="QEL1" s="16" t="s">
        <v>13085</v>
      </c>
      <c r="QEM1" s="16" t="s">
        <v>13086</v>
      </c>
      <c r="QEN1" s="16" t="s">
        <v>13087</v>
      </c>
      <c r="QEO1" s="16" t="s">
        <v>13088</v>
      </c>
      <c r="QEP1" s="16" t="s">
        <v>13089</v>
      </c>
      <c r="QEQ1" s="16" t="s">
        <v>13090</v>
      </c>
      <c r="QER1" s="16" t="s">
        <v>13091</v>
      </c>
      <c r="QES1" s="16" t="s">
        <v>13092</v>
      </c>
      <c r="QET1" s="16" t="s">
        <v>13093</v>
      </c>
      <c r="QEU1" s="16" t="s">
        <v>13094</v>
      </c>
      <c r="QEV1" s="16" t="s">
        <v>13095</v>
      </c>
      <c r="QEW1" s="16" t="s">
        <v>13096</v>
      </c>
      <c r="QEX1" s="16" t="s">
        <v>13097</v>
      </c>
      <c r="QEY1" s="16" t="s">
        <v>13098</v>
      </c>
      <c r="QEZ1" s="16" t="s">
        <v>13099</v>
      </c>
      <c r="QFA1" s="16" t="s">
        <v>13100</v>
      </c>
      <c r="QFB1" s="16" t="s">
        <v>13101</v>
      </c>
      <c r="QFC1" s="16" t="s">
        <v>13102</v>
      </c>
      <c r="QFD1" s="16" t="s">
        <v>13103</v>
      </c>
      <c r="QFE1" s="16" t="s">
        <v>13104</v>
      </c>
      <c r="QFF1" s="16" t="s">
        <v>13105</v>
      </c>
      <c r="QFG1" s="16" t="s">
        <v>13106</v>
      </c>
      <c r="QFH1" s="16" t="s">
        <v>13107</v>
      </c>
      <c r="QFI1" s="16" t="s">
        <v>13108</v>
      </c>
      <c r="QFJ1" s="16" t="s">
        <v>13109</v>
      </c>
      <c r="QFK1" s="16" t="s">
        <v>13110</v>
      </c>
      <c r="QFL1" s="16" t="s">
        <v>13111</v>
      </c>
      <c r="QFM1" s="16" t="s">
        <v>13112</v>
      </c>
      <c r="QFN1" s="16" t="s">
        <v>13113</v>
      </c>
      <c r="QFO1" s="16" t="s">
        <v>13114</v>
      </c>
      <c r="QFP1" s="16" t="s">
        <v>13115</v>
      </c>
      <c r="QFQ1" s="16" t="s">
        <v>13116</v>
      </c>
      <c r="QFR1" s="16" t="s">
        <v>13117</v>
      </c>
      <c r="QFS1" s="16" t="s">
        <v>13118</v>
      </c>
      <c r="QFT1" s="16" t="s">
        <v>13119</v>
      </c>
      <c r="QFU1" s="16" t="s">
        <v>13120</v>
      </c>
      <c r="QFV1" s="16" t="s">
        <v>13121</v>
      </c>
      <c r="QFW1" s="16" t="s">
        <v>13122</v>
      </c>
      <c r="QFX1" s="16" t="s">
        <v>13123</v>
      </c>
      <c r="QFY1" s="16" t="s">
        <v>13124</v>
      </c>
      <c r="QFZ1" s="16" t="s">
        <v>13125</v>
      </c>
      <c r="QGA1" s="16" t="s">
        <v>13126</v>
      </c>
      <c r="QGB1" s="16" t="s">
        <v>13127</v>
      </c>
      <c r="QGC1" s="16" t="s">
        <v>13128</v>
      </c>
      <c r="QGD1" s="16" t="s">
        <v>13129</v>
      </c>
      <c r="QGE1" s="16" t="s">
        <v>13130</v>
      </c>
      <c r="QGF1" s="16" t="s">
        <v>13131</v>
      </c>
      <c r="QGG1" s="16" t="s">
        <v>13132</v>
      </c>
      <c r="QGH1" s="16" t="s">
        <v>13133</v>
      </c>
      <c r="QGI1" s="16" t="s">
        <v>13134</v>
      </c>
      <c r="QGJ1" s="16" t="s">
        <v>13135</v>
      </c>
      <c r="QGK1" s="16" t="s">
        <v>13136</v>
      </c>
      <c r="QGL1" s="16" t="s">
        <v>13137</v>
      </c>
      <c r="QGM1" s="16" t="s">
        <v>13138</v>
      </c>
      <c r="QGN1" s="16" t="s">
        <v>13139</v>
      </c>
      <c r="QGO1" s="16" t="s">
        <v>13140</v>
      </c>
      <c r="QGP1" s="16" t="s">
        <v>13141</v>
      </c>
      <c r="QGQ1" s="16" t="s">
        <v>13142</v>
      </c>
      <c r="QGR1" s="16" t="s">
        <v>13143</v>
      </c>
      <c r="QGS1" s="16" t="s">
        <v>13144</v>
      </c>
      <c r="QGT1" s="16" t="s">
        <v>13145</v>
      </c>
      <c r="QGU1" s="16" t="s">
        <v>13146</v>
      </c>
      <c r="QGV1" s="16" t="s">
        <v>13147</v>
      </c>
      <c r="QGW1" s="16" t="s">
        <v>13148</v>
      </c>
      <c r="QGX1" s="16" t="s">
        <v>13149</v>
      </c>
      <c r="QGY1" s="16" t="s">
        <v>13150</v>
      </c>
      <c r="QGZ1" s="16" t="s">
        <v>13151</v>
      </c>
      <c r="QHA1" s="16" t="s">
        <v>13152</v>
      </c>
      <c r="QHB1" s="16" t="s">
        <v>13153</v>
      </c>
      <c r="QHC1" s="16" t="s">
        <v>13154</v>
      </c>
      <c r="QHD1" s="16" t="s">
        <v>13155</v>
      </c>
      <c r="QHE1" s="16" t="s">
        <v>13156</v>
      </c>
      <c r="QHF1" s="16" t="s">
        <v>13157</v>
      </c>
      <c r="QHG1" s="16" t="s">
        <v>13158</v>
      </c>
      <c r="QHH1" s="16" t="s">
        <v>13159</v>
      </c>
      <c r="QHI1" s="16" t="s">
        <v>13160</v>
      </c>
      <c r="QHJ1" s="16" t="s">
        <v>13161</v>
      </c>
      <c r="QHK1" s="16" t="s">
        <v>13162</v>
      </c>
      <c r="QHL1" s="16" t="s">
        <v>13163</v>
      </c>
      <c r="QHM1" s="16" t="s">
        <v>13164</v>
      </c>
      <c r="QHN1" s="16" t="s">
        <v>13165</v>
      </c>
      <c r="QHO1" s="16" t="s">
        <v>13166</v>
      </c>
      <c r="QHP1" s="16" t="s">
        <v>13167</v>
      </c>
      <c r="QHQ1" s="16" t="s">
        <v>13168</v>
      </c>
      <c r="QHR1" s="16" t="s">
        <v>13169</v>
      </c>
      <c r="QHS1" s="16" t="s">
        <v>13170</v>
      </c>
      <c r="QHT1" s="16" t="s">
        <v>13171</v>
      </c>
      <c r="QHU1" s="16" t="s">
        <v>13172</v>
      </c>
      <c r="QHV1" s="16" t="s">
        <v>13173</v>
      </c>
      <c r="QHW1" s="16" t="s">
        <v>13174</v>
      </c>
      <c r="QHX1" s="16" t="s">
        <v>13175</v>
      </c>
      <c r="QHY1" s="16" t="s">
        <v>13176</v>
      </c>
      <c r="QHZ1" s="16" t="s">
        <v>13177</v>
      </c>
      <c r="QIA1" s="16" t="s">
        <v>13178</v>
      </c>
      <c r="QIB1" s="16" t="s">
        <v>13179</v>
      </c>
      <c r="QIC1" s="16" t="s">
        <v>13180</v>
      </c>
      <c r="QID1" s="16" t="s">
        <v>13181</v>
      </c>
      <c r="QIE1" s="16" t="s">
        <v>13182</v>
      </c>
      <c r="QIF1" s="16" t="s">
        <v>13183</v>
      </c>
      <c r="QIG1" s="16" t="s">
        <v>13184</v>
      </c>
      <c r="QIH1" s="16" t="s">
        <v>13185</v>
      </c>
      <c r="QII1" s="16" t="s">
        <v>13186</v>
      </c>
      <c r="QIJ1" s="16" t="s">
        <v>13187</v>
      </c>
      <c r="QIK1" s="16" t="s">
        <v>13188</v>
      </c>
      <c r="QIL1" s="16" t="s">
        <v>13189</v>
      </c>
      <c r="QIM1" s="16" t="s">
        <v>13190</v>
      </c>
      <c r="QIN1" s="16" t="s">
        <v>13191</v>
      </c>
      <c r="QIO1" s="16" t="s">
        <v>13192</v>
      </c>
      <c r="QIP1" s="16" t="s">
        <v>13193</v>
      </c>
      <c r="QIQ1" s="16" t="s">
        <v>13194</v>
      </c>
      <c r="QIR1" s="16" t="s">
        <v>13195</v>
      </c>
      <c r="QIS1" s="16" t="s">
        <v>13196</v>
      </c>
      <c r="QIT1" s="16" t="s">
        <v>13197</v>
      </c>
      <c r="QIU1" s="16" t="s">
        <v>13198</v>
      </c>
      <c r="QIV1" s="16" t="s">
        <v>13199</v>
      </c>
      <c r="QIW1" s="16" t="s">
        <v>13200</v>
      </c>
      <c r="QIX1" s="16" t="s">
        <v>13201</v>
      </c>
      <c r="QIY1" s="16" t="s">
        <v>13202</v>
      </c>
      <c r="QIZ1" s="16" t="s">
        <v>13203</v>
      </c>
      <c r="QJA1" s="16" t="s">
        <v>13204</v>
      </c>
      <c r="QJB1" s="16" t="s">
        <v>13205</v>
      </c>
      <c r="QJC1" s="16" t="s">
        <v>13206</v>
      </c>
      <c r="QJD1" s="16" t="s">
        <v>13207</v>
      </c>
      <c r="QJE1" s="16" t="s">
        <v>13208</v>
      </c>
      <c r="QJF1" s="16" t="s">
        <v>13209</v>
      </c>
      <c r="QJG1" s="16" t="s">
        <v>13210</v>
      </c>
      <c r="QJH1" s="16" t="s">
        <v>13211</v>
      </c>
      <c r="QJI1" s="16" t="s">
        <v>13212</v>
      </c>
      <c r="QJJ1" s="16" t="s">
        <v>13213</v>
      </c>
      <c r="QJK1" s="16" t="s">
        <v>13214</v>
      </c>
      <c r="QJL1" s="16" t="s">
        <v>13215</v>
      </c>
      <c r="QJM1" s="16" t="s">
        <v>13216</v>
      </c>
      <c r="QJN1" s="16" t="s">
        <v>13217</v>
      </c>
      <c r="QJO1" s="16" t="s">
        <v>13218</v>
      </c>
      <c r="QJP1" s="16" t="s">
        <v>13219</v>
      </c>
      <c r="QJQ1" s="16" t="s">
        <v>13220</v>
      </c>
      <c r="QJR1" s="16" t="s">
        <v>13221</v>
      </c>
      <c r="QJS1" s="16" t="s">
        <v>13222</v>
      </c>
      <c r="QJT1" s="16" t="s">
        <v>13223</v>
      </c>
      <c r="QJU1" s="16" t="s">
        <v>13224</v>
      </c>
      <c r="QJV1" s="16" t="s">
        <v>13225</v>
      </c>
      <c r="QJW1" s="16" t="s">
        <v>13226</v>
      </c>
      <c r="QJX1" s="16" t="s">
        <v>13227</v>
      </c>
      <c r="QJY1" s="16" t="s">
        <v>13228</v>
      </c>
      <c r="QJZ1" s="16" t="s">
        <v>13229</v>
      </c>
      <c r="QKA1" s="16" t="s">
        <v>13230</v>
      </c>
      <c r="QKB1" s="16" t="s">
        <v>13231</v>
      </c>
      <c r="QKC1" s="16" t="s">
        <v>13232</v>
      </c>
      <c r="QKD1" s="16" t="s">
        <v>13233</v>
      </c>
      <c r="QKE1" s="16" t="s">
        <v>13234</v>
      </c>
      <c r="QKF1" s="16" t="s">
        <v>13235</v>
      </c>
      <c r="QKG1" s="16" t="s">
        <v>13236</v>
      </c>
      <c r="QKH1" s="16" t="s">
        <v>13237</v>
      </c>
      <c r="QKI1" s="16" t="s">
        <v>13238</v>
      </c>
      <c r="QKJ1" s="16" t="s">
        <v>13239</v>
      </c>
      <c r="QKK1" s="16" t="s">
        <v>13240</v>
      </c>
      <c r="QKL1" s="16" t="s">
        <v>13241</v>
      </c>
      <c r="QKM1" s="16" t="s">
        <v>13242</v>
      </c>
      <c r="QKN1" s="16" t="s">
        <v>13243</v>
      </c>
      <c r="QKO1" s="16" t="s">
        <v>13244</v>
      </c>
      <c r="QKP1" s="16" t="s">
        <v>13245</v>
      </c>
      <c r="QKQ1" s="16" t="s">
        <v>13246</v>
      </c>
      <c r="QKR1" s="16" t="s">
        <v>13247</v>
      </c>
      <c r="QKS1" s="16" t="s">
        <v>13248</v>
      </c>
      <c r="QKT1" s="16" t="s">
        <v>13249</v>
      </c>
      <c r="QKU1" s="16" t="s">
        <v>13250</v>
      </c>
      <c r="QKV1" s="16" t="s">
        <v>13251</v>
      </c>
      <c r="QKW1" s="16" t="s">
        <v>13252</v>
      </c>
      <c r="QKX1" s="16" t="s">
        <v>13253</v>
      </c>
      <c r="QKY1" s="16" t="s">
        <v>13254</v>
      </c>
      <c r="QKZ1" s="16" t="s">
        <v>13255</v>
      </c>
      <c r="QLA1" s="16" t="s">
        <v>13256</v>
      </c>
      <c r="QLB1" s="16" t="s">
        <v>13257</v>
      </c>
      <c r="QLC1" s="16" t="s">
        <v>13258</v>
      </c>
      <c r="QLD1" s="16" t="s">
        <v>13259</v>
      </c>
      <c r="QLE1" s="16" t="s">
        <v>13260</v>
      </c>
      <c r="QLF1" s="16" t="s">
        <v>13261</v>
      </c>
      <c r="QLG1" s="16" t="s">
        <v>13262</v>
      </c>
      <c r="QLH1" s="16" t="s">
        <v>13263</v>
      </c>
      <c r="QLI1" s="16" t="s">
        <v>13264</v>
      </c>
      <c r="QLJ1" s="16" t="s">
        <v>13265</v>
      </c>
      <c r="QLK1" s="16" t="s">
        <v>13266</v>
      </c>
      <c r="QLL1" s="16" t="s">
        <v>13267</v>
      </c>
      <c r="QLM1" s="16" t="s">
        <v>13268</v>
      </c>
      <c r="QLN1" s="16" t="s">
        <v>13269</v>
      </c>
      <c r="QLO1" s="16" t="s">
        <v>13270</v>
      </c>
      <c r="QLP1" s="16" t="s">
        <v>13271</v>
      </c>
      <c r="QLQ1" s="16" t="s">
        <v>13272</v>
      </c>
      <c r="QLR1" s="16" t="s">
        <v>13273</v>
      </c>
      <c r="QLS1" s="16" t="s">
        <v>13274</v>
      </c>
      <c r="QLT1" s="16" t="s">
        <v>13275</v>
      </c>
      <c r="QLU1" s="16" t="s">
        <v>13276</v>
      </c>
      <c r="QLV1" s="16" t="s">
        <v>13277</v>
      </c>
      <c r="QLW1" s="16" t="s">
        <v>13278</v>
      </c>
      <c r="QLX1" s="16" t="s">
        <v>13279</v>
      </c>
      <c r="QLY1" s="16" t="s">
        <v>13280</v>
      </c>
      <c r="QLZ1" s="16" t="s">
        <v>13281</v>
      </c>
      <c r="QMA1" s="16" t="s">
        <v>13282</v>
      </c>
      <c r="QMB1" s="16" t="s">
        <v>13283</v>
      </c>
      <c r="QMC1" s="16" t="s">
        <v>13284</v>
      </c>
      <c r="QMD1" s="16" t="s">
        <v>13285</v>
      </c>
      <c r="QME1" s="16" t="s">
        <v>13286</v>
      </c>
      <c r="QMF1" s="16" t="s">
        <v>13287</v>
      </c>
      <c r="QMG1" s="16" t="s">
        <v>13288</v>
      </c>
      <c r="QMH1" s="16" t="s">
        <v>13289</v>
      </c>
      <c r="QMI1" s="16" t="s">
        <v>13290</v>
      </c>
      <c r="QMJ1" s="16" t="s">
        <v>13291</v>
      </c>
      <c r="QMK1" s="16" t="s">
        <v>13292</v>
      </c>
      <c r="QML1" s="16" t="s">
        <v>13293</v>
      </c>
      <c r="QMM1" s="16" t="s">
        <v>13294</v>
      </c>
      <c r="QMN1" s="16" t="s">
        <v>13295</v>
      </c>
      <c r="QMO1" s="16" t="s">
        <v>13296</v>
      </c>
      <c r="QMP1" s="16" t="s">
        <v>13297</v>
      </c>
      <c r="QMQ1" s="16" t="s">
        <v>13298</v>
      </c>
      <c r="QMR1" s="16" t="s">
        <v>13299</v>
      </c>
      <c r="QMS1" s="16" t="s">
        <v>13300</v>
      </c>
      <c r="QMT1" s="16" t="s">
        <v>13301</v>
      </c>
      <c r="QMU1" s="16" t="s">
        <v>13302</v>
      </c>
      <c r="QMV1" s="16" t="s">
        <v>13303</v>
      </c>
      <c r="QMW1" s="16" t="s">
        <v>13304</v>
      </c>
      <c r="QMX1" s="16" t="s">
        <v>13305</v>
      </c>
      <c r="QMY1" s="16" t="s">
        <v>13306</v>
      </c>
      <c r="QMZ1" s="16" t="s">
        <v>13307</v>
      </c>
      <c r="QNA1" s="16" t="s">
        <v>13308</v>
      </c>
      <c r="QNB1" s="16" t="s">
        <v>13309</v>
      </c>
      <c r="QNC1" s="16" t="s">
        <v>13310</v>
      </c>
      <c r="QND1" s="16" t="s">
        <v>13311</v>
      </c>
      <c r="QNE1" s="16" t="s">
        <v>13312</v>
      </c>
      <c r="QNF1" s="16" t="s">
        <v>13313</v>
      </c>
      <c r="QNG1" s="16" t="s">
        <v>13314</v>
      </c>
      <c r="QNH1" s="16" t="s">
        <v>13315</v>
      </c>
      <c r="QNI1" s="16" t="s">
        <v>13316</v>
      </c>
      <c r="QNJ1" s="16" t="s">
        <v>13317</v>
      </c>
      <c r="QNK1" s="16" t="s">
        <v>13318</v>
      </c>
      <c r="QNL1" s="16" t="s">
        <v>13319</v>
      </c>
      <c r="QNM1" s="16" t="s">
        <v>13320</v>
      </c>
      <c r="QNN1" s="16" t="s">
        <v>13321</v>
      </c>
      <c r="QNO1" s="16" t="s">
        <v>13322</v>
      </c>
      <c r="QNP1" s="16" t="s">
        <v>13323</v>
      </c>
      <c r="QNQ1" s="16" t="s">
        <v>13324</v>
      </c>
      <c r="QNR1" s="16" t="s">
        <v>13325</v>
      </c>
      <c r="QNS1" s="16" t="s">
        <v>13326</v>
      </c>
      <c r="QNT1" s="16" t="s">
        <v>13327</v>
      </c>
      <c r="QNU1" s="16" t="s">
        <v>13328</v>
      </c>
      <c r="QNV1" s="16" t="s">
        <v>13329</v>
      </c>
      <c r="QNW1" s="16" t="s">
        <v>13330</v>
      </c>
      <c r="QNX1" s="16" t="s">
        <v>13331</v>
      </c>
      <c r="QNY1" s="16" t="s">
        <v>13332</v>
      </c>
      <c r="QNZ1" s="16" t="s">
        <v>13333</v>
      </c>
      <c r="QOA1" s="16" t="s">
        <v>13334</v>
      </c>
      <c r="QOB1" s="16" t="s">
        <v>13335</v>
      </c>
      <c r="QOC1" s="16" t="s">
        <v>13336</v>
      </c>
      <c r="QOD1" s="16" t="s">
        <v>13337</v>
      </c>
      <c r="QOE1" s="16" t="s">
        <v>13338</v>
      </c>
      <c r="QOF1" s="16" t="s">
        <v>13339</v>
      </c>
      <c r="QOG1" s="16" t="s">
        <v>13340</v>
      </c>
      <c r="QOH1" s="16" t="s">
        <v>13341</v>
      </c>
      <c r="QOI1" s="16" t="s">
        <v>13342</v>
      </c>
      <c r="QOJ1" s="16" t="s">
        <v>13343</v>
      </c>
      <c r="QOK1" s="16" t="s">
        <v>13344</v>
      </c>
      <c r="QOL1" s="16" t="s">
        <v>13345</v>
      </c>
      <c r="QOM1" s="16" t="s">
        <v>13346</v>
      </c>
      <c r="QON1" s="16" t="s">
        <v>13347</v>
      </c>
      <c r="QOO1" s="16" t="s">
        <v>13348</v>
      </c>
      <c r="QOP1" s="16" t="s">
        <v>13349</v>
      </c>
      <c r="QOQ1" s="16" t="s">
        <v>13350</v>
      </c>
      <c r="QOR1" s="16" t="s">
        <v>13351</v>
      </c>
      <c r="QOS1" s="16" t="s">
        <v>13352</v>
      </c>
      <c r="QOT1" s="16" t="s">
        <v>13353</v>
      </c>
      <c r="QOU1" s="16" t="s">
        <v>13354</v>
      </c>
      <c r="QOV1" s="16" t="s">
        <v>13355</v>
      </c>
      <c r="QOW1" s="16" t="s">
        <v>13356</v>
      </c>
      <c r="QOX1" s="16" t="s">
        <v>13357</v>
      </c>
      <c r="QOY1" s="16" t="s">
        <v>13358</v>
      </c>
      <c r="QOZ1" s="16" t="s">
        <v>13359</v>
      </c>
      <c r="QPA1" s="16" t="s">
        <v>13360</v>
      </c>
      <c r="QPB1" s="16" t="s">
        <v>13361</v>
      </c>
      <c r="QPC1" s="16" t="s">
        <v>13362</v>
      </c>
      <c r="QPD1" s="16" t="s">
        <v>13363</v>
      </c>
      <c r="QPE1" s="16" t="s">
        <v>13364</v>
      </c>
      <c r="QPF1" s="16" t="s">
        <v>13365</v>
      </c>
      <c r="QPG1" s="16" t="s">
        <v>13366</v>
      </c>
      <c r="QPH1" s="16" t="s">
        <v>13367</v>
      </c>
      <c r="QPI1" s="16" t="s">
        <v>13368</v>
      </c>
      <c r="QPJ1" s="16" t="s">
        <v>13369</v>
      </c>
      <c r="QPK1" s="16" t="s">
        <v>13370</v>
      </c>
      <c r="QPL1" s="16" t="s">
        <v>13371</v>
      </c>
      <c r="QPM1" s="16" t="s">
        <v>13372</v>
      </c>
      <c r="QPN1" s="16" t="s">
        <v>13373</v>
      </c>
      <c r="QPO1" s="16" t="s">
        <v>13374</v>
      </c>
      <c r="QPP1" s="16" t="s">
        <v>13375</v>
      </c>
      <c r="QPQ1" s="16" t="s">
        <v>13376</v>
      </c>
      <c r="QPR1" s="16" t="s">
        <v>13377</v>
      </c>
      <c r="QPS1" s="16" t="s">
        <v>13378</v>
      </c>
      <c r="QPT1" s="16" t="s">
        <v>13379</v>
      </c>
      <c r="QPU1" s="16" t="s">
        <v>13380</v>
      </c>
      <c r="QPV1" s="16" t="s">
        <v>13381</v>
      </c>
      <c r="QPW1" s="16" t="s">
        <v>13382</v>
      </c>
      <c r="QPX1" s="16" t="s">
        <v>13383</v>
      </c>
      <c r="QPY1" s="16" t="s">
        <v>13384</v>
      </c>
      <c r="QPZ1" s="16" t="s">
        <v>13385</v>
      </c>
      <c r="QQA1" s="16" t="s">
        <v>13386</v>
      </c>
      <c r="QQB1" s="16" t="s">
        <v>13387</v>
      </c>
      <c r="QQC1" s="16" t="s">
        <v>13388</v>
      </c>
      <c r="QQD1" s="16" t="s">
        <v>13389</v>
      </c>
      <c r="QQE1" s="16" t="s">
        <v>13390</v>
      </c>
      <c r="QQF1" s="16" t="s">
        <v>13391</v>
      </c>
      <c r="QQG1" s="16" t="s">
        <v>13392</v>
      </c>
      <c r="QQH1" s="16" t="s">
        <v>13393</v>
      </c>
      <c r="QQI1" s="16" t="s">
        <v>13394</v>
      </c>
      <c r="QQJ1" s="16" t="s">
        <v>13395</v>
      </c>
      <c r="QQK1" s="16" t="s">
        <v>13396</v>
      </c>
      <c r="QQL1" s="16" t="s">
        <v>13397</v>
      </c>
      <c r="QQM1" s="16" t="s">
        <v>13398</v>
      </c>
      <c r="QQN1" s="16" t="s">
        <v>13399</v>
      </c>
      <c r="QQO1" s="16" t="s">
        <v>13400</v>
      </c>
      <c r="QQP1" s="16" t="s">
        <v>13401</v>
      </c>
      <c r="QQQ1" s="16" t="s">
        <v>13402</v>
      </c>
      <c r="QQR1" s="16" t="s">
        <v>13403</v>
      </c>
      <c r="QQS1" s="16" t="s">
        <v>13404</v>
      </c>
      <c r="QQT1" s="16" t="s">
        <v>13405</v>
      </c>
      <c r="QQU1" s="16" t="s">
        <v>13406</v>
      </c>
      <c r="QQV1" s="16" t="s">
        <v>13407</v>
      </c>
      <c r="QQW1" s="16" t="s">
        <v>13408</v>
      </c>
      <c r="QQX1" s="16" t="s">
        <v>13409</v>
      </c>
      <c r="QQY1" s="16" t="s">
        <v>13410</v>
      </c>
      <c r="QQZ1" s="16" t="s">
        <v>13411</v>
      </c>
      <c r="QRA1" s="16" t="s">
        <v>13412</v>
      </c>
      <c r="QRB1" s="16" t="s">
        <v>13413</v>
      </c>
      <c r="QRC1" s="16" t="s">
        <v>13414</v>
      </c>
      <c r="QRD1" s="16" t="s">
        <v>13415</v>
      </c>
      <c r="QRE1" s="16" t="s">
        <v>13416</v>
      </c>
      <c r="QRF1" s="16" t="s">
        <v>13417</v>
      </c>
      <c r="QRG1" s="16" t="s">
        <v>13418</v>
      </c>
      <c r="QRH1" s="16" t="s">
        <v>13419</v>
      </c>
      <c r="QRI1" s="16" t="s">
        <v>13420</v>
      </c>
      <c r="QRJ1" s="16" t="s">
        <v>13421</v>
      </c>
      <c r="QRK1" s="16" t="s">
        <v>13422</v>
      </c>
      <c r="QRL1" s="16" t="s">
        <v>13423</v>
      </c>
      <c r="QRM1" s="16" t="s">
        <v>13424</v>
      </c>
      <c r="QRN1" s="16" t="s">
        <v>13425</v>
      </c>
      <c r="QRO1" s="16" t="s">
        <v>13426</v>
      </c>
      <c r="QRP1" s="16" t="s">
        <v>13427</v>
      </c>
      <c r="QRQ1" s="16" t="s">
        <v>13428</v>
      </c>
      <c r="QRR1" s="16" t="s">
        <v>13429</v>
      </c>
      <c r="QRS1" s="16" t="s">
        <v>13430</v>
      </c>
      <c r="QRT1" s="16" t="s">
        <v>13431</v>
      </c>
      <c r="QRU1" s="16" t="s">
        <v>13432</v>
      </c>
      <c r="QRV1" s="16" t="s">
        <v>13433</v>
      </c>
      <c r="QRW1" s="16" t="s">
        <v>13434</v>
      </c>
      <c r="QRX1" s="16" t="s">
        <v>13435</v>
      </c>
      <c r="QRY1" s="16" t="s">
        <v>13436</v>
      </c>
      <c r="QRZ1" s="16" t="s">
        <v>13437</v>
      </c>
      <c r="QSA1" s="16" t="s">
        <v>13438</v>
      </c>
      <c r="QSB1" s="16" t="s">
        <v>13439</v>
      </c>
      <c r="QSC1" s="16" t="s">
        <v>13440</v>
      </c>
      <c r="QSD1" s="16" t="s">
        <v>13441</v>
      </c>
      <c r="QSE1" s="16" t="s">
        <v>13442</v>
      </c>
      <c r="QSF1" s="16" t="s">
        <v>13443</v>
      </c>
      <c r="QSG1" s="16" t="s">
        <v>13444</v>
      </c>
      <c r="QSH1" s="16" t="s">
        <v>13445</v>
      </c>
      <c r="QSI1" s="16" t="s">
        <v>13446</v>
      </c>
      <c r="QSJ1" s="16" t="s">
        <v>13447</v>
      </c>
      <c r="QSK1" s="16" t="s">
        <v>13448</v>
      </c>
      <c r="QSL1" s="16" t="s">
        <v>13449</v>
      </c>
      <c r="QSM1" s="16" t="s">
        <v>13450</v>
      </c>
      <c r="QSN1" s="16" t="s">
        <v>13451</v>
      </c>
      <c r="QSO1" s="16" t="s">
        <v>13452</v>
      </c>
      <c r="QSP1" s="16" t="s">
        <v>13453</v>
      </c>
      <c r="QSQ1" s="16" t="s">
        <v>13454</v>
      </c>
      <c r="QSR1" s="16" t="s">
        <v>13455</v>
      </c>
      <c r="QSS1" s="16" t="s">
        <v>13456</v>
      </c>
      <c r="QST1" s="16" t="s">
        <v>13457</v>
      </c>
      <c r="QSU1" s="16" t="s">
        <v>13458</v>
      </c>
      <c r="QSV1" s="16" t="s">
        <v>13459</v>
      </c>
      <c r="QSW1" s="16" t="s">
        <v>13460</v>
      </c>
      <c r="QSX1" s="16" t="s">
        <v>13461</v>
      </c>
      <c r="QSY1" s="16" t="s">
        <v>13462</v>
      </c>
      <c r="QSZ1" s="16" t="s">
        <v>13463</v>
      </c>
      <c r="QTA1" s="16" t="s">
        <v>13464</v>
      </c>
      <c r="QTB1" s="16" t="s">
        <v>13465</v>
      </c>
      <c r="QTC1" s="16" t="s">
        <v>13466</v>
      </c>
      <c r="QTD1" s="16" t="s">
        <v>13467</v>
      </c>
      <c r="QTE1" s="16" t="s">
        <v>13468</v>
      </c>
      <c r="QTF1" s="16" t="s">
        <v>13469</v>
      </c>
      <c r="QTG1" s="16" t="s">
        <v>13470</v>
      </c>
      <c r="QTH1" s="16" t="s">
        <v>13471</v>
      </c>
      <c r="QTI1" s="16" t="s">
        <v>13472</v>
      </c>
      <c r="QTJ1" s="16" t="s">
        <v>13473</v>
      </c>
      <c r="QTK1" s="16" t="s">
        <v>13474</v>
      </c>
      <c r="QTL1" s="16" t="s">
        <v>13475</v>
      </c>
      <c r="QTM1" s="16" t="s">
        <v>13476</v>
      </c>
      <c r="QTN1" s="16" t="s">
        <v>13477</v>
      </c>
      <c r="QTO1" s="16" t="s">
        <v>13478</v>
      </c>
      <c r="QTP1" s="16" t="s">
        <v>13479</v>
      </c>
      <c r="QTQ1" s="16" t="s">
        <v>13480</v>
      </c>
      <c r="QTR1" s="16" t="s">
        <v>13481</v>
      </c>
      <c r="QTS1" s="16" t="s">
        <v>13482</v>
      </c>
      <c r="QTT1" s="16" t="s">
        <v>13483</v>
      </c>
      <c r="QTU1" s="16" t="s">
        <v>13484</v>
      </c>
      <c r="QTV1" s="16" t="s">
        <v>13485</v>
      </c>
      <c r="QTW1" s="16" t="s">
        <v>13486</v>
      </c>
      <c r="QTX1" s="16" t="s">
        <v>13487</v>
      </c>
      <c r="QTY1" s="16" t="s">
        <v>13488</v>
      </c>
      <c r="QTZ1" s="16" t="s">
        <v>13489</v>
      </c>
      <c r="QUA1" s="16" t="s">
        <v>13490</v>
      </c>
      <c r="QUB1" s="16" t="s">
        <v>13491</v>
      </c>
      <c r="QUC1" s="16" t="s">
        <v>13492</v>
      </c>
      <c r="QUD1" s="16" t="s">
        <v>13493</v>
      </c>
      <c r="QUE1" s="16" t="s">
        <v>13494</v>
      </c>
      <c r="QUF1" s="16" t="s">
        <v>13495</v>
      </c>
      <c r="QUG1" s="16" t="s">
        <v>13496</v>
      </c>
      <c r="QUH1" s="16" t="s">
        <v>13497</v>
      </c>
      <c r="QUI1" s="16" t="s">
        <v>13498</v>
      </c>
      <c r="QUJ1" s="16" t="s">
        <v>13499</v>
      </c>
      <c r="QUK1" s="16" t="s">
        <v>13500</v>
      </c>
      <c r="QUL1" s="16" t="s">
        <v>13501</v>
      </c>
      <c r="QUM1" s="16" t="s">
        <v>13502</v>
      </c>
      <c r="QUN1" s="16" t="s">
        <v>13503</v>
      </c>
      <c r="QUO1" s="16" t="s">
        <v>13504</v>
      </c>
      <c r="QUP1" s="16" t="s">
        <v>13505</v>
      </c>
      <c r="QUQ1" s="16" t="s">
        <v>13506</v>
      </c>
      <c r="QUR1" s="16" t="s">
        <v>13507</v>
      </c>
      <c r="QUS1" s="16" t="s">
        <v>13508</v>
      </c>
      <c r="QUT1" s="16" t="s">
        <v>13509</v>
      </c>
      <c r="QUU1" s="16" t="s">
        <v>13510</v>
      </c>
      <c r="QUV1" s="16" t="s">
        <v>13511</v>
      </c>
      <c r="QUW1" s="16" t="s">
        <v>13512</v>
      </c>
      <c r="QUX1" s="16" t="s">
        <v>13513</v>
      </c>
      <c r="QUY1" s="16" t="s">
        <v>13514</v>
      </c>
      <c r="QUZ1" s="16" t="s">
        <v>13515</v>
      </c>
      <c r="QVA1" s="16" t="s">
        <v>13516</v>
      </c>
      <c r="QVB1" s="16" t="s">
        <v>13517</v>
      </c>
      <c r="QVC1" s="16" t="s">
        <v>13518</v>
      </c>
      <c r="QVD1" s="16" t="s">
        <v>13519</v>
      </c>
      <c r="QVE1" s="16" t="s">
        <v>13520</v>
      </c>
      <c r="QVF1" s="16" t="s">
        <v>13521</v>
      </c>
      <c r="QVG1" s="16" t="s">
        <v>13522</v>
      </c>
      <c r="QVH1" s="16" t="s">
        <v>13523</v>
      </c>
      <c r="QVI1" s="16" t="s">
        <v>13524</v>
      </c>
      <c r="QVJ1" s="16" t="s">
        <v>13525</v>
      </c>
      <c r="QVK1" s="16" t="s">
        <v>13526</v>
      </c>
      <c r="QVL1" s="16" t="s">
        <v>13527</v>
      </c>
      <c r="QVM1" s="16" t="s">
        <v>13528</v>
      </c>
      <c r="QVN1" s="16" t="s">
        <v>13529</v>
      </c>
      <c r="QVO1" s="16" t="s">
        <v>13530</v>
      </c>
      <c r="QVP1" s="16" t="s">
        <v>13531</v>
      </c>
      <c r="QVQ1" s="16" t="s">
        <v>13532</v>
      </c>
      <c r="QVR1" s="16" t="s">
        <v>13533</v>
      </c>
      <c r="QVS1" s="16" t="s">
        <v>13534</v>
      </c>
      <c r="QVT1" s="16" t="s">
        <v>13535</v>
      </c>
      <c r="QVU1" s="16" t="s">
        <v>13536</v>
      </c>
      <c r="QVV1" s="16" t="s">
        <v>13537</v>
      </c>
      <c r="QVW1" s="16" t="s">
        <v>13538</v>
      </c>
      <c r="QVX1" s="16" t="s">
        <v>13539</v>
      </c>
      <c r="QVY1" s="16" t="s">
        <v>13540</v>
      </c>
      <c r="QVZ1" s="16" t="s">
        <v>13541</v>
      </c>
      <c r="QWA1" s="16" t="s">
        <v>13542</v>
      </c>
      <c r="QWB1" s="16" t="s">
        <v>13543</v>
      </c>
      <c r="QWC1" s="16" t="s">
        <v>13544</v>
      </c>
      <c r="QWD1" s="16" t="s">
        <v>13545</v>
      </c>
      <c r="QWE1" s="16" t="s">
        <v>13546</v>
      </c>
      <c r="QWF1" s="16" t="s">
        <v>13547</v>
      </c>
      <c r="QWG1" s="16" t="s">
        <v>13548</v>
      </c>
      <c r="QWH1" s="16" t="s">
        <v>13549</v>
      </c>
      <c r="QWI1" s="16" t="s">
        <v>13550</v>
      </c>
      <c r="QWJ1" s="16" t="s">
        <v>13551</v>
      </c>
      <c r="QWK1" s="16" t="s">
        <v>13552</v>
      </c>
      <c r="QWL1" s="16" t="s">
        <v>13553</v>
      </c>
      <c r="QWM1" s="16" t="s">
        <v>13554</v>
      </c>
      <c r="QWN1" s="16" t="s">
        <v>13555</v>
      </c>
      <c r="QWO1" s="16" t="s">
        <v>13556</v>
      </c>
      <c r="QWP1" s="16" t="s">
        <v>13557</v>
      </c>
      <c r="QWQ1" s="16" t="s">
        <v>13558</v>
      </c>
      <c r="QWR1" s="16" t="s">
        <v>13559</v>
      </c>
      <c r="QWS1" s="16" t="s">
        <v>13560</v>
      </c>
      <c r="QWT1" s="16" t="s">
        <v>13561</v>
      </c>
      <c r="QWU1" s="16" t="s">
        <v>13562</v>
      </c>
      <c r="QWV1" s="16" t="s">
        <v>13563</v>
      </c>
      <c r="QWW1" s="16" t="s">
        <v>13564</v>
      </c>
      <c r="QWX1" s="16" t="s">
        <v>13565</v>
      </c>
      <c r="QWY1" s="16" t="s">
        <v>13566</v>
      </c>
      <c r="QWZ1" s="16" t="s">
        <v>13567</v>
      </c>
      <c r="QXA1" s="16" t="s">
        <v>13568</v>
      </c>
      <c r="QXB1" s="16" t="s">
        <v>13569</v>
      </c>
      <c r="QXC1" s="16" t="s">
        <v>13570</v>
      </c>
      <c r="QXD1" s="16" t="s">
        <v>13571</v>
      </c>
      <c r="QXE1" s="16" t="s">
        <v>13572</v>
      </c>
      <c r="QXF1" s="16" t="s">
        <v>13573</v>
      </c>
      <c r="QXG1" s="16" t="s">
        <v>13574</v>
      </c>
      <c r="QXH1" s="16" t="s">
        <v>13575</v>
      </c>
      <c r="QXI1" s="16" t="s">
        <v>13576</v>
      </c>
      <c r="QXJ1" s="16" t="s">
        <v>13577</v>
      </c>
      <c r="QXK1" s="16" t="s">
        <v>13578</v>
      </c>
      <c r="QXL1" s="16" t="s">
        <v>13579</v>
      </c>
      <c r="QXM1" s="16" t="s">
        <v>13580</v>
      </c>
      <c r="QXN1" s="16" t="s">
        <v>13581</v>
      </c>
      <c r="QXO1" s="16" t="s">
        <v>13582</v>
      </c>
      <c r="QXP1" s="16" t="s">
        <v>13583</v>
      </c>
      <c r="QXQ1" s="16" t="s">
        <v>13584</v>
      </c>
      <c r="QXR1" s="16" t="s">
        <v>13585</v>
      </c>
      <c r="QXS1" s="16" t="s">
        <v>13586</v>
      </c>
      <c r="QXT1" s="16" t="s">
        <v>13587</v>
      </c>
      <c r="QXU1" s="16" t="s">
        <v>13588</v>
      </c>
      <c r="QXV1" s="16" t="s">
        <v>13589</v>
      </c>
      <c r="QXW1" s="16" t="s">
        <v>13590</v>
      </c>
      <c r="QXX1" s="16" t="s">
        <v>13591</v>
      </c>
      <c r="QXY1" s="16" t="s">
        <v>13592</v>
      </c>
      <c r="QXZ1" s="16" t="s">
        <v>13593</v>
      </c>
      <c r="QYA1" s="16" t="s">
        <v>13594</v>
      </c>
      <c r="QYB1" s="16" t="s">
        <v>13595</v>
      </c>
      <c r="QYC1" s="16" t="s">
        <v>13596</v>
      </c>
      <c r="QYD1" s="16" t="s">
        <v>13597</v>
      </c>
      <c r="QYE1" s="16" t="s">
        <v>13598</v>
      </c>
      <c r="QYF1" s="16" t="s">
        <v>13599</v>
      </c>
      <c r="QYG1" s="16" t="s">
        <v>13600</v>
      </c>
      <c r="QYH1" s="16" t="s">
        <v>13601</v>
      </c>
      <c r="QYI1" s="16" t="s">
        <v>13602</v>
      </c>
      <c r="QYJ1" s="16" t="s">
        <v>13603</v>
      </c>
      <c r="QYK1" s="16" t="s">
        <v>13604</v>
      </c>
      <c r="QYL1" s="16" t="s">
        <v>13605</v>
      </c>
      <c r="QYM1" s="16" t="s">
        <v>13606</v>
      </c>
      <c r="QYN1" s="16" t="s">
        <v>13607</v>
      </c>
      <c r="QYO1" s="16" t="s">
        <v>13608</v>
      </c>
      <c r="QYP1" s="16" t="s">
        <v>13609</v>
      </c>
      <c r="QYQ1" s="16" t="s">
        <v>13610</v>
      </c>
      <c r="QYR1" s="16" t="s">
        <v>13611</v>
      </c>
      <c r="QYS1" s="16" t="s">
        <v>13612</v>
      </c>
      <c r="QYT1" s="16" t="s">
        <v>13613</v>
      </c>
      <c r="QYU1" s="16" t="s">
        <v>13614</v>
      </c>
      <c r="QYV1" s="16" t="s">
        <v>13615</v>
      </c>
      <c r="QYW1" s="16" t="s">
        <v>13616</v>
      </c>
      <c r="QYX1" s="16" t="s">
        <v>13617</v>
      </c>
      <c r="QYY1" s="16" t="s">
        <v>13618</v>
      </c>
      <c r="QYZ1" s="16" t="s">
        <v>13619</v>
      </c>
      <c r="QZA1" s="16" t="s">
        <v>13620</v>
      </c>
      <c r="QZB1" s="16" t="s">
        <v>13621</v>
      </c>
      <c r="QZC1" s="16" t="s">
        <v>13622</v>
      </c>
      <c r="QZD1" s="16" t="s">
        <v>13623</v>
      </c>
      <c r="QZE1" s="16" t="s">
        <v>13624</v>
      </c>
      <c r="QZF1" s="16" t="s">
        <v>13625</v>
      </c>
      <c r="QZG1" s="16" t="s">
        <v>13626</v>
      </c>
      <c r="QZH1" s="16" t="s">
        <v>13627</v>
      </c>
      <c r="QZI1" s="16" t="s">
        <v>13628</v>
      </c>
      <c r="QZJ1" s="16" t="s">
        <v>13629</v>
      </c>
      <c r="QZK1" s="16" t="s">
        <v>13630</v>
      </c>
      <c r="QZL1" s="16" t="s">
        <v>13631</v>
      </c>
      <c r="QZM1" s="16" t="s">
        <v>13632</v>
      </c>
      <c r="QZN1" s="16" t="s">
        <v>13633</v>
      </c>
      <c r="QZO1" s="16" t="s">
        <v>13634</v>
      </c>
      <c r="QZP1" s="16" t="s">
        <v>13635</v>
      </c>
      <c r="QZQ1" s="16" t="s">
        <v>13636</v>
      </c>
      <c r="QZR1" s="16" t="s">
        <v>13637</v>
      </c>
      <c r="QZS1" s="16" t="s">
        <v>13638</v>
      </c>
      <c r="QZT1" s="16" t="s">
        <v>13639</v>
      </c>
      <c r="QZU1" s="16" t="s">
        <v>13640</v>
      </c>
      <c r="QZV1" s="16" t="s">
        <v>13641</v>
      </c>
      <c r="QZW1" s="16" t="s">
        <v>13642</v>
      </c>
      <c r="QZX1" s="16" t="s">
        <v>13643</v>
      </c>
      <c r="QZY1" s="16" t="s">
        <v>13644</v>
      </c>
      <c r="QZZ1" s="16" t="s">
        <v>13645</v>
      </c>
      <c r="RAA1" s="16" t="s">
        <v>13646</v>
      </c>
      <c r="RAB1" s="16" t="s">
        <v>13647</v>
      </c>
      <c r="RAC1" s="16" t="s">
        <v>13648</v>
      </c>
      <c r="RAD1" s="16" t="s">
        <v>13649</v>
      </c>
      <c r="RAE1" s="16" t="s">
        <v>13650</v>
      </c>
      <c r="RAF1" s="16" t="s">
        <v>13651</v>
      </c>
      <c r="RAG1" s="16" t="s">
        <v>13652</v>
      </c>
      <c r="RAH1" s="16" t="s">
        <v>13653</v>
      </c>
      <c r="RAI1" s="16" t="s">
        <v>13654</v>
      </c>
      <c r="RAJ1" s="16" t="s">
        <v>13655</v>
      </c>
      <c r="RAK1" s="16" t="s">
        <v>13656</v>
      </c>
      <c r="RAL1" s="16" t="s">
        <v>13657</v>
      </c>
      <c r="RAM1" s="16" t="s">
        <v>13658</v>
      </c>
      <c r="RAN1" s="16" t="s">
        <v>13659</v>
      </c>
      <c r="RAO1" s="16" t="s">
        <v>13660</v>
      </c>
      <c r="RAP1" s="16" t="s">
        <v>13661</v>
      </c>
      <c r="RAQ1" s="16" t="s">
        <v>13662</v>
      </c>
      <c r="RAR1" s="16" t="s">
        <v>13663</v>
      </c>
      <c r="RAS1" s="16" t="s">
        <v>13664</v>
      </c>
      <c r="RAT1" s="16" t="s">
        <v>13665</v>
      </c>
      <c r="RAU1" s="16" t="s">
        <v>13666</v>
      </c>
      <c r="RAV1" s="16" t="s">
        <v>13667</v>
      </c>
      <c r="RAW1" s="16" t="s">
        <v>13668</v>
      </c>
      <c r="RAX1" s="16" t="s">
        <v>13669</v>
      </c>
      <c r="RAY1" s="16" t="s">
        <v>13670</v>
      </c>
      <c r="RAZ1" s="16" t="s">
        <v>13671</v>
      </c>
      <c r="RBA1" s="16" t="s">
        <v>13672</v>
      </c>
      <c r="RBB1" s="16" t="s">
        <v>13673</v>
      </c>
      <c r="RBC1" s="16" t="s">
        <v>13674</v>
      </c>
      <c r="RBD1" s="16" t="s">
        <v>13675</v>
      </c>
      <c r="RBE1" s="16" t="s">
        <v>13676</v>
      </c>
      <c r="RBF1" s="16" t="s">
        <v>13677</v>
      </c>
      <c r="RBG1" s="16" t="s">
        <v>13678</v>
      </c>
      <c r="RBH1" s="16" t="s">
        <v>13679</v>
      </c>
      <c r="RBI1" s="16" t="s">
        <v>13680</v>
      </c>
      <c r="RBJ1" s="16" t="s">
        <v>13681</v>
      </c>
      <c r="RBK1" s="16" t="s">
        <v>13682</v>
      </c>
      <c r="RBL1" s="16" t="s">
        <v>13683</v>
      </c>
      <c r="RBM1" s="16" t="s">
        <v>13684</v>
      </c>
      <c r="RBN1" s="16" t="s">
        <v>13685</v>
      </c>
      <c r="RBO1" s="16" t="s">
        <v>13686</v>
      </c>
      <c r="RBP1" s="16" t="s">
        <v>13687</v>
      </c>
      <c r="RBQ1" s="16" t="s">
        <v>13688</v>
      </c>
      <c r="RBR1" s="16" t="s">
        <v>13689</v>
      </c>
      <c r="RBS1" s="16" t="s">
        <v>13690</v>
      </c>
      <c r="RBT1" s="16" t="s">
        <v>13691</v>
      </c>
      <c r="RBU1" s="16" t="s">
        <v>13692</v>
      </c>
      <c r="RBV1" s="16" t="s">
        <v>13693</v>
      </c>
      <c r="RBW1" s="16" t="s">
        <v>13694</v>
      </c>
      <c r="RBX1" s="16" t="s">
        <v>13695</v>
      </c>
      <c r="RBY1" s="16" t="s">
        <v>13696</v>
      </c>
      <c r="RBZ1" s="16" t="s">
        <v>13697</v>
      </c>
      <c r="RCA1" s="16" t="s">
        <v>13698</v>
      </c>
      <c r="RCB1" s="16" t="s">
        <v>13699</v>
      </c>
      <c r="RCC1" s="16" t="s">
        <v>13700</v>
      </c>
      <c r="RCD1" s="16" t="s">
        <v>13701</v>
      </c>
      <c r="RCE1" s="16" t="s">
        <v>13702</v>
      </c>
      <c r="RCF1" s="16" t="s">
        <v>13703</v>
      </c>
      <c r="RCG1" s="16" t="s">
        <v>13704</v>
      </c>
      <c r="RCH1" s="16" t="s">
        <v>13705</v>
      </c>
      <c r="RCI1" s="16" t="s">
        <v>13706</v>
      </c>
      <c r="RCJ1" s="16" t="s">
        <v>13707</v>
      </c>
      <c r="RCK1" s="16" t="s">
        <v>13708</v>
      </c>
      <c r="RCL1" s="16" t="s">
        <v>13709</v>
      </c>
      <c r="RCM1" s="16" t="s">
        <v>13710</v>
      </c>
      <c r="RCN1" s="16" t="s">
        <v>13711</v>
      </c>
      <c r="RCO1" s="16" t="s">
        <v>13712</v>
      </c>
      <c r="RCP1" s="16" t="s">
        <v>13713</v>
      </c>
      <c r="RCQ1" s="16" t="s">
        <v>13714</v>
      </c>
      <c r="RCR1" s="16" t="s">
        <v>13715</v>
      </c>
      <c r="RCS1" s="16" t="s">
        <v>13716</v>
      </c>
      <c r="RCT1" s="16" t="s">
        <v>13717</v>
      </c>
      <c r="RCU1" s="16" t="s">
        <v>13718</v>
      </c>
      <c r="RCV1" s="16" t="s">
        <v>13719</v>
      </c>
      <c r="RCW1" s="16" t="s">
        <v>13720</v>
      </c>
      <c r="RCX1" s="16" t="s">
        <v>13721</v>
      </c>
      <c r="RCY1" s="16" t="s">
        <v>13722</v>
      </c>
      <c r="RCZ1" s="16" t="s">
        <v>13723</v>
      </c>
      <c r="RDA1" s="16" t="s">
        <v>13724</v>
      </c>
      <c r="RDB1" s="16" t="s">
        <v>13725</v>
      </c>
      <c r="RDC1" s="16" t="s">
        <v>13726</v>
      </c>
      <c r="RDD1" s="16" t="s">
        <v>13727</v>
      </c>
      <c r="RDE1" s="16" t="s">
        <v>13728</v>
      </c>
      <c r="RDF1" s="16" t="s">
        <v>13729</v>
      </c>
      <c r="RDG1" s="16" t="s">
        <v>13730</v>
      </c>
      <c r="RDH1" s="16" t="s">
        <v>13731</v>
      </c>
      <c r="RDI1" s="16" t="s">
        <v>13732</v>
      </c>
      <c r="RDJ1" s="16" t="s">
        <v>13733</v>
      </c>
      <c r="RDK1" s="16" t="s">
        <v>13734</v>
      </c>
      <c r="RDL1" s="16" t="s">
        <v>13735</v>
      </c>
      <c r="RDM1" s="16" t="s">
        <v>13736</v>
      </c>
      <c r="RDN1" s="16" t="s">
        <v>13737</v>
      </c>
      <c r="RDO1" s="16" t="s">
        <v>13738</v>
      </c>
      <c r="RDP1" s="16" t="s">
        <v>13739</v>
      </c>
      <c r="RDQ1" s="16" t="s">
        <v>13740</v>
      </c>
      <c r="RDR1" s="16" t="s">
        <v>13741</v>
      </c>
      <c r="RDS1" s="16" t="s">
        <v>13742</v>
      </c>
      <c r="RDT1" s="16" t="s">
        <v>13743</v>
      </c>
      <c r="RDU1" s="16" t="s">
        <v>13744</v>
      </c>
      <c r="RDV1" s="16" t="s">
        <v>13745</v>
      </c>
      <c r="RDW1" s="16" t="s">
        <v>13746</v>
      </c>
      <c r="RDX1" s="16" t="s">
        <v>13747</v>
      </c>
      <c r="RDY1" s="16" t="s">
        <v>13748</v>
      </c>
      <c r="RDZ1" s="16" t="s">
        <v>13749</v>
      </c>
      <c r="REA1" s="16" t="s">
        <v>13750</v>
      </c>
      <c r="REB1" s="16" t="s">
        <v>13751</v>
      </c>
      <c r="REC1" s="16" t="s">
        <v>13752</v>
      </c>
      <c r="RED1" s="16" t="s">
        <v>13753</v>
      </c>
      <c r="REE1" s="16" t="s">
        <v>13754</v>
      </c>
      <c r="REF1" s="16" t="s">
        <v>13755</v>
      </c>
      <c r="REG1" s="16" t="s">
        <v>13756</v>
      </c>
      <c r="REH1" s="16" t="s">
        <v>13757</v>
      </c>
      <c r="REI1" s="16" t="s">
        <v>13758</v>
      </c>
      <c r="REJ1" s="16" t="s">
        <v>13759</v>
      </c>
      <c r="REK1" s="16" t="s">
        <v>13760</v>
      </c>
      <c r="REL1" s="16" t="s">
        <v>13761</v>
      </c>
      <c r="REM1" s="16" t="s">
        <v>13762</v>
      </c>
      <c r="REN1" s="16" t="s">
        <v>13763</v>
      </c>
      <c r="REO1" s="16" t="s">
        <v>13764</v>
      </c>
      <c r="REP1" s="16" t="s">
        <v>13765</v>
      </c>
      <c r="REQ1" s="16" t="s">
        <v>13766</v>
      </c>
      <c r="RER1" s="16" t="s">
        <v>13767</v>
      </c>
      <c r="RES1" s="16" t="s">
        <v>13768</v>
      </c>
      <c r="RET1" s="16" t="s">
        <v>13769</v>
      </c>
      <c r="REU1" s="16" t="s">
        <v>13770</v>
      </c>
      <c r="REV1" s="16" t="s">
        <v>13771</v>
      </c>
      <c r="REW1" s="16" t="s">
        <v>13772</v>
      </c>
      <c r="REX1" s="16" t="s">
        <v>13773</v>
      </c>
      <c r="REY1" s="16" t="s">
        <v>13774</v>
      </c>
      <c r="REZ1" s="16" t="s">
        <v>13775</v>
      </c>
      <c r="RFA1" s="16" t="s">
        <v>13776</v>
      </c>
      <c r="RFB1" s="16" t="s">
        <v>13777</v>
      </c>
      <c r="RFC1" s="16" t="s">
        <v>13778</v>
      </c>
      <c r="RFD1" s="16" t="s">
        <v>13779</v>
      </c>
      <c r="RFE1" s="16" t="s">
        <v>13780</v>
      </c>
      <c r="RFF1" s="16" t="s">
        <v>13781</v>
      </c>
      <c r="RFG1" s="16" t="s">
        <v>13782</v>
      </c>
      <c r="RFH1" s="16" t="s">
        <v>13783</v>
      </c>
      <c r="RFI1" s="16" t="s">
        <v>13784</v>
      </c>
      <c r="RFJ1" s="16" t="s">
        <v>13785</v>
      </c>
      <c r="RFK1" s="16" t="s">
        <v>13786</v>
      </c>
      <c r="RFL1" s="16" t="s">
        <v>13787</v>
      </c>
      <c r="RFM1" s="16" t="s">
        <v>13788</v>
      </c>
      <c r="RFN1" s="16" t="s">
        <v>13789</v>
      </c>
      <c r="RFO1" s="16" t="s">
        <v>13790</v>
      </c>
      <c r="RFP1" s="16" t="s">
        <v>13791</v>
      </c>
      <c r="RFQ1" s="16" t="s">
        <v>13792</v>
      </c>
      <c r="RFR1" s="16" t="s">
        <v>13793</v>
      </c>
      <c r="RFS1" s="16" t="s">
        <v>13794</v>
      </c>
      <c r="RFT1" s="16" t="s">
        <v>13795</v>
      </c>
      <c r="RFU1" s="16" t="s">
        <v>13796</v>
      </c>
      <c r="RFV1" s="16" t="s">
        <v>13797</v>
      </c>
      <c r="RFW1" s="16" t="s">
        <v>13798</v>
      </c>
      <c r="RFX1" s="16" t="s">
        <v>13799</v>
      </c>
      <c r="RFY1" s="16" t="s">
        <v>13800</v>
      </c>
      <c r="RFZ1" s="16" t="s">
        <v>13801</v>
      </c>
      <c r="RGA1" s="16" t="s">
        <v>13802</v>
      </c>
      <c r="RGB1" s="16" t="s">
        <v>13803</v>
      </c>
      <c r="RGC1" s="16" t="s">
        <v>13804</v>
      </c>
      <c r="RGD1" s="16" t="s">
        <v>13805</v>
      </c>
      <c r="RGE1" s="16" t="s">
        <v>13806</v>
      </c>
      <c r="RGF1" s="16" t="s">
        <v>13807</v>
      </c>
      <c r="RGG1" s="16" t="s">
        <v>13808</v>
      </c>
      <c r="RGH1" s="16" t="s">
        <v>13809</v>
      </c>
      <c r="RGI1" s="16" t="s">
        <v>13810</v>
      </c>
      <c r="RGJ1" s="16" t="s">
        <v>13811</v>
      </c>
      <c r="RGK1" s="16" t="s">
        <v>13812</v>
      </c>
      <c r="RGL1" s="16" t="s">
        <v>13813</v>
      </c>
      <c r="RGM1" s="16" t="s">
        <v>13814</v>
      </c>
      <c r="RGN1" s="16" t="s">
        <v>13815</v>
      </c>
      <c r="RGO1" s="16" t="s">
        <v>13816</v>
      </c>
      <c r="RGP1" s="16" t="s">
        <v>13817</v>
      </c>
      <c r="RGQ1" s="16" t="s">
        <v>13818</v>
      </c>
      <c r="RGR1" s="16" t="s">
        <v>13819</v>
      </c>
      <c r="RGS1" s="16" t="s">
        <v>13820</v>
      </c>
      <c r="RGT1" s="16" t="s">
        <v>13821</v>
      </c>
      <c r="RGU1" s="16" t="s">
        <v>13822</v>
      </c>
      <c r="RGV1" s="16" t="s">
        <v>13823</v>
      </c>
      <c r="RGW1" s="16" t="s">
        <v>13824</v>
      </c>
      <c r="RGX1" s="16" t="s">
        <v>13825</v>
      </c>
      <c r="RGY1" s="16" t="s">
        <v>13826</v>
      </c>
      <c r="RGZ1" s="16" t="s">
        <v>13827</v>
      </c>
      <c r="RHA1" s="16" t="s">
        <v>13828</v>
      </c>
      <c r="RHB1" s="16" t="s">
        <v>13829</v>
      </c>
      <c r="RHC1" s="16" t="s">
        <v>13830</v>
      </c>
      <c r="RHD1" s="16" t="s">
        <v>13831</v>
      </c>
      <c r="RHE1" s="16" t="s">
        <v>13832</v>
      </c>
      <c r="RHF1" s="16" t="s">
        <v>13833</v>
      </c>
      <c r="RHG1" s="16" t="s">
        <v>13834</v>
      </c>
      <c r="RHH1" s="16" t="s">
        <v>13835</v>
      </c>
      <c r="RHI1" s="16" t="s">
        <v>13836</v>
      </c>
      <c r="RHJ1" s="16" t="s">
        <v>13837</v>
      </c>
      <c r="RHK1" s="16" t="s">
        <v>13838</v>
      </c>
      <c r="RHL1" s="16" t="s">
        <v>13839</v>
      </c>
      <c r="RHM1" s="16" t="s">
        <v>13840</v>
      </c>
      <c r="RHN1" s="16" t="s">
        <v>13841</v>
      </c>
      <c r="RHO1" s="16" t="s">
        <v>13842</v>
      </c>
      <c r="RHP1" s="16" t="s">
        <v>13843</v>
      </c>
      <c r="RHQ1" s="16" t="s">
        <v>13844</v>
      </c>
      <c r="RHR1" s="16" t="s">
        <v>13845</v>
      </c>
      <c r="RHS1" s="16" t="s">
        <v>13846</v>
      </c>
      <c r="RHT1" s="16" t="s">
        <v>13847</v>
      </c>
      <c r="RHU1" s="16" t="s">
        <v>13848</v>
      </c>
      <c r="RHV1" s="16" t="s">
        <v>13849</v>
      </c>
      <c r="RHW1" s="16" t="s">
        <v>13850</v>
      </c>
      <c r="RHX1" s="16" t="s">
        <v>13851</v>
      </c>
      <c r="RHY1" s="16" t="s">
        <v>13852</v>
      </c>
      <c r="RHZ1" s="16" t="s">
        <v>13853</v>
      </c>
      <c r="RIA1" s="16" t="s">
        <v>13854</v>
      </c>
      <c r="RIB1" s="16" t="s">
        <v>13855</v>
      </c>
      <c r="RIC1" s="16" t="s">
        <v>13856</v>
      </c>
      <c r="RID1" s="16" t="s">
        <v>13857</v>
      </c>
      <c r="RIE1" s="16" t="s">
        <v>13858</v>
      </c>
      <c r="RIF1" s="16" t="s">
        <v>13859</v>
      </c>
      <c r="RIG1" s="16" t="s">
        <v>13860</v>
      </c>
      <c r="RIH1" s="16" t="s">
        <v>13861</v>
      </c>
      <c r="RII1" s="16" t="s">
        <v>13862</v>
      </c>
      <c r="RIJ1" s="16" t="s">
        <v>13863</v>
      </c>
      <c r="RIK1" s="16" t="s">
        <v>13864</v>
      </c>
      <c r="RIL1" s="16" t="s">
        <v>13865</v>
      </c>
      <c r="RIM1" s="16" t="s">
        <v>13866</v>
      </c>
      <c r="RIN1" s="16" t="s">
        <v>13867</v>
      </c>
      <c r="RIO1" s="16" t="s">
        <v>13868</v>
      </c>
      <c r="RIP1" s="16" t="s">
        <v>13869</v>
      </c>
      <c r="RIQ1" s="16" t="s">
        <v>13870</v>
      </c>
      <c r="RIR1" s="16" t="s">
        <v>13871</v>
      </c>
      <c r="RIS1" s="16" t="s">
        <v>13872</v>
      </c>
      <c r="RIT1" s="16" t="s">
        <v>13873</v>
      </c>
      <c r="RIU1" s="16" t="s">
        <v>13874</v>
      </c>
      <c r="RIV1" s="16" t="s">
        <v>13875</v>
      </c>
      <c r="RIW1" s="16" t="s">
        <v>13876</v>
      </c>
      <c r="RIX1" s="16" t="s">
        <v>13877</v>
      </c>
      <c r="RIY1" s="16" t="s">
        <v>13878</v>
      </c>
      <c r="RIZ1" s="16" t="s">
        <v>13879</v>
      </c>
      <c r="RJA1" s="16" t="s">
        <v>13880</v>
      </c>
      <c r="RJB1" s="16" t="s">
        <v>13881</v>
      </c>
      <c r="RJC1" s="16" t="s">
        <v>13882</v>
      </c>
      <c r="RJD1" s="16" t="s">
        <v>13883</v>
      </c>
      <c r="RJE1" s="16" t="s">
        <v>13884</v>
      </c>
      <c r="RJF1" s="16" t="s">
        <v>13885</v>
      </c>
      <c r="RJG1" s="16" t="s">
        <v>13886</v>
      </c>
      <c r="RJH1" s="16" t="s">
        <v>13887</v>
      </c>
      <c r="RJI1" s="16" t="s">
        <v>13888</v>
      </c>
      <c r="RJJ1" s="16" t="s">
        <v>13889</v>
      </c>
      <c r="RJK1" s="16" t="s">
        <v>13890</v>
      </c>
      <c r="RJL1" s="16" t="s">
        <v>13891</v>
      </c>
      <c r="RJM1" s="16" t="s">
        <v>13892</v>
      </c>
      <c r="RJN1" s="16" t="s">
        <v>13893</v>
      </c>
      <c r="RJO1" s="16" t="s">
        <v>13894</v>
      </c>
      <c r="RJP1" s="16" t="s">
        <v>13895</v>
      </c>
      <c r="RJQ1" s="16" t="s">
        <v>13896</v>
      </c>
      <c r="RJR1" s="16" t="s">
        <v>13897</v>
      </c>
      <c r="RJS1" s="16" t="s">
        <v>13898</v>
      </c>
      <c r="RJT1" s="16" t="s">
        <v>13899</v>
      </c>
      <c r="RJU1" s="16" t="s">
        <v>13900</v>
      </c>
      <c r="RJV1" s="16" t="s">
        <v>13901</v>
      </c>
      <c r="RJW1" s="16" t="s">
        <v>13902</v>
      </c>
      <c r="RJX1" s="16" t="s">
        <v>13903</v>
      </c>
      <c r="RJY1" s="16" t="s">
        <v>13904</v>
      </c>
      <c r="RJZ1" s="16" t="s">
        <v>13905</v>
      </c>
      <c r="RKA1" s="16" t="s">
        <v>13906</v>
      </c>
      <c r="RKB1" s="16" t="s">
        <v>13907</v>
      </c>
      <c r="RKC1" s="16" t="s">
        <v>13908</v>
      </c>
      <c r="RKD1" s="16" t="s">
        <v>13909</v>
      </c>
      <c r="RKE1" s="16" t="s">
        <v>13910</v>
      </c>
      <c r="RKF1" s="16" t="s">
        <v>13911</v>
      </c>
      <c r="RKG1" s="16" t="s">
        <v>13912</v>
      </c>
      <c r="RKH1" s="16" t="s">
        <v>13913</v>
      </c>
      <c r="RKI1" s="16" t="s">
        <v>13914</v>
      </c>
      <c r="RKJ1" s="16" t="s">
        <v>13915</v>
      </c>
      <c r="RKK1" s="16" t="s">
        <v>13916</v>
      </c>
      <c r="RKL1" s="16" t="s">
        <v>13917</v>
      </c>
      <c r="RKM1" s="16" t="s">
        <v>13918</v>
      </c>
      <c r="RKN1" s="16" t="s">
        <v>13919</v>
      </c>
      <c r="RKO1" s="16" t="s">
        <v>13920</v>
      </c>
      <c r="RKP1" s="16" t="s">
        <v>13921</v>
      </c>
      <c r="RKQ1" s="16" t="s">
        <v>13922</v>
      </c>
      <c r="RKR1" s="16" t="s">
        <v>13923</v>
      </c>
      <c r="RKS1" s="16" t="s">
        <v>13924</v>
      </c>
      <c r="RKT1" s="16" t="s">
        <v>13925</v>
      </c>
      <c r="RKU1" s="16" t="s">
        <v>13926</v>
      </c>
      <c r="RKV1" s="16" t="s">
        <v>13927</v>
      </c>
      <c r="RKW1" s="16" t="s">
        <v>13928</v>
      </c>
      <c r="RKX1" s="16" t="s">
        <v>13929</v>
      </c>
      <c r="RKY1" s="16" t="s">
        <v>13930</v>
      </c>
      <c r="RKZ1" s="16" t="s">
        <v>13931</v>
      </c>
      <c r="RLA1" s="16" t="s">
        <v>13932</v>
      </c>
      <c r="RLB1" s="16" t="s">
        <v>13933</v>
      </c>
      <c r="RLC1" s="16" t="s">
        <v>13934</v>
      </c>
      <c r="RLD1" s="16" t="s">
        <v>13935</v>
      </c>
      <c r="RLE1" s="16" t="s">
        <v>13936</v>
      </c>
      <c r="RLF1" s="16" t="s">
        <v>13937</v>
      </c>
      <c r="RLG1" s="16" t="s">
        <v>13938</v>
      </c>
      <c r="RLH1" s="16" t="s">
        <v>13939</v>
      </c>
      <c r="RLI1" s="16" t="s">
        <v>13940</v>
      </c>
      <c r="RLJ1" s="16" t="s">
        <v>13941</v>
      </c>
      <c r="RLK1" s="16" t="s">
        <v>13942</v>
      </c>
      <c r="RLL1" s="16" t="s">
        <v>13943</v>
      </c>
      <c r="RLM1" s="16" t="s">
        <v>13944</v>
      </c>
      <c r="RLN1" s="16" t="s">
        <v>13945</v>
      </c>
      <c r="RLO1" s="16" t="s">
        <v>13946</v>
      </c>
      <c r="RLP1" s="16" t="s">
        <v>13947</v>
      </c>
      <c r="RLQ1" s="16" t="s">
        <v>13948</v>
      </c>
      <c r="RLR1" s="16" t="s">
        <v>13949</v>
      </c>
      <c r="RLS1" s="16" t="s">
        <v>13950</v>
      </c>
      <c r="RLT1" s="16" t="s">
        <v>13951</v>
      </c>
      <c r="RLU1" s="16" t="s">
        <v>13952</v>
      </c>
      <c r="RLV1" s="16" t="s">
        <v>13953</v>
      </c>
      <c r="RLW1" s="16" t="s">
        <v>13954</v>
      </c>
      <c r="RLX1" s="16" t="s">
        <v>13955</v>
      </c>
      <c r="RLY1" s="16" t="s">
        <v>13956</v>
      </c>
      <c r="RLZ1" s="16" t="s">
        <v>13957</v>
      </c>
      <c r="RMA1" s="16" t="s">
        <v>13958</v>
      </c>
      <c r="RMB1" s="16" t="s">
        <v>13959</v>
      </c>
      <c r="RMC1" s="16" t="s">
        <v>13960</v>
      </c>
      <c r="RMD1" s="16" t="s">
        <v>13961</v>
      </c>
      <c r="RME1" s="16" t="s">
        <v>13962</v>
      </c>
      <c r="RMF1" s="16" t="s">
        <v>13963</v>
      </c>
      <c r="RMG1" s="16" t="s">
        <v>13964</v>
      </c>
      <c r="RMH1" s="16" t="s">
        <v>13965</v>
      </c>
      <c r="RMI1" s="16" t="s">
        <v>13966</v>
      </c>
      <c r="RMJ1" s="16" t="s">
        <v>13967</v>
      </c>
      <c r="RMK1" s="16" t="s">
        <v>13968</v>
      </c>
      <c r="RML1" s="16" t="s">
        <v>13969</v>
      </c>
      <c r="RMM1" s="16" t="s">
        <v>13970</v>
      </c>
      <c r="RMN1" s="16" t="s">
        <v>13971</v>
      </c>
      <c r="RMO1" s="16" t="s">
        <v>13972</v>
      </c>
      <c r="RMP1" s="16" t="s">
        <v>13973</v>
      </c>
      <c r="RMQ1" s="16" t="s">
        <v>13974</v>
      </c>
      <c r="RMR1" s="16" t="s">
        <v>13975</v>
      </c>
      <c r="RMS1" s="16" t="s">
        <v>13976</v>
      </c>
      <c r="RMT1" s="16" t="s">
        <v>13977</v>
      </c>
      <c r="RMU1" s="16" t="s">
        <v>13978</v>
      </c>
      <c r="RMV1" s="16" t="s">
        <v>13979</v>
      </c>
      <c r="RMW1" s="16" t="s">
        <v>13980</v>
      </c>
      <c r="RMX1" s="16" t="s">
        <v>13981</v>
      </c>
      <c r="RMY1" s="16" t="s">
        <v>13982</v>
      </c>
      <c r="RMZ1" s="16" t="s">
        <v>13983</v>
      </c>
      <c r="RNA1" s="16" t="s">
        <v>13984</v>
      </c>
      <c r="RNB1" s="16" t="s">
        <v>13985</v>
      </c>
      <c r="RNC1" s="16" t="s">
        <v>13986</v>
      </c>
      <c r="RND1" s="16" t="s">
        <v>13987</v>
      </c>
      <c r="RNE1" s="16" t="s">
        <v>13988</v>
      </c>
      <c r="RNF1" s="16" t="s">
        <v>13989</v>
      </c>
      <c r="RNG1" s="16" t="s">
        <v>13990</v>
      </c>
      <c r="RNH1" s="16" t="s">
        <v>13991</v>
      </c>
      <c r="RNI1" s="16" t="s">
        <v>13992</v>
      </c>
      <c r="RNJ1" s="16" t="s">
        <v>13993</v>
      </c>
      <c r="RNK1" s="16" t="s">
        <v>13994</v>
      </c>
      <c r="RNL1" s="16" t="s">
        <v>13995</v>
      </c>
      <c r="RNM1" s="16" t="s">
        <v>13996</v>
      </c>
      <c r="RNN1" s="16" t="s">
        <v>13997</v>
      </c>
      <c r="RNO1" s="16" t="s">
        <v>13998</v>
      </c>
      <c r="RNP1" s="16" t="s">
        <v>13999</v>
      </c>
      <c r="RNQ1" s="16" t="s">
        <v>14000</v>
      </c>
      <c r="RNR1" s="16" t="s">
        <v>14001</v>
      </c>
      <c r="RNS1" s="16" t="s">
        <v>14002</v>
      </c>
      <c r="RNT1" s="16" t="s">
        <v>14003</v>
      </c>
      <c r="RNU1" s="16" t="s">
        <v>14004</v>
      </c>
      <c r="RNV1" s="16" t="s">
        <v>14005</v>
      </c>
      <c r="RNW1" s="16" t="s">
        <v>14006</v>
      </c>
      <c r="RNX1" s="16" t="s">
        <v>14007</v>
      </c>
      <c r="RNY1" s="16" t="s">
        <v>14008</v>
      </c>
      <c r="RNZ1" s="16" t="s">
        <v>14009</v>
      </c>
      <c r="ROA1" s="16" t="s">
        <v>14010</v>
      </c>
      <c r="ROB1" s="16" t="s">
        <v>14011</v>
      </c>
      <c r="ROC1" s="16" t="s">
        <v>14012</v>
      </c>
      <c r="ROD1" s="16" t="s">
        <v>14013</v>
      </c>
      <c r="ROE1" s="16" t="s">
        <v>14014</v>
      </c>
      <c r="ROF1" s="16" t="s">
        <v>14015</v>
      </c>
      <c r="ROG1" s="16" t="s">
        <v>14016</v>
      </c>
      <c r="ROH1" s="16" t="s">
        <v>14017</v>
      </c>
      <c r="ROI1" s="16" t="s">
        <v>14018</v>
      </c>
      <c r="ROJ1" s="16" t="s">
        <v>14019</v>
      </c>
      <c r="ROK1" s="16" t="s">
        <v>14020</v>
      </c>
      <c r="ROL1" s="16" t="s">
        <v>14021</v>
      </c>
      <c r="ROM1" s="16" t="s">
        <v>14022</v>
      </c>
      <c r="RON1" s="16" t="s">
        <v>14023</v>
      </c>
      <c r="ROO1" s="16" t="s">
        <v>14024</v>
      </c>
      <c r="ROP1" s="16" t="s">
        <v>14025</v>
      </c>
      <c r="ROQ1" s="16" t="s">
        <v>14026</v>
      </c>
      <c r="ROR1" s="16" t="s">
        <v>14027</v>
      </c>
      <c r="ROS1" s="16" t="s">
        <v>14028</v>
      </c>
      <c r="ROT1" s="16" t="s">
        <v>14029</v>
      </c>
      <c r="ROU1" s="16" t="s">
        <v>14030</v>
      </c>
      <c r="ROV1" s="16" t="s">
        <v>14031</v>
      </c>
      <c r="ROW1" s="16" t="s">
        <v>14032</v>
      </c>
      <c r="ROX1" s="16" t="s">
        <v>14033</v>
      </c>
      <c r="ROY1" s="16" t="s">
        <v>14034</v>
      </c>
      <c r="ROZ1" s="16" t="s">
        <v>14035</v>
      </c>
      <c r="RPA1" s="16" t="s">
        <v>14036</v>
      </c>
      <c r="RPB1" s="16" t="s">
        <v>14037</v>
      </c>
      <c r="RPC1" s="16" t="s">
        <v>14038</v>
      </c>
      <c r="RPD1" s="16" t="s">
        <v>14039</v>
      </c>
      <c r="RPE1" s="16" t="s">
        <v>14040</v>
      </c>
      <c r="RPF1" s="16" t="s">
        <v>14041</v>
      </c>
      <c r="RPG1" s="16" t="s">
        <v>14042</v>
      </c>
      <c r="RPH1" s="16" t="s">
        <v>14043</v>
      </c>
      <c r="RPI1" s="16" t="s">
        <v>14044</v>
      </c>
      <c r="RPJ1" s="16" t="s">
        <v>14045</v>
      </c>
      <c r="RPK1" s="16" t="s">
        <v>14046</v>
      </c>
      <c r="RPL1" s="16" t="s">
        <v>14047</v>
      </c>
      <c r="RPM1" s="16" t="s">
        <v>14048</v>
      </c>
      <c r="RPN1" s="16" t="s">
        <v>14049</v>
      </c>
      <c r="RPO1" s="16" t="s">
        <v>14050</v>
      </c>
      <c r="RPP1" s="16" t="s">
        <v>14051</v>
      </c>
      <c r="RPQ1" s="16" t="s">
        <v>14052</v>
      </c>
      <c r="RPR1" s="16" t="s">
        <v>14053</v>
      </c>
      <c r="RPS1" s="16" t="s">
        <v>14054</v>
      </c>
      <c r="RPT1" s="16" t="s">
        <v>14055</v>
      </c>
      <c r="RPU1" s="16" t="s">
        <v>14056</v>
      </c>
      <c r="RPV1" s="16" t="s">
        <v>14057</v>
      </c>
      <c r="RPW1" s="16" t="s">
        <v>14058</v>
      </c>
      <c r="RPX1" s="16" t="s">
        <v>14059</v>
      </c>
      <c r="RPY1" s="16" t="s">
        <v>14060</v>
      </c>
      <c r="RPZ1" s="16" t="s">
        <v>14061</v>
      </c>
      <c r="RQA1" s="16" t="s">
        <v>14062</v>
      </c>
      <c r="RQB1" s="16" t="s">
        <v>14063</v>
      </c>
      <c r="RQC1" s="16" t="s">
        <v>14064</v>
      </c>
      <c r="RQD1" s="16" t="s">
        <v>14065</v>
      </c>
      <c r="RQE1" s="16" t="s">
        <v>14066</v>
      </c>
      <c r="RQF1" s="16" t="s">
        <v>14067</v>
      </c>
      <c r="RQG1" s="16" t="s">
        <v>14068</v>
      </c>
      <c r="RQH1" s="16" t="s">
        <v>14069</v>
      </c>
      <c r="RQI1" s="16" t="s">
        <v>14070</v>
      </c>
      <c r="RQJ1" s="16" t="s">
        <v>14071</v>
      </c>
      <c r="RQK1" s="16" t="s">
        <v>14072</v>
      </c>
      <c r="RQL1" s="16" t="s">
        <v>14073</v>
      </c>
      <c r="RQM1" s="16" t="s">
        <v>14074</v>
      </c>
      <c r="RQN1" s="16" t="s">
        <v>14075</v>
      </c>
      <c r="RQO1" s="16" t="s">
        <v>14076</v>
      </c>
      <c r="RQP1" s="16" t="s">
        <v>14077</v>
      </c>
      <c r="RQQ1" s="16" t="s">
        <v>14078</v>
      </c>
      <c r="RQR1" s="16" t="s">
        <v>14079</v>
      </c>
      <c r="RQS1" s="16" t="s">
        <v>14080</v>
      </c>
      <c r="RQT1" s="16" t="s">
        <v>14081</v>
      </c>
      <c r="RQU1" s="16" t="s">
        <v>14082</v>
      </c>
      <c r="RQV1" s="16" t="s">
        <v>14083</v>
      </c>
      <c r="RQW1" s="16" t="s">
        <v>14084</v>
      </c>
      <c r="RQX1" s="16" t="s">
        <v>14085</v>
      </c>
      <c r="RQY1" s="16" t="s">
        <v>14086</v>
      </c>
      <c r="RQZ1" s="16" t="s">
        <v>14087</v>
      </c>
      <c r="RRA1" s="16" t="s">
        <v>14088</v>
      </c>
      <c r="RRB1" s="16" t="s">
        <v>14089</v>
      </c>
      <c r="RRC1" s="16" t="s">
        <v>14090</v>
      </c>
      <c r="RRD1" s="16" t="s">
        <v>14091</v>
      </c>
      <c r="RRE1" s="16" t="s">
        <v>14092</v>
      </c>
      <c r="RRF1" s="16" t="s">
        <v>14093</v>
      </c>
      <c r="RRG1" s="16" t="s">
        <v>14094</v>
      </c>
      <c r="RRH1" s="16" t="s">
        <v>14095</v>
      </c>
      <c r="RRI1" s="16" t="s">
        <v>14096</v>
      </c>
      <c r="RRJ1" s="16" t="s">
        <v>14097</v>
      </c>
      <c r="RRK1" s="16" t="s">
        <v>14098</v>
      </c>
      <c r="RRL1" s="16" t="s">
        <v>14099</v>
      </c>
      <c r="RRM1" s="16" t="s">
        <v>14100</v>
      </c>
      <c r="RRN1" s="16" t="s">
        <v>14101</v>
      </c>
      <c r="RRO1" s="16" t="s">
        <v>14102</v>
      </c>
      <c r="RRP1" s="16" t="s">
        <v>14103</v>
      </c>
      <c r="RRQ1" s="16" t="s">
        <v>14104</v>
      </c>
      <c r="RRR1" s="16" t="s">
        <v>14105</v>
      </c>
      <c r="RRS1" s="16" t="s">
        <v>14106</v>
      </c>
      <c r="RRT1" s="16" t="s">
        <v>14107</v>
      </c>
      <c r="RRU1" s="16" t="s">
        <v>14108</v>
      </c>
      <c r="RRV1" s="16" t="s">
        <v>14109</v>
      </c>
      <c r="RRW1" s="16" t="s">
        <v>14110</v>
      </c>
      <c r="RRX1" s="16" t="s">
        <v>14111</v>
      </c>
      <c r="RRY1" s="16" t="s">
        <v>14112</v>
      </c>
      <c r="RRZ1" s="16" t="s">
        <v>14113</v>
      </c>
      <c r="RSA1" s="16" t="s">
        <v>14114</v>
      </c>
      <c r="RSB1" s="16" t="s">
        <v>14115</v>
      </c>
      <c r="RSC1" s="16" t="s">
        <v>14116</v>
      </c>
      <c r="RSD1" s="16" t="s">
        <v>14117</v>
      </c>
      <c r="RSE1" s="16" t="s">
        <v>14118</v>
      </c>
      <c r="RSF1" s="16" t="s">
        <v>14119</v>
      </c>
      <c r="RSG1" s="16" t="s">
        <v>14120</v>
      </c>
      <c r="RSH1" s="16" t="s">
        <v>14121</v>
      </c>
      <c r="RSI1" s="16" t="s">
        <v>14122</v>
      </c>
      <c r="RSJ1" s="16" t="s">
        <v>14123</v>
      </c>
      <c r="RSK1" s="16" t="s">
        <v>14124</v>
      </c>
      <c r="RSL1" s="16" t="s">
        <v>14125</v>
      </c>
      <c r="RSM1" s="16" t="s">
        <v>14126</v>
      </c>
      <c r="RSN1" s="16" t="s">
        <v>14127</v>
      </c>
      <c r="RSO1" s="16" t="s">
        <v>14128</v>
      </c>
      <c r="RSP1" s="16" t="s">
        <v>14129</v>
      </c>
      <c r="RSQ1" s="16" t="s">
        <v>14130</v>
      </c>
      <c r="RSR1" s="16" t="s">
        <v>14131</v>
      </c>
      <c r="RSS1" s="16" t="s">
        <v>14132</v>
      </c>
      <c r="RST1" s="16" t="s">
        <v>14133</v>
      </c>
      <c r="RSU1" s="16" t="s">
        <v>14134</v>
      </c>
      <c r="RSV1" s="16" t="s">
        <v>14135</v>
      </c>
      <c r="RSW1" s="16" t="s">
        <v>14136</v>
      </c>
      <c r="RSX1" s="16" t="s">
        <v>14137</v>
      </c>
      <c r="RSY1" s="16" t="s">
        <v>14138</v>
      </c>
      <c r="RSZ1" s="16" t="s">
        <v>14139</v>
      </c>
      <c r="RTA1" s="16" t="s">
        <v>14140</v>
      </c>
      <c r="RTB1" s="16" t="s">
        <v>14141</v>
      </c>
      <c r="RTC1" s="16" t="s">
        <v>14142</v>
      </c>
      <c r="RTD1" s="16" t="s">
        <v>14143</v>
      </c>
      <c r="RTE1" s="16" t="s">
        <v>14144</v>
      </c>
      <c r="RTF1" s="16" t="s">
        <v>14145</v>
      </c>
      <c r="RTG1" s="16" t="s">
        <v>14146</v>
      </c>
      <c r="RTH1" s="16" t="s">
        <v>14147</v>
      </c>
      <c r="RTI1" s="16" t="s">
        <v>14148</v>
      </c>
      <c r="RTJ1" s="16" t="s">
        <v>14149</v>
      </c>
      <c r="RTK1" s="16" t="s">
        <v>14150</v>
      </c>
      <c r="RTL1" s="16" t="s">
        <v>14151</v>
      </c>
      <c r="RTM1" s="16" t="s">
        <v>14152</v>
      </c>
      <c r="RTN1" s="16" t="s">
        <v>14153</v>
      </c>
      <c r="RTO1" s="16" t="s">
        <v>14154</v>
      </c>
      <c r="RTP1" s="16" t="s">
        <v>14155</v>
      </c>
      <c r="RTQ1" s="16" t="s">
        <v>14156</v>
      </c>
      <c r="RTR1" s="16" t="s">
        <v>14157</v>
      </c>
      <c r="RTS1" s="16" t="s">
        <v>14158</v>
      </c>
      <c r="RTT1" s="16" t="s">
        <v>14159</v>
      </c>
      <c r="RTU1" s="16" t="s">
        <v>14160</v>
      </c>
      <c r="RTV1" s="16" t="s">
        <v>14161</v>
      </c>
      <c r="RTW1" s="16" t="s">
        <v>14162</v>
      </c>
      <c r="RTX1" s="16" t="s">
        <v>14163</v>
      </c>
      <c r="RTY1" s="16" t="s">
        <v>14164</v>
      </c>
      <c r="RTZ1" s="16" t="s">
        <v>14165</v>
      </c>
      <c r="RUA1" s="16" t="s">
        <v>14166</v>
      </c>
      <c r="RUB1" s="16" t="s">
        <v>14167</v>
      </c>
      <c r="RUC1" s="16" t="s">
        <v>14168</v>
      </c>
      <c r="RUD1" s="16" t="s">
        <v>14169</v>
      </c>
      <c r="RUE1" s="16" t="s">
        <v>14170</v>
      </c>
      <c r="RUF1" s="16" t="s">
        <v>14171</v>
      </c>
      <c r="RUG1" s="16" t="s">
        <v>14172</v>
      </c>
      <c r="RUH1" s="16" t="s">
        <v>14173</v>
      </c>
      <c r="RUI1" s="16" t="s">
        <v>14174</v>
      </c>
      <c r="RUJ1" s="16" t="s">
        <v>14175</v>
      </c>
      <c r="RUK1" s="16" t="s">
        <v>14176</v>
      </c>
      <c r="RUL1" s="16" t="s">
        <v>14177</v>
      </c>
      <c r="RUM1" s="16" t="s">
        <v>14178</v>
      </c>
      <c r="RUN1" s="16" t="s">
        <v>14179</v>
      </c>
      <c r="RUO1" s="16" t="s">
        <v>14180</v>
      </c>
      <c r="RUP1" s="16" t="s">
        <v>14181</v>
      </c>
      <c r="RUQ1" s="16" t="s">
        <v>14182</v>
      </c>
      <c r="RUR1" s="16" t="s">
        <v>14183</v>
      </c>
      <c r="RUS1" s="16" t="s">
        <v>14184</v>
      </c>
      <c r="RUT1" s="16" t="s">
        <v>14185</v>
      </c>
      <c r="RUU1" s="16" t="s">
        <v>14186</v>
      </c>
      <c r="RUV1" s="16" t="s">
        <v>14187</v>
      </c>
      <c r="RUW1" s="16" t="s">
        <v>14188</v>
      </c>
      <c r="RUX1" s="16" t="s">
        <v>14189</v>
      </c>
      <c r="RUY1" s="16" t="s">
        <v>14190</v>
      </c>
      <c r="RUZ1" s="16" t="s">
        <v>14191</v>
      </c>
      <c r="RVA1" s="16" t="s">
        <v>14192</v>
      </c>
      <c r="RVB1" s="16" t="s">
        <v>14193</v>
      </c>
      <c r="RVC1" s="16" t="s">
        <v>14194</v>
      </c>
      <c r="RVD1" s="16" t="s">
        <v>14195</v>
      </c>
      <c r="RVE1" s="16" t="s">
        <v>14196</v>
      </c>
      <c r="RVF1" s="16" t="s">
        <v>14197</v>
      </c>
      <c r="RVG1" s="16" t="s">
        <v>14198</v>
      </c>
      <c r="RVH1" s="16" t="s">
        <v>14199</v>
      </c>
      <c r="RVI1" s="16" t="s">
        <v>14200</v>
      </c>
      <c r="RVJ1" s="16" t="s">
        <v>14201</v>
      </c>
      <c r="RVK1" s="16" t="s">
        <v>14202</v>
      </c>
      <c r="RVL1" s="16" t="s">
        <v>14203</v>
      </c>
      <c r="RVM1" s="16" t="s">
        <v>14204</v>
      </c>
      <c r="RVN1" s="16" t="s">
        <v>14205</v>
      </c>
      <c r="RVO1" s="16" t="s">
        <v>14206</v>
      </c>
      <c r="RVP1" s="16" t="s">
        <v>14207</v>
      </c>
      <c r="RVQ1" s="16" t="s">
        <v>14208</v>
      </c>
      <c r="RVR1" s="16" t="s">
        <v>14209</v>
      </c>
      <c r="RVS1" s="16" t="s">
        <v>14210</v>
      </c>
      <c r="RVT1" s="16" t="s">
        <v>14211</v>
      </c>
      <c r="RVU1" s="16" t="s">
        <v>14212</v>
      </c>
      <c r="RVV1" s="16" t="s">
        <v>14213</v>
      </c>
      <c r="RVW1" s="16" t="s">
        <v>14214</v>
      </c>
      <c r="RVX1" s="16" t="s">
        <v>14215</v>
      </c>
      <c r="RVY1" s="16" t="s">
        <v>14216</v>
      </c>
      <c r="RVZ1" s="16" t="s">
        <v>14217</v>
      </c>
      <c r="RWA1" s="16" t="s">
        <v>14218</v>
      </c>
      <c r="RWB1" s="16" t="s">
        <v>14219</v>
      </c>
      <c r="RWC1" s="16" t="s">
        <v>14220</v>
      </c>
      <c r="RWD1" s="16" t="s">
        <v>14221</v>
      </c>
      <c r="RWE1" s="16" t="s">
        <v>14222</v>
      </c>
      <c r="RWF1" s="16" t="s">
        <v>14223</v>
      </c>
      <c r="RWG1" s="16" t="s">
        <v>14224</v>
      </c>
      <c r="RWH1" s="16" t="s">
        <v>14225</v>
      </c>
      <c r="RWI1" s="16" t="s">
        <v>14226</v>
      </c>
      <c r="RWJ1" s="16" t="s">
        <v>14227</v>
      </c>
      <c r="RWK1" s="16" t="s">
        <v>14228</v>
      </c>
      <c r="RWL1" s="16" t="s">
        <v>14229</v>
      </c>
      <c r="RWM1" s="16" t="s">
        <v>14230</v>
      </c>
      <c r="RWN1" s="16" t="s">
        <v>14231</v>
      </c>
      <c r="RWO1" s="16" t="s">
        <v>14232</v>
      </c>
      <c r="RWP1" s="16" t="s">
        <v>14233</v>
      </c>
      <c r="RWQ1" s="16" t="s">
        <v>14234</v>
      </c>
      <c r="RWR1" s="16" t="s">
        <v>14235</v>
      </c>
      <c r="RWS1" s="16" t="s">
        <v>14236</v>
      </c>
      <c r="RWT1" s="16" t="s">
        <v>14237</v>
      </c>
      <c r="RWU1" s="16" t="s">
        <v>14238</v>
      </c>
      <c r="RWV1" s="16" t="s">
        <v>14239</v>
      </c>
      <c r="RWW1" s="16" t="s">
        <v>14240</v>
      </c>
      <c r="RWX1" s="16" t="s">
        <v>14241</v>
      </c>
      <c r="RWY1" s="16" t="s">
        <v>14242</v>
      </c>
      <c r="RWZ1" s="16" t="s">
        <v>14243</v>
      </c>
      <c r="RXA1" s="16" t="s">
        <v>14244</v>
      </c>
      <c r="RXB1" s="16" t="s">
        <v>14245</v>
      </c>
      <c r="RXC1" s="16" t="s">
        <v>14246</v>
      </c>
      <c r="RXD1" s="16" t="s">
        <v>14247</v>
      </c>
      <c r="RXE1" s="16" t="s">
        <v>14248</v>
      </c>
      <c r="RXF1" s="16" t="s">
        <v>14249</v>
      </c>
      <c r="RXG1" s="16" t="s">
        <v>14250</v>
      </c>
      <c r="RXH1" s="16" t="s">
        <v>14251</v>
      </c>
      <c r="RXI1" s="16" t="s">
        <v>14252</v>
      </c>
      <c r="RXJ1" s="16" t="s">
        <v>14253</v>
      </c>
      <c r="RXK1" s="16" t="s">
        <v>14254</v>
      </c>
      <c r="RXL1" s="16" t="s">
        <v>14255</v>
      </c>
      <c r="RXM1" s="16" t="s">
        <v>14256</v>
      </c>
      <c r="RXN1" s="16" t="s">
        <v>14257</v>
      </c>
      <c r="RXO1" s="16" t="s">
        <v>14258</v>
      </c>
      <c r="RXP1" s="16" t="s">
        <v>14259</v>
      </c>
      <c r="RXQ1" s="16" t="s">
        <v>14260</v>
      </c>
      <c r="RXR1" s="16" t="s">
        <v>14261</v>
      </c>
      <c r="RXS1" s="16" t="s">
        <v>14262</v>
      </c>
      <c r="RXT1" s="16" t="s">
        <v>14263</v>
      </c>
      <c r="RXU1" s="16" t="s">
        <v>14264</v>
      </c>
      <c r="RXV1" s="16" t="s">
        <v>14265</v>
      </c>
      <c r="RXW1" s="16" t="s">
        <v>14266</v>
      </c>
      <c r="RXX1" s="16" t="s">
        <v>14267</v>
      </c>
      <c r="RXY1" s="16" t="s">
        <v>14268</v>
      </c>
      <c r="RXZ1" s="16" t="s">
        <v>14269</v>
      </c>
      <c r="RYA1" s="16" t="s">
        <v>14270</v>
      </c>
      <c r="RYB1" s="16" t="s">
        <v>14271</v>
      </c>
      <c r="RYC1" s="16" t="s">
        <v>14272</v>
      </c>
      <c r="RYD1" s="16" t="s">
        <v>14273</v>
      </c>
      <c r="RYE1" s="16" t="s">
        <v>14274</v>
      </c>
      <c r="RYF1" s="16" t="s">
        <v>14275</v>
      </c>
      <c r="RYG1" s="16" t="s">
        <v>14276</v>
      </c>
      <c r="RYH1" s="16" t="s">
        <v>14277</v>
      </c>
      <c r="RYI1" s="16" t="s">
        <v>14278</v>
      </c>
      <c r="RYJ1" s="16" t="s">
        <v>14279</v>
      </c>
      <c r="RYK1" s="16" t="s">
        <v>14280</v>
      </c>
      <c r="RYL1" s="16" t="s">
        <v>14281</v>
      </c>
      <c r="RYM1" s="16" t="s">
        <v>14282</v>
      </c>
      <c r="RYN1" s="16" t="s">
        <v>14283</v>
      </c>
      <c r="RYO1" s="16" t="s">
        <v>14284</v>
      </c>
      <c r="RYP1" s="16" t="s">
        <v>14285</v>
      </c>
      <c r="RYQ1" s="16" t="s">
        <v>14286</v>
      </c>
      <c r="RYR1" s="16" t="s">
        <v>14287</v>
      </c>
      <c r="RYS1" s="16" t="s">
        <v>14288</v>
      </c>
      <c r="RYT1" s="16" t="s">
        <v>14289</v>
      </c>
      <c r="RYU1" s="16" t="s">
        <v>14290</v>
      </c>
      <c r="RYV1" s="16" t="s">
        <v>14291</v>
      </c>
      <c r="RYW1" s="16" t="s">
        <v>14292</v>
      </c>
      <c r="RYX1" s="16" t="s">
        <v>14293</v>
      </c>
      <c r="RYY1" s="16" t="s">
        <v>14294</v>
      </c>
      <c r="RYZ1" s="16" t="s">
        <v>14295</v>
      </c>
      <c r="RZA1" s="16" t="s">
        <v>14296</v>
      </c>
      <c r="RZB1" s="16" t="s">
        <v>14297</v>
      </c>
      <c r="RZC1" s="16" t="s">
        <v>14298</v>
      </c>
      <c r="RZD1" s="16" t="s">
        <v>14299</v>
      </c>
      <c r="RZE1" s="16" t="s">
        <v>14300</v>
      </c>
      <c r="RZF1" s="16" t="s">
        <v>14301</v>
      </c>
      <c r="RZG1" s="16" t="s">
        <v>14302</v>
      </c>
      <c r="RZH1" s="16" t="s">
        <v>14303</v>
      </c>
      <c r="RZI1" s="16" t="s">
        <v>14304</v>
      </c>
      <c r="RZJ1" s="16" t="s">
        <v>14305</v>
      </c>
      <c r="RZK1" s="16" t="s">
        <v>14306</v>
      </c>
      <c r="RZL1" s="16" t="s">
        <v>14307</v>
      </c>
      <c r="RZM1" s="16" t="s">
        <v>14308</v>
      </c>
      <c r="RZN1" s="16" t="s">
        <v>14309</v>
      </c>
      <c r="RZO1" s="16" t="s">
        <v>14310</v>
      </c>
      <c r="RZP1" s="16" t="s">
        <v>14311</v>
      </c>
      <c r="RZQ1" s="16" t="s">
        <v>14312</v>
      </c>
      <c r="RZR1" s="16" t="s">
        <v>14313</v>
      </c>
      <c r="RZS1" s="16" t="s">
        <v>14314</v>
      </c>
      <c r="RZT1" s="16" t="s">
        <v>14315</v>
      </c>
      <c r="RZU1" s="16" t="s">
        <v>14316</v>
      </c>
      <c r="RZV1" s="16" t="s">
        <v>14317</v>
      </c>
      <c r="RZW1" s="16" t="s">
        <v>14318</v>
      </c>
      <c r="RZX1" s="16" t="s">
        <v>14319</v>
      </c>
      <c r="RZY1" s="16" t="s">
        <v>14320</v>
      </c>
      <c r="RZZ1" s="16" t="s">
        <v>14321</v>
      </c>
      <c r="SAA1" s="16" t="s">
        <v>14322</v>
      </c>
      <c r="SAB1" s="16" t="s">
        <v>14323</v>
      </c>
      <c r="SAC1" s="16" t="s">
        <v>14324</v>
      </c>
      <c r="SAD1" s="16" t="s">
        <v>14325</v>
      </c>
      <c r="SAE1" s="16" t="s">
        <v>14326</v>
      </c>
      <c r="SAF1" s="16" t="s">
        <v>14327</v>
      </c>
      <c r="SAG1" s="16" t="s">
        <v>14328</v>
      </c>
      <c r="SAH1" s="16" t="s">
        <v>14329</v>
      </c>
      <c r="SAI1" s="16" t="s">
        <v>14330</v>
      </c>
      <c r="SAJ1" s="16" t="s">
        <v>14331</v>
      </c>
      <c r="SAK1" s="16" t="s">
        <v>14332</v>
      </c>
      <c r="SAL1" s="16" t="s">
        <v>14333</v>
      </c>
      <c r="SAM1" s="16" t="s">
        <v>14334</v>
      </c>
      <c r="SAN1" s="16" t="s">
        <v>14335</v>
      </c>
      <c r="SAO1" s="16" t="s">
        <v>14336</v>
      </c>
      <c r="SAP1" s="16" t="s">
        <v>14337</v>
      </c>
      <c r="SAQ1" s="16" t="s">
        <v>14338</v>
      </c>
      <c r="SAR1" s="16" t="s">
        <v>14339</v>
      </c>
      <c r="SAS1" s="16" t="s">
        <v>14340</v>
      </c>
      <c r="SAT1" s="16" t="s">
        <v>14341</v>
      </c>
      <c r="SAU1" s="16" t="s">
        <v>14342</v>
      </c>
      <c r="SAV1" s="16" t="s">
        <v>14343</v>
      </c>
      <c r="SAW1" s="16" t="s">
        <v>14344</v>
      </c>
      <c r="SAX1" s="16" t="s">
        <v>14345</v>
      </c>
      <c r="SAY1" s="16" t="s">
        <v>14346</v>
      </c>
      <c r="SAZ1" s="16" t="s">
        <v>14347</v>
      </c>
      <c r="SBA1" s="16" t="s">
        <v>14348</v>
      </c>
      <c r="SBB1" s="16" t="s">
        <v>14349</v>
      </c>
      <c r="SBC1" s="16" t="s">
        <v>14350</v>
      </c>
      <c r="SBD1" s="16" t="s">
        <v>14351</v>
      </c>
      <c r="SBE1" s="16" t="s">
        <v>14352</v>
      </c>
      <c r="SBF1" s="16" t="s">
        <v>14353</v>
      </c>
      <c r="SBG1" s="16" t="s">
        <v>14354</v>
      </c>
      <c r="SBH1" s="16" t="s">
        <v>14355</v>
      </c>
      <c r="SBI1" s="16" t="s">
        <v>14356</v>
      </c>
      <c r="SBJ1" s="16" t="s">
        <v>14357</v>
      </c>
      <c r="SBK1" s="16" t="s">
        <v>14358</v>
      </c>
      <c r="SBL1" s="16" t="s">
        <v>14359</v>
      </c>
      <c r="SBM1" s="16" t="s">
        <v>14360</v>
      </c>
      <c r="SBN1" s="16" t="s">
        <v>14361</v>
      </c>
      <c r="SBO1" s="16" t="s">
        <v>14362</v>
      </c>
      <c r="SBP1" s="16" t="s">
        <v>14363</v>
      </c>
      <c r="SBQ1" s="16" t="s">
        <v>14364</v>
      </c>
      <c r="SBR1" s="16" t="s">
        <v>14365</v>
      </c>
      <c r="SBS1" s="16" t="s">
        <v>14366</v>
      </c>
      <c r="SBT1" s="16" t="s">
        <v>14367</v>
      </c>
      <c r="SBU1" s="16" t="s">
        <v>14368</v>
      </c>
      <c r="SBV1" s="16" t="s">
        <v>14369</v>
      </c>
      <c r="SBW1" s="16" t="s">
        <v>14370</v>
      </c>
      <c r="SBX1" s="16" t="s">
        <v>14371</v>
      </c>
      <c r="SBY1" s="16" t="s">
        <v>14372</v>
      </c>
      <c r="SBZ1" s="16" t="s">
        <v>14373</v>
      </c>
      <c r="SCA1" s="16" t="s">
        <v>14374</v>
      </c>
      <c r="SCB1" s="16" t="s">
        <v>14375</v>
      </c>
      <c r="SCC1" s="16" t="s">
        <v>14376</v>
      </c>
      <c r="SCD1" s="16" t="s">
        <v>14377</v>
      </c>
      <c r="SCE1" s="16" t="s">
        <v>14378</v>
      </c>
      <c r="SCF1" s="16" t="s">
        <v>14379</v>
      </c>
      <c r="SCG1" s="16" t="s">
        <v>14380</v>
      </c>
      <c r="SCH1" s="16" t="s">
        <v>14381</v>
      </c>
      <c r="SCI1" s="16" t="s">
        <v>14382</v>
      </c>
      <c r="SCJ1" s="16" t="s">
        <v>14383</v>
      </c>
      <c r="SCK1" s="16" t="s">
        <v>14384</v>
      </c>
      <c r="SCL1" s="16" t="s">
        <v>14385</v>
      </c>
      <c r="SCM1" s="16" t="s">
        <v>14386</v>
      </c>
      <c r="SCN1" s="16" t="s">
        <v>14387</v>
      </c>
      <c r="SCO1" s="16" t="s">
        <v>14388</v>
      </c>
      <c r="SCP1" s="16" t="s">
        <v>14389</v>
      </c>
      <c r="SCQ1" s="16" t="s">
        <v>14390</v>
      </c>
      <c r="SCR1" s="16" t="s">
        <v>14391</v>
      </c>
      <c r="SCS1" s="16" t="s">
        <v>14392</v>
      </c>
      <c r="SCT1" s="16" t="s">
        <v>14393</v>
      </c>
      <c r="SCU1" s="16" t="s">
        <v>14394</v>
      </c>
      <c r="SCV1" s="16" t="s">
        <v>14395</v>
      </c>
      <c r="SCW1" s="16" t="s">
        <v>14396</v>
      </c>
      <c r="SCX1" s="16" t="s">
        <v>14397</v>
      </c>
      <c r="SCY1" s="16" t="s">
        <v>14398</v>
      </c>
      <c r="SCZ1" s="16" t="s">
        <v>14399</v>
      </c>
      <c r="SDA1" s="16" t="s">
        <v>14400</v>
      </c>
      <c r="SDB1" s="16" t="s">
        <v>14401</v>
      </c>
      <c r="SDC1" s="16" t="s">
        <v>14402</v>
      </c>
      <c r="SDD1" s="16" t="s">
        <v>14403</v>
      </c>
      <c r="SDE1" s="16" t="s">
        <v>14404</v>
      </c>
      <c r="SDF1" s="16" t="s">
        <v>14405</v>
      </c>
      <c r="SDG1" s="16" t="s">
        <v>14406</v>
      </c>
      <c r="SDH1" s="16" t="s">
        <v>14407</v>
      </c>
      <c r="SDI1" s="16" t="s">
        <v>14408</v>
      </c>
      <c r="SDJ1" s="16" t="s">
        <v>14409</v>
      </c>
      <c r="SDK1" s="16" t="s">
        <v>14410</v>
      </c>
      <c r="SDL1" s="16" t="s">
        <v>14411</v>
      </c>
      <c r="SDM1" s="16" t="s">
        <v>14412</v>
      </c>
      <c r="SDN1" s="16" t="s">
        <v>14413</v>
      </c>
      <c r="SDO1" s="16" t="s">
        <v>14414</v>
      </c>
      <c r="SDP1" s="16" t="s">
        <v>14415</v>
      </c>
      <c r="SDQ1" s="16" t="s">
        <v>14416</v>
      </c>
      <c r="SDR1" s="16" t="s">
        <v>14417</v>
      </c>
      <c r="SDS1" s="16" t="s">
        <v>14418</v>
      </c>
      <c r="SDT1" s="16" t="s">
        <v>14419</v>
      </c>
      <c r="SDU1" s="16" t="s">
        <v>14420</v>
      </c>
      <c r="SDV1" s="16" t="s">
        <v>14421</v>
      </c>
      <c r="SDW1" s="16" t="s">
        <v>14422</v>
      </c>
      <c r="SDX1" s="16" t="s">
        <v>14423</v>
      </c>
      <c r="SDY1" s="16" t="s">
        <v>14424</v>
      </c>
      <c r="SDZ1" s="16" t="s">
        <v>14425</v>
      </c>
      <c r="SEA1" s="16" t="s">
        <v>14426</v>
      </c>
      <c r="SEB1" s="16" t="s">
        <v>14427</v>
      </c>
      <c r="SEC1" s="16" t="s">
        <v>14428</v>
      </c>
      <c r="SED1" s="16" t="s">
        <v>14429</v>
      </c>
      <c r="SEE1" s="16" t="s">
        <v>14430</v>
      </c>
      <c r="SEF1" s="16" t="s">
        <v>14431</v>
      </c>
      <c r="SEG1" s="16" t="s">
        <v>14432</v>
      </c>
      <c r="SEH1" s="16" t="s">
        <v>14433</v>
      </c>
      <c r="SEI1" s="16" t="s">
        <v>14434</v>
      </c>
      <c r="SEJ1" s="16" t="s">
        <v>14435</v>
      </c>
      <c r="SEK1" s="16" t="s">
        <v>14436</v>
      </c>
      <c r="SEL1" s="16" t="s">
        <v>14437</v>
      </c>
      <c r="SEM1" s="16" t="s">
        <v>14438</v>
      </c>
      <c r="SEN1" s="16" t="s">
        <v>14439</v>
      </c>
      <c r="SEO1" s="16" t="s">
        <v>14440</v>
      </c>
      <c r="SEP1" s="16" t="s">
        <v>14441</v>
      </c>
      <c r="SEQ1" s="16" t="s">
        <v>14442</v>
      </c>
      <c r="SER1" s="16" t="s">
        <v>14443</v>
      </c>
      <c r="SES1" s="16" t="s">
        <v>14444</v>
      </c>
      <c r="SET1" s="16" t="s">
        <v>14445</v>
      </c>
      <c r="SEU1" s="16" t="s">
        <v>14446</v>
      </c>
      <c r="SEV1" s="16" t="s">
        <v>14447</v>
      </c>
      <c r="SEW1" s="16" t="s">
        <v>14448</v>
      </c>
      <c r="SEX1" s="16" t="s">
        <v>14449</v>
      </c>
      <c r="SEY1" s="16" t="s">
        <v>14450</v>
      </c>
      <c r="SEZ1" s="16" t="s">
        <v>14451</v>
      </c>
      <c r="SFA1" s="16" t="s">
        <v>14452</v>
      </c>
      <c r="SFB1" s="16" t="s">
        <v>14453</v>
      </c>
      <c r="SFC1" s="16" t="s">
        <v>14454</v>
      </c>
      <c r="SFD1" s="16" t="s">
        <v>14455</v>
      </c>
      <c r="SFE1" s="16" t="s">
        <v>14456</v>
      </c>
      <c r="SFF1" s="16" t="s">
        <v>14457</v>
      </c>
      <c r="SFG1" s="16" t="s">
        <v>14458</v>
      </c>
      <c r="SFH1" s="16" t="s">
        <v>14459</v>
      </c>
      <c r="SFI1" s="16" t="s">
        <v>14460</v>
      </c>
      <c r="SFJ1" s="16" t="s">
        <v>14461</v>
      </c>
      <c r="SFK1" s="16" t="s">
        <v>14462</v>
      </c>
      <c r="SFL1" s="16" t="s">
        <v>14463</v>
      </c>
      <c r="SFM1" s="16" t="s">
        <v>14464</v>
      </c>
      <c r="SFN1" s="16" t="s">
        <v>14465</v>
      </c>
      <c r="SFO1" s="16" t="s">
        <v>14466</v>
      </c>
      <c r="SFP1" s="16" t="s">
        <v>14467</v>
      </c>
      <c r="SFQ1" s="16" t="s">
        <v>14468</v>
      </c>
      <c r="SFR1" s="16" t="s">
        <v>14469</v>
      </c>
      <c r="SFS1" s="16" t="s">
        <v>14470</v>
      </c>
      <c r="SFT1" s="16" t="s">
        <v>14471</v>
      </c>
      <c r="SFU1" s="16" t="s">
        <v>14472</v>
      </c>
      <c r="SFV1" s="16" t="s">
        <v>14473</v>
      </c>
      <c r="SFW1" s="16" t="s">
        <v>14474</v>
      </c>
      <c r="SFX1" s="16" t="s">
        <v>14475</v>
      </c>
      <c r="SFY1" s="16" t="s">
        <v>14476</v>
      </c>
      <c r="SFZ1" s="16" t="s">
        <v>14477</v>
      </c>
      <c r="SGA1" s="16" t="s">
        <v>14478</v>
      </c>
      <c r="SGB1" s="16" t="s">
        <v>14479</v>
      </c>
      <c r="SGC1" s="16" t="s">
        <v>14480</v>
      </c>
      <c r="SGD1" s="16" t="s">
        <v>14481</v>
      </c>
      <c r="SGE1" s="16" t="s">
        <v>14482</v>
      </c>
      <c r="SGF1" s="16" t="s">
        <v>14483</v>
      </c>
      <c r="SGG1" s="16" t="s">
        <v>14484</v>
      </c>
      <c r="SGH1" s="16" t="s">
        <v>14485</v>
      </c>
      <c r="SGI1" s="16" t="s">
        <v>14486</v>
      </c>
      <c r="SGJ1" s="16" t="s">
        <v>14487</v>
      </c>
      <c r="SGK1" s="16" t="s">
        <v>14488</v>
      </c>
      <c r="SGL1" s="16" t="s">
        <v>14489</v>
      </c>
      <c r="SGM1" s="16" t="s">
        <v>14490</v>
      </c>
      <c r="SGN1" s="16" t="s">
        <v>14491</v>
      </c>
      <c r="SGO1" s="16" t="s">
        <v>14492</v>
      </c>
      <c r="SGP1" s="16" t="s">
        <v>14493</v>
      </c>
      <c r="SGQ1" s="16" t="s">
        <v>14494</v>
      </c>
      <c r="SGR1" s="16" t="s">
        <v>14495</v>
      </c>
      <c r="SGS1" s="16" t="s">
        <v>14496</v>
      </c>
      <c r="SGT1" s="16" t="s">
        <v>14497</v>
      </c>
      <c r="SGU1" s="16" t="s">
        <v>14498</v>
      </c>
      <c r="SGV1" s="16" t="s">
        <v>14499</v>
      </c>
      <c r="SGW1" s="16" t="s">
        <v>14500</v>
      </c>
      <c r="SGX1" s="16" t="s">
        <v>14501</v>
      </c>
      <c r="SGY1" s="16" t="s">
        <v>14502</v>
      </c>
      <c r="SGZ1" s="16" t="s">
        <v>14503</v>
      </c>
      <c r="SHA1" s="16" t="s">
        <v>14504</v>
      </c>
      <c r="SHB1" s="16" t="s">
        <v>14505</v>
      </c>
      <c r="SHC1" s="16" t="s">
        <v>14506</v>
      </c>
      <c r="SHD1" s="16" t="s">
        <v>14507</v>
      </c>
      <c r="SHE1" s="16" t="s">
        <v>14508</v>
      </c>
      <c r="SHF1" s="16" t="s">
        <v>14509</v>
      </c>
      <c r="SHG1" s="16" t="s">
        <v>14510</v>
      </c>
      <c r="SHH1" s="16" t="s">
        <v>14511</v>
      </c>
      <c r="SHI1" s="16" t="s">
        <v>14512</v>
      </c>
      <c r="SHJ1" s="16" t="s">
        <v>14513</v>
      </c>
      <c r="SHK1" s="16" t="s">
        <v>14514</v>
      </c>
      <c r="SHL1" s="16" t="s">
        <v>14515</v>
      </c>
      <c r="SHM1" s="16" t="s">
        <v>14516</v>
      </c>
      <c r="SHN1" s="16" t="s">
        <v>14517</v>
      </c>
      <c r="SHO1" s="16" t="s">
        <v>14518</v>
      </c>
      <c r="SHP1" s="16" t="s">
        <v>14519</v>
      </c>
      <c r="SHQ1" s="16" t="s">
        <v>14520</v>
      </c>
      <c r="SHR1" s="16" t="s">
        <v>14521</v>
      </c>
      <c r="SHS1" s="16" t="s">
        <v>14522</v>
      </c>
      <c r="SHT1" s="16" t="s">
        <v>14523</v>
      </c>
      <c r="SHU1" s="16" t="s">
        <v>14524</v>
      </c>
      <c r="SHV1" s="16" t="s">
        <v>14525</v>
      </c>
      <c r="SHW1" s="16" t="s">
        <v>14526</v>
      </c>
      <c r="SHX1" s="16" t="s">
        <v>14527</v>
      </c>
      <c r="SHY1" s="16" t="s">
        <v>14528</v>
      </c>
      <c r="SHZ1" s="16" t="s">
        <v>14529</v>
      </c>
      <c r="SIA1" s="16" t="s">
        <v>14530</v>
      </c>
      <c r="SIB1" s="16" t="s">
        <v>14531</v>
      </c>
      <c r="SIC1" s="16" t="s">
        <v>14532</v>
      </c>
      <c r="SID1" s="16" t="s">
        <v>14533</v>
      </c>
      <c r="SIE1" s="16" t="s">
        <v>14534</v>
      </c>
      <c r="SIF1" s="16" t="s">
        <v>14535</v>
      </c>
      <c r="SIG1" s="16" t="s">
        <v>14536</v>
      </c>
      <c r="SIH1" s="16" t="s">
        <v>14537</v>
      </c>
      <c r="SII1" s="16" t="s">
        <v>14538</v>
      </c>
      <c r="SIJ1" s="16" t="s">
        <v>14539</v>
      </c>
      <c r="SIK1" s="16" t="s">
        <v>14540</v>
      </c>
      <c r="SIL1" s="16" t="s">
        <v>14541</v>
      </c>
      <c r="SIM1" s="16" t="s">
        <v>14542</v>
      </c>
      <c r="SIN1" s="16" t="s">
        <v>14543</v>
      </c>
      <c r="SIO1" s="16" t="s">
        <v>14544</v>
      </c>
      <c r="SIP1" s="16" t="s">
        <v>14545</v>
      </c>
      <c r="SIQ1" s="16" t="s">
        <v>14546</v>
      </c>
      <c r="SIR1" s="16" t="s">
        <v>14547</v>
      </c>
      <c r="SIS1" s="16" t="s">
        <v>14548</v>
      </c>
      <c r="SIT1" s="16" t="s">
        <v>14549</v>
      </c>
      <c r="SIU1" s="16" t="s">
        <v>14550</v>
      </c>
      <c r="SIV1" s="16" t="s">
        <v>14551</v>
      </c>
      <c r="SIW1" s="16" t="s">
        <v>14552</v>
      </c>
      <c r="SIX1" s="16" t="s">
        <v>14553</v>
      </c>
      <c r="SIY1" s="16" t="s">
        <v>14554</v>
      </c>
      <c r="SIZ1" s="16" t="s">
        <v>14555</v>
      </c>
      <c r="SJA1" s="16" t="s">
        <v>14556</v>
      </c>
      <c r="SJB1" s="16" t="s">
        <v>14557</v>
      </c>
      <c r="SJC1" s="16" t="s">
        <v>14558</v>
      </c>
      <c r="SJD1" s="16" t="s">
        <v>14559</v>
      </c>
      <c r="SJE1" s="16" t="s">
        <v>14560</v>
      </c>
      <c r="SJF1" s="16" t="s">
        <v>14561</v>
      </c>
      <c r="SJG1" s="16" t="s">
        <v>14562</v>
      </c>
      <c r="SJH1" s="16" t="s">
        <v>14563</v>
      </c>
      <c r="SJI1" s="16" t="s">
        <v>14564</v>
      </c>
      <c r="SJJ1" s="16" t="s">
        <v>14565</v>
      </c>
      <c r="SJK1" s="16" t="s">
        <v>14566</v>
      </c>
      <c r="SJL1" s="16" t="s">
        <v>14567</v>
      </c>
      <c r="SJM1" s="16" t="s">
        <v>14568</v>
      </c>
      <c r="SJN1" s="16" t="s">
        <v>14569</v>
      </c>
      <c r="SJO1" s="16" t="s">
        <v>14570</v>
      </c>
      <c r="SJP1" s="16" t="s">
        <v>14571</v>
      </c>
      <c r="SJQ1" s="16" t="s">
        <v>14572</v>
      </c>
      <c r="SJR1" s="16" t="s">
        <v>14573</v>
      </c>
      <c r="SJS1" s="16" t="s">
        <v>14574</v>
      </c>
      <c r="SJT1" s="16" t="s">
        <v>14575</v>
      </c>
      <c r="SJU1" s="16" t="s">
        <v>14576</v>
      </c>
      <c r="SJV1" s="16" t="s">
        <v>14577</v>
      </c>
      <c r="SJW1" s="16" t="s">
        <v>14578</v>
      </c>
      <c r="SJX1" s="16" t="s">
        <v>14579</v>
      </c>
      <c r="SJY1" s="16" t="s">
        <v>14580</v>
      </c>
      <c r="SJZ1" s="16" t="s">
        <v>14581</v>
      </c>
      <c r="SKA1" s="16" t="s">
        <v>14582</v>
      </c>
      <c r="SKB1" s="16" t="s">
        <v>14583</v>
      </c>
      <c r="SKC1" s="16" t="s">
        <v>14584</v>
      </c>
      <c r="SKD1" s="16" t="s">
        <v>14585</v>
      </c>
      <c r="SKE1" s="16" t="s">
        <v>14586</v>
      </c>
      <c r="SKF1" s="16" t="s">
        <v>14587</v>
      </c>
      <c r="SKG1" s="16" t="s">
        <v>14588</v>
      </c>
      <c r="SKH1" s="16" t="s">
        <v>14589</v>
      </c>
      <c r="SKI1" s="16" t="s">
        <v>14590</v>
      </c>
      <c r="SKJ1" s="16" t="s">
        <v>14591</v>
      </c>
      <c r="SKK1" s="16" t="s">
        <v>14592</v>
      </c>
      <c r="SKL1" s="16" t="s">
        <v>14593</v>
      </c>
      <c r="SKM1" s="16" t="s">
        <v>14594</v>
      </c>
      <c r="SKN1" s="16" t="s">
        <v>14595</v>
      </c>
      <c r="SKO1" s="16" t="s">
        <v>14596</v>
      </c>
      <c r="SKP1" s="16" t="s">
        <v>14597</v>
      </c>
      <c r="SKQ1" s="16" t="s">
        <v>14598</v>
      </c>
      <c r="SKR1" s="16" t="s">
        <v>14599</v>
      </c>
      <c r="SKS1" s="16" t="s">
        <v>14600</v>
      </c>
      <c r="SKT1" s="16" t="s">
        <v>14601</v>
      </c>
      <c r="SKU1" s="16" t="s">
        <v>14602</v>
      </c>
      <c r="SKV1" s="16" t="s">
        <v>14603</v>
      </c>
      <c r="SKW1" s="16" t="s">
        <v>14604</v>
      </c>
      <c r="SKX1" s="16" t="s">
        <v>14605</v>
      </c>
      <c r="SKY1" s="16" t="s">
        <v>14606</v>
      </c>
      <c r="SKZ1" s="16" t="s">
        <v>14607</v>
      </c>
      <c r="SLA1" s="16" t="s">
        <v>14608</v>
      </c>
      <c r="SLB1" s="16" t="s">
        <v>14609</v>
      </c>
      <c r="SLC1" s="16" t="s">
        <v>14610</v>
      </c>
      <c r="SLD1" s="16" t="s">
        <v>14611</v>
      </c>
      <c r="SLE1" s="16" t="s">
        <v>14612</v>
      </c>
      <c r="SLF1" s="16" t="s">
        <v>14613</v>
      </c>
      <c r="SLG1" s="16" t="s">
        <v>14614</v>
      </c>
      <c r="SLH1" s="16" t="s">
        <v>14615</v>
      </c>
      <c r="SLI1" s="16" t="s">
        <v>14616</v>
      </c>
      <c r="SLJ1" s="16" t="s">
        <v>14617</v>
      </c>
      <c r="SLK1" s="16" t="s">
        <v>14618</v>
      </c>
      <c r="SLL1" s="16" t="s">
        <v>14619</v>
      </c>
      <c r="SLM1" s="16" t="s">
        <v>14620</v>
      </c>
      <c r="SLN1" s="16" t="s">
        <v>14621</v>
      </c>
      <c r="SLO1" s="16" t="s">
        <v>14622</v>
      </c>
      <c r="SLP1" s="16" t="s">
        <v>14623</v>
      </c>
      <c r="SLQ1" s="16" t="s">
        <v>14624</v>
      </c>
      <c r="SLR1" s="16" t="s">
        <v>14625</v>
      </c>
      <c r="SLS1" s="16" t="s">
        <v>14626</v>
      </c>
      <c r="SLT1" s="16" t="s">
        <v>14627</v>
      </c>
      <c r="SLU1" s="16" t="s">
        <v>14628</v>
      </c>
      <c r="SLV1" s="16" t="s">
        <v>14629</v>
      </c>
      <c r="SLW1" s="16" t="s">
        <v>14630</v>
      </c>
      <c r="SLX1" s="16" t="s">
        <v>14631</v>
      </c>
      <c r="SLY1" s="16" t="s">
        <v>14632</v>
      </c>
      <c r="SLZ1" s="16" t="s">
        <v>14633</v>
      </c>
      <c r="SMA1" s="16" t="s">
        <v>14634</v>
      </c>
      <c r="SMB1" s="16" t="s">
        <v>14635</v>
      </c>
      <c r="SMC1" s="16" t="s">
        <v>14636</v>
      </c>
      <c r="SMD1" s="16" t="s">
        <v>14637</v>
      </c>
      <c r="SME1" s="16" t="s">
        <v>14638</v>
      </c>
      <c r="SMF1" s="16" t="s">
        <v>14639</v>
      </c>
      <c r="SMG1" s="16" t="s">
        <v>14640</v>
      </c>
      <c r="SMH1" s="16" t="s">
        <v>14641</v>
      </c>
      <c r="SMI1" s="16" t="s">
        <v>14642</v>
      </c>
      <c r="SMJ1" s="16" t="s">
        <v>14643</v>
      </c>
      <c r="SMK1" s="16" t="s">
        <v>14644</v>
      </c>
      <c r="SML1" s="16" t="s">
        <v>14645</v>
      </c>
      <c r="SMM1" s="16" t="s">
        <v>14646</v>
      </c>
      <c r="SMN1" s="16" t="s">
        <v>14647</v>
      </c>
      <c r="SMO1" s="16" t="s">
        <v>14648</v>
      </c>
      <c r="SMP1" s="16" t="s">
        <v>14649</v>
      </c>
      <c r="SMQ1" s="16" t="s">
        <v>14650</v>
      </c>
      <c r="SMR1" s="16" t="s">
        <v>14651</v>
      </c>
      <c r="SMS1" s="16" t="s">
        <v>14652</v>
      </c>
      <c r="SMT1" s="16" t="s">
        <v>14653</v>
      </c>
      <c r="SMU1" s="16" t="s">
        <v>14654</v>
      </c>
      <c r="SMV1" s="16" t="s">
        <v>14655</v>
      </c>
      <c r="SMW1" s="16" t="s">
        <v>14656</v>
      </c>
      <c r="SMX1" s="16" t="s">
        <v>14657</v>
      </c>
      <c r="SMY1" s="16" t="s">
        <v>14658</v>
      </c>
      <c r="SMZ1" s="16" t="s">
        <v>14659</v>
      </c>
      <c r="SNA1" s="16" t="s">
        <v>14660</v>
      </c>
      <c r="SNB1" s="16" t="s">
        <v>14661</v>
      </c>
      <c r="SNC1" s="16" t="s">
        <v>14662</v>
      </c>
      <c r="SND1" s="16" t="s">
        <v>14663</v>
      </c>
      <c r="SNE1" s="16" t="s">
        <v>14664</v>
      </c>
      <c r="SNF1" s="16" t="s">
        <v>14665</v>
      </c>
      <c r="SNG1" s="16" t="s">
        <v>14666</v>
      </c>
      <c r="SNH1" s="16" t="s">
        <v>14667</v>
      </c>
      <c r="SNI1" s="16" t="s">
        <v>14668</v>
      </c>
      <c r="SNJ1" s="16" t="s">
        <v>14669</v>
      </c>
      <c r="SNK1" s="16" t="s">
        <v>14670</v>
      </c>
      <c r="SNL1" s="16" t="s">
        <v>14671</v>
      </c>
      <c r="SNM1" s="16" t="s">
        <v>14672</v>
      </c>
      <c r="SNN1" s="16" t="s">
        <v>14673</v>
      </c>
      <c r="SNO1" s="16" t="s">
        <v>14674</v>
      </c>
      <c r="SNP1" s="16" t="s">
        <v>14675</v>
      </c>
      <c r="SNQ1" s="16" t="s">
        <v>14676</v>
      </c>
      <c r="SNR1" s="16" t="s">
        <v>14677</v>
      </c>
      <c r="SNS1" s="16" t="s">
        <v>14678</v>
      </c>
      <c r="SNT1" s="16" t="s">
        <v>14679</v>
      </c>
      <c r="SNU1" s="16" t="s">
        <v>14680</v>
      </c>
      <c r="SNV1" s="16" t="s">
        <v>14681</v>
      </c>
      <c r="SNW1" s="16" t="s">
        <v>14682</v>
      </c>
      <c r="SNX1" s="16" t="s">
        <v>14683</v>
      </c>
      <c r="SNY1" s="16" t="s">
        <v>14684</v>
      </c>
      <c r="SNZ1" s="16" t="s">
        <v>14685</v>
      </c>
      <c r="SOA1" s="16" t="s">
        <v>14686</v>
      </c>
      <c r="SOB1" s="16" t="s">
        <v>14687</v>
      </c>
      <c r="SOC1" s="16" t="s">
        <v>14688</v>
      </c>
      <c r="SOD1" s="16" t="s">
        <v>14689</v>
      </c>
      <c r="SOE1" s="16" t="s">
        <v>14690</v>
      </c>
      <c r="SOF1" s="16" t="s">
        <v>14691</v>
      </c>
      <c r="SOG1" s="16" t="s">
        <v>14692</v>
      </c>
      <c r="SOH1" s="16" t="s">
        <v>14693</v>
      </c>
      <c r="SOI1" s="16" t="s">
        <v>14694</v>
      </c>
      <c r="SOJ1" s="16" t="s">
        <v>14695</v>
      </c>
      <c r="SOK1" s="16" t="s">
        <v>14696</v>
      </c>
      <c r="SOL1" s="16" t="s">
        <v>14697</v>
      </c>
      <c r="SOM1" s="16" t="s">
        <v>14698</v>
      </c>
      <c r="SON1" s="16" t="s">
        <v>14699</v>
      </c>
      <c r="SOO1" s="16" t="s">
        <v>14700</v>
      </c>
      <c r="SOP1" s="16" t="s">
        <v>14701</v>
      </c>
      <c r="SOQ1" s="16" t="s">
        <v>14702</v>
      </c>
      <c r="SOR1" s="16" t="s">
        <v>14703</v>
      </c>
      <c r="SOS1" s="16" t="s">
        <v>14704</v>
      </c>
      <c r="SOT1" s="16" t="s">
        <v>14705</v>
      </c>
      <c r="SOU1" s="16" t="s">
        <v>14706</v>
      </c>
      <c r="SOV1" s="16" t="s">
        <v>14707</v>
      </c>
      <c r="SOW1" s="16" t="s">
        <v>14708</v>
      </c>
      <c r="SOX1" s="16" t="s">
        <v>14709</v>
      </c>
      <c r="SOY1" s="16" t="s">
        <v>14710</v>
      </c>
      <c r="SOZ1" s="16" t="s">
        <v>14711</v>
      </c>
      <c r="SPA1" s="16" t="s">
        <v>14712</v>
      </c>
      <c r="SPB1" s="16" t="s">
        <v>14713</v>
      </c>
      <c r="SPC1" s="16" t="s">
        <v>14714</v>
      </c>
      <c r="SPD1" s="16" t="s">
        <v>14715</v>
      </c>
      <c r="SPE1" s="16" t="s">
        <v>14716</v>
      </c>
      <c r="SPF1" s="16" t="s">
        <v>14717</v>
      </c>
      <c r="SPG1" s="16" t="s">
        <v>14718</v>
      </c>
      <c r="SPH1" s="16" t="s">
        <v>14719</v>
      </c>
      <c r="SPI1" s="16" t="s">
        <v>14720</v>
      </c>
      <c r="SPJ1" s="16" t="s">
        <v>14721</v>
      </c>
      <c r="SPK1" s="16" t="s">
        <v>14722</v>
      </c>
      <c r="SPL1" s="16" t="s">
        <v>14723</v>
      </c>
      <c r="SPM1" s="16" t="s">
        <v>14724</v>
      </c>
      <c r="SPN1" s="16" t="s">
        <v>14725</v>
      </c>
      <c r="SPO1" s="16" t="s">
        <v>14726</v>
      </c>
      <c r="SPP1" s="16" t="s">
        <v>14727</v>
      </c>
      <c r="SPQ1" s="16" t="s">
        <v>14728</v>
      </c>
      <c r="SPR1" s="16" t="s">
        <v>14729</v>
      </c>
      <c r="SPS1" s="16" t="s">
        <v>14730</v>
      </c>
      <c r="SPT1" s="16" t="s">
        <v>14731</v>
      </c>
      <c r="SPU1" s="16" t="s">
        <v>14732</v>
      </c>
      <c r="SPV1" s="16" t="s">
        <v>14733</v>
      </c>
      <c r="SPW1" s="16" t="s">
        <v>14734</v>
      </c>
      <c r="SPX1" s="16" t="s">
        <v>14735</v>
      </c>
      <c r="SPY1" s="16" t="s">
        <v>14736</v>
      </c>
      <c r="SPZ1" s="16" t="s">
        <v>14737</v>
      </c>
      <c r="SQA1" s="16" t="s">
        <v>14738</v>
      </c>
      <c r="SQB1" s="16" t="s">
        <v>14739</v>
      </c>
      <c r="SQC1" s="16" t="s">
        <v>14740</v>
      </c>
      <c r="SQD1" s="16" t="s">
        <v>14741</v>
      </c>
      <c r="SQE1" s="16" t="s">
        <v>14742</v>
      </c>
      <c r="SQF1" s="16" t="s">
        <v>14743</v>
      </c>
      <c r="SQG1" s="16" t="s">
        <v>14744</v>
      </c>
      <c r="SQH1" s="16" t="s">
        <v>14745</v>
      </c>
      <c r="SQI1" s="16" t="s">
        <v>14746</v>
      </c>
      <c r="SQJ1" s="16" t="s">
        <v>14747</v>
      </c>
      <c r="SQK1" s="16" t="s">
        <v>14748</v>
      </c>
      <c r="SQL1" s="16" t="s">
        <v>14749</v>
      </c>
      <c r="SQM1" s="16" t="s">
        <v>14750</v>
      </c>
      <c r="SQN1" s="16" t="s">
        <v>14751</v>
      </c>
      <c r="SQO1" s="16" t="s">
        <v>14752</v>
      </c>
      <c r="SQP1" s="16" t="s">
        <v>14753</v>
      </c>
      <c r="SQQ1" s="16" t="s">
        <v>14754</v>
      </c>
      <c r="SQR1" s="16" t="s">
        <v>14755</v>
      </c>
      <c r="SQS1" s="16" t="s">
        <v>14756</v>
      </c>
      <c r="SQT1" s="16" t="s">
        <v>14757</v>
      </c>
      <c r="SQU1" s="16" t="s">
        <v>14758</v>
      </c>
      <c r="SQV1" s="16" t="s">
        <v>14759</v>
      </c>
      <c r="SQW1" s="16" t="s">
        <v>14760</v>
      </c>
      <c r="SQX1" s="16" t="s">
        <v>14761</v>
      </c>
      <c r="SQY1" s="16" t="s">
        <v>14762</v>
      </c>
      <c r="SQZ1" s="16" t="s">
        <v>14763</v>
      </c>
      <c r="SRA1" s="16" t="s">
        <v>14764</v>
      </c>
      <c r="SRB1" s="16" t="s">
        <v>14765</v>
      </c>
      <c r="SRC1" s="16" t="s">
        <v>14766</v>
      </c>
      <c r="SRD1" s="16" t="s">
        <v>14767</v>
      </c>
      <c r="SRE1" s="16" t="s">
        <v>14768</v>
      </c>
      <c r="SRF1" s="16" t="s">
        <v>14769</v>
      </c>
      <c r="SRG1" s="16" t="s">
        <v>14770</v>
      </c>
      <c r="SRH1" s="16" t="s">
        <v>14771</v>
      </c>
      <c r="SRI1" s="16" t="s">
        <v>14772</v>
      </c>
      <c r="SRJ1" s="16" t="s">
        <v>14773</v>
      </c>
      <c r="SRK1" s="16" t="s">
        <v>14774</v>
      </c>
      <c r="SRL1" s="16" t="s">
        <v>14775</v>
      </c>
      <c r="SRM1" s="16" t="s">
        <v>14776</v>
      </c>
      <c r="SRN1" s="16" t="s">
        <v>14777</v>
      </c>
      <c r="SRO1" s="16" t="s">
        <v>14778</v>
      </c>
      <c r="SRP1" s="16" t="s">
        <v>14779</v>
      </c>
      <c r="SRQ1" s="16" t="s">
        <v>14780</v>
      </c>
      <c r="SRR1" s="16" t="s">
        <v>14781</v>
      </c>
      <c r="SRS1" s="16" t="s">
        <v>14782</v>
      </c>
      <c r="SRT1" s="16" t="s">
        <v>14783</v>
      </c>
      <c r="SRU1" s="16" t="s">
        <v>14784</v>
      </c>
      <c r="SRV1" s="16" t="s">
        <v>14785</v>
      </c>
      <c r="SRW1" s="16" t="s">
        <v>14786</v>
      </c>
      <c r="SRX1" s="16" t="s">
        <v>14787</v>
      </c>
      <c r="SRY1" s="16" t="s">
        <v>14788</v>
      </c>
      <c r="SRZ1" s="16" t="s">
        <v>14789</v>
      </c>
      <c r="SSA1" s="16" t="s">
        <v>14790</v>
      </c>
      <c r="SSB1" s="16" t="s">
        <v>14791</v>
      </c>
      <c r="SSC1" s="16" t="s">
        <v>14792</v>
      </c>
      <c r="SSD1" s="16" t="s">
        <v>14793</v>
      </c>
      <c r="SSE1" s="16" t="s">
        <v>14794</v>
      </c>
      <c r="SSF1" s="16" t="s">
        <v>14795</v>
      </c>
      <c r="SSG1" s="16" t="s">
        <v>14796</v>
      </c>
      <c r="SSH1" s="16" t="s">
        <v>14797</v>
      </c>
      <c r="SSI1" s="16" t="s">
        <v>14798</v>
      </c>
      <c r="SSJ1" s="16" t="s">
        <v>14799</v>
      </c>
      <c r="SSK1" s="16" t="s">
        <v>14800</v>
      </c>
      <c r="SSL1" s="16" t="s">
        <v>14801</v>
      </c>
      <c r="SSM1" s="16" t="s">
        <v>14802</v>
      </c>
      <c r="SSN1" s="16" t="s">
        <v>14803</v>
      </c>
      <c r="SSO1" s="16" t="s">
        <v>14804</v>
      </c>
      <c r="SSP1" s="16" t="s">
        <v>14805</v>
      </c>
      <c r="SSQ1" s="16" t="s">
        <v>14806</v>
      </c>
      <c r="SSR1" s="16" t="s">
        <v>14807</v>
      </c>
      <c r="SSS1" s="16" t="s">
        <v>14808</v>
      </c>
      <c r="SST1" s="16" t="s">
        <v>14809</v>
      </c>
      <c r="SSU1" s="16" t="s">
        <v>14810</v>
      </c>
      <c r="SSV1" s="16" t="s">
        <v>14811</v>
      </c>
      <c r="SSW1" s="16" t="s">
        <v>14812</v>
      </c>
      <c r="SSX1" s="16" t="s">
        <v>14813</v>
      </c>
      <c r="SSY1" s="16" t="s">
        <v>14814</v>
      </c>
      <c r="SSZ1" s="16" t="s">
        <v>14815</v>
      </c>
      <c r="STA1" s="16" t="s">
        <v>14816</v>
      </c>
      <c r="STB1" s="16" t="s">
        <v>14817</v>
      </c>
      <c r="STC1" s="16" t="s">
        <v>14818</v>
      </c>
      <c r="STD1" s="16" t="s">
        <v>14819</v>
      </c>
      <c r="STE1" s="16" t="s">
        <v>14820</v>
      </c>
      <c r="STF1" s="16" t="s">
        <v>14821</v>
      </c>
      <c r="STG1" s="16" t="s">
        <v>14822</v>
      </c>
      <c r="STH1" s="16" t="s">
        <v>14823</v>
      </c>
      <c r="STI1" s="16" t="s">
        <v>14824</v>
      </c>
      <c r="STJ1" s="16" t="s">
        <v>14825</v>
      </c>
      <c r="STK1" s="16" t="s">
        <v>14826</v>
      </c>
      <c r="STL1" s="16" t="s">
        <v>14827</v>
      </c>
      <c r="STM1" s="16" t="s">
        <v>14828</v>
      </c>
      <c r="STN1" s="16" t="s">
        <v>14829</v>
      </c>
      <c r="STO1" s="16" t="s">
        <v>14830</v>
      </c>
      <c r="STP1" s="16" t="s">
        <v>14831</v>
      </c>
      <c r="STQ1" s="16" t="s">
        <v>14832</v>
      </c>
      <c r="STR1" s="16" t="s">
        <v>14833</v>
      </c>
      <c r="STS1" s="16" t="s">
        <v>14834</v>
      </c>
      <c r="STT1" s="16" t="s">
        <v>14835</v>
      </c>
      <c r="STU1" s="16" t="s">
        <v>14836</v>
      </c>
      <c r="STV1" s="16" t="s">
        <v>14837</v>
      </c>
      <c r="STW1" s="16" t="s">
        <v>14838</v>
      </c>
      <c r="STX1" s="16" t="s">
        <v>14839</v>
      </c>
      <c r="STY1" s="16" t="s">
        <v>14840</v>
      </c>
      <c r="STZ1" s="16" t="s">
        <v>14841</v>
      </c>
      <c r="SUA1" s="16" t="s">
        <v>14842</v>
      </c>
      <c r="SUB1" s="16" t="s">
        <v>14843</v>
      </c>
      <c r="SUC1" s="16" t="s">
        <v>14844</v>
      </c>
      <c r="SUD1" s="16" t="s">
        <v>14845</v>
      </c>
      <c r="SUE1" s="16" t="s">
        <v>14846</v>
      </c>
      <c r="SUF1" s="16" t="s">
        <v>14847</v>
      </c>
      <c r="SUG1" s="16" t="s">
        <v>14848</v>
      </c>
      <c r="SUH1" s="16" t="s">
        <v>14849</v>
      </c>
      <c r="SUI1" s="16" t="s">
        <v>14850</v>
      </c>
      <c r="SUJ1" s="16" t="s">
        <v>14851</v>
      </c>
      <c r="SUK1" s="16" t="s">
        <v>14852</v>
      </c>
      <c r="SUL1" s="16" t="s">
        <v>14853</v>
      </c>
      <c r="SUM1" s="16" t="s">
        <v>14854</v>
      </c>
      <c r="SUN1" s="16" t="s">
        <v>14855</v>
      </c>
      <c r="SUO1" s="16" t="s">
        <v>14856</v>
      </c>
      <c r="SUP1" s="16" t="s">
        <v>14857</v>
      </c>
      <c r="SUQ1" s="16" t="s">
        <v>14858</v>
      </c>
      <c r="SUR1" s="16" t="s">
        <v>14859</v>
      </c>
      <c r="SUS1" s="16" t="s">
        <v>14860</v>
      </c>
      <c r="SUT1" s="16" t="s">
        <v>14861</v>
      </c>
      <c r="SUU1" s="16" t="s">
        <v>14862</v>
      </c>
      <c r="SUV1" s="16" t="s">
        <v>14863</v>
      </c>
      <c r="SUW1" s="16" t="s">
        <v>14864</v>
      </c>
      <c r="SUX1" s="16" t="s">
        <v>14865</v>
      </c>
      <c r="SUY1" s="16" t="s">
        <v>14866</v>
      </c>
      <c r="SUZ1" s="16" t="s">
        <v>14867</v>
      </c>
      <c r="SVA1" s="16" t="s">
        <v>14868</v>
      </c>
      <c r="SVB1" s="16" t="s">
        <v>14869</v>
      </c>
      <c r="SVC1" s="16" t="s">
        <v>14870</v>
      </c>
      <c r="SVD1" s="16" t="s">
        <v>14871</v>
      </c>
      <c r="SVE1" s="16" t="s">
        <v>14872</v>
      </c>
      <c r="SVF1" s="16" t="s">
        <v>14873</v>
      </c>
      <c r="SVG1" s="16" t="s">
        <v>14874</v>
      </c>
      <c r="SVH1" s="16" t="s">
        <v>14875</v>
      </c>
      <c r="SVI1" s="16" t="s">
        <v>14876</v>
      </c>
      <c r="SVJ1" s="16" t="s">
        <v>14877</v>
      </c>
      <c r="SVK1" s="16" t="s">
        <v>14878</v>
      </c>
      <c r="SVL1" s="16" t="s">
        <v>14879</v>
      </c>
      <c r="SVM1" s="16" t="s">
        <v>14880</v>
      </c>
      <c r="SVN1" s="16" t="s">
        <v>14881</v>
      </c>
      <c r="SVO1" s="16" t="s">
        <v>14882</v>
      </c>
      <c r="SVP1" s="16" t="s">
        <v>14883</v>
      </c>
      <c r="SVQ1" s="16" t="s">
        <v>14884</v>
      </c>
      <c r="SVR1" s="16" t="s">
        <v>14885</v>
      </c>
      <c r="SVS1" s="16" t="s">
        <v>14886</v>
      </c>
      <c r="SVT1" s="16" t="s">
        <v>14887</v>
      </c>
      <c r="SVU1" s="16" t="s">
        <v>14888</v>
      </c>
      <c r="SVV1" s="16" t="s">
        <v>14889</v>
      </c>
      <c r="SVW1" s="16" t="s">
        <v>14890</v>
      </c>
      <c r="SVX1" s="16" t="s">
        <v>14891</v>
      </c>
      <c r="SVY1" s="16" t="s">
        <v>14892</v>
      </c>
      <c r="SVZ1" s="16" t="s">
        <v>14893</v>
      </c>
      <c r="SWA1" s="16" t="s">
        <v>14894</v>
      </c>
      <c r="SWB1" s="16" t="s">
        <v>14895</v>
      </c>
      <c r="SWC1" s="16" t="s">
        <v>14896</v>
      </c>
      <c r="SWD1" s="16" t="s">
        <v>14897</v>
      </c>
      <c r="SWE1" s="16" t="s">
        <v>14898</v>
      </c>
      <c r="SWF1" s="16" t="s">
        <v>14899</v>
      </c>
      <c r="SWG1" s="16" t="s">
        <v>14900</v>
      </c>
      <c r="SWH1" s="16" t="s">
        <v>14901</v>
      </c>
      <c r="SWI1" s="16" t="s">
        <v>14902</v>
      </c>
      <c r="SWJ1" s="16" t="s">
        <v>14903</v>
      </c>
      <c r="SWK1" s="16" t="s">
        <v>14904</v>
      </c>
      <c r="SWL1" s="16" t="s">
        <v>14905</v>
      </c>
      <c r="SWM1" s="16" t="s">
        <v>14906</v>
      </c>
      <c r="SWN1" s="16" t="s">
        <v>14907</v>
      </c>
      <c r="SWO1" s="16" t="s">
        <v>14908</v>
      </c>
      <c r="SWP1" s="16" t="s">
        <v>14909</v>
      </c>
      <c r="SWQ1" s="16" t="s">
        <v>14910</v>
      </c>
      <c r="SWR1" s="16" t="s">
        <v>14911</v>
      </c>
      <c r="SWS1" s="16" t="s">
        <v>14912</v>
      </c>
      <c r="SWT1" s="16" t="s">
        <v>14913</v>
      </c>
      <c r="SWU1" s="16" t="s">
        <v>14914</v>
      </c>
      <c r="SWV1" s="16" t="s">
        <v>14915</v>
      </c>
      <c r="SWW1" s="16" t="s">
        <v>14916</v>
      </c>
      <c r="SWX1" s="16" t="s">
        <v>14917</v>
      </c>
      <c r="SWY1" s="16" t="s">
        <v>14918</v>
      </c>
      <c r="SWZ1" s="16" t="s">
        <v>14919</v>
      </c>
      <c r="SXA1" s="16" t="s">
        <v>14920</v>
      </c>
      <c r="SXB1" s="16" t="s">
        <v>14921</v>
      </c>
      <c r="SXC1" s="16" t="s">
        <v>14922</v>
      </c>
      <c r="SXD1" s="16" t="s">
        <v>14923</v>
      </c>
      <c r="SXE1" s="16" t="s">
        <v>14924</v>
      </c>
      <c r="SXF1" s="16" t="s">
        <v>14925</v>
      </c>
      <c r="SXG1" s="16" t="s">
        <v>14926</v>
      </c>
      <c r="SXH1" s="16" t="s">
        <v>14927</v>
      </c>
      <c r="SXI1" s="16" t="s">
        <v>14928</v>
      </c>
      <c r="SXJ1" s="16" t="s">
        <v>14929</v>
      </c>
      <c r="SXK1" s="16" t="s">
        <v>14930</v>
      </c>
      <c r="SXL1" s="16" t="s">
        <v>14931</v>
      </c>
      <c r="SXM1" s="16" t="s">
        <v>14932</v>
      </c>
      <c r="SXN1" s="16" t="s">
        <v>14933</v>
      </c>
      <c r="SXO1" s="16" t="s">
        <v>14934</v>
      </c>
      <c r="SXP1" s="16" t="s">
        <v>14935</v>
      </c>
      <c r="SXQ1" s="16" t="s">
        <v>14936</v>
      </c>
      <c r="SXR1" s="16" t="s">
        <v>14937</v>
      </c>
      <c r="SXS1" s="16" t="s">
        <v>14938</v>
      </c>
      <c r="SXT1" s="16" t="s">
        <v>14939</v>
      </c>
      <c r="SXU1" s="16" t="s">
        <v>14940</v>
      </c>
      <c r="SXV1" s="16" t="s">
        <v>14941</v>
      </c>
      <c r="SXW1" s="16" t="s">
        <v>14942</v>
      </c>
      <c r="SXX1" s="16" t="s">
        <v>14943</v>
      </c>
      <c r="SXY1" s="16" t="s">
        <v>14944</v>
      </c>
      <c r="SXZ1" s="16" t="s">
        <v>14945</v>
      </c>
      <c r="SYA1" s="16" t="s">
        <v>14946</v>
      </c>
      <c r="SYB1" s="16" t="s">
        <v>14947</v>
      </c>
      <c r="SYC1" s="16" t="s">
        <v>14948</v>
      </c>
      <c r="SYD1" s="16" t="s">
        <v>14949</v>
      </c>
      <c r="SYE1" s="16" t="s">
        <v>14950</v>
      </c>
      <c r="SYF1" s="16" t="s">
        <v>14951</v>
      </c>
      <c r="SYG1" s="16" t="s">
        <v>14952</v>
      </c>
      <c r="SYH1" s="16" t="s">
        <v>14953</v>
      </c>
      <c r="SYI1" s="16" t="s">
        <v>14954</v>
      </c>
      <c r="SYJ1" s="16" t="s">
        <v>14955</v>
      </c>
      <c r="SYK1" s="16" t="s">
        <v>14956</v>
      </c>
      <c r="SYL1" s="16" t="s">
        <v>14957</v>
      </c>
      <c r="SYM1" s="16" t="s">
        <v>14958</v>
      </c>
      <c r="SYN1" s="16" t="s">
        <v>14959</v>
      </c>
      <c r="SYO1" s="16" t="s">
        <v>14960</v>
      </c>
      <c r="SYP1" s="16" t="s">
        <v>14961</v>
      </c>
      <c r="SYQ1" s="16" t="s">
        <v>14962</v>
      </c>
      <c r="SYR1" s="16" t="s">
        <v>14963</v>
      </c>
      <c r="SYS1" s="16" t="s">
        <v>14964</v>
      </c>
      <c r="SYT1" s="16" t="s">
        <v>14965</v>
      </c>
      <c r="SYU1" s="16" t="s">
        <v>14966</v>
      </c>
      <c r="SYV1" s="16" t="s">
        <v>14967</v>
      </c>
      <c r="SYW1" s="16" t="s">
        <v>14968</v>
      </c>
      <c r="SYX1" s="16" t="s">
        <v>14969</v>
      </c>
      <c r="SYY1" s="16" t="s">
        <v>14970</v>
      </c>
      <c r="SYZ1" s="16" t="s">
        <v>14971</v>
      </c>
      <c r="SZA1" s="16" t="s">
        <v>14972</v>
      </c>
      <c r="SZB1" s="16" t="s">
        <v>14973</v>
      </c>
      <c r="SZC1" s="16" t="s">
        <v>14974</v>
      </c>
      <c r="SZD1" s="16" t="s">
        <v>14975</v>
      </c>
      <c r="SZE1" s="16" t="s">
        <v>14976</v>
      </c>
      <c r="SZF1" s="16" t="s">
        <v>14977</v>
      </c>
      <c r="SZG1" s="16" t="s">
        <v>14978</v>
      </c>
      <c r="SZH1" s="16" t="s">
        <v>14979</v>
      </c>
      <c r="SZI1" s="16" t="s">
        <v>14980</v>
      </c>
      <c r="SZJ1" s="16" t="s">
        <v>14981</v>
      </c>
      <c r="SZK1" s="16" t="s">
        <v>14982</v>
      </c>
      <c r="SZL1" s="16" t="s">
        <v>14983</v>
      </c>
      <c r="SZM1" s="16" t="s">
        <v>14984</v>
      </c>
      <c r="SZN1" s="16" t="s">
        <v>14985</v>
      </c>
      <c r="SZO1" s="16" t="s">
        <v>14986</v>
      </c>
      <c r="SZP1" s="16" t="s">
        <v>14987</v>
      </c>
      <c r="SZQ1" s="16" t="s">
        <v>14988</v>
      </c>
      <c r="SZR1" s="16" t="s">
        <v>14989</v>
      </c>
      <c r="SZS1" s="16" t="s">
        <v>14990</v>
      </c>
      <c r="SZT1" s="16" t="s">
        <v>14991</v>
      </c>
      <c r="SZU1" s="16" t="s">
        <v>14992</v>
      </c>
      <c r="SZV1" s="16" t="s">
        <v>14993</v>
      </c>
      <c r="SZW1" s="16" t="s">
        <v>14994</v>
      </c>
      <c r="SZX1" s="16" t="s">
        <v>14995</v>
      </c>
      <c r="SZY1" s="16" t="s">
        <v>14996</v>
      </c>
      <c r="SZZ1" s="16" t="s">
        <v>14997</v>
      </c>
      <c r="TAA1" s="16" t="s">
        <v>14998</v>
      </c>
      <c r="TAB1" s="16" t="s">
        <v>14999</v>
      </c>
      <c r="TAC1" s="16" t="s">
        <v>15000</v>
      </c>
      <c r="TAD1" s="16" t="s">
        <v>15001</v>
      </c>
      <c r="TAE1" s="16" t="s">
        <v>15002</v>
      </c>
      <c r="TAF1" s="16" t="s">
        <v>15003</v>
      </c>
      <c r="TAG1" s="16" t="s">
        <v>15004</v>
      </c>
      <c r="TAH1" s="16" t="s">
        <v>15005</v>
      </c>
      <c r="TAI1" s="16" t="s">
        <v>15006</v>
      </c>
      <c r="TAJ1" s="16" t="s">
        <v>15007</v>
      </c>
      <c r="TAK1" s="16" t="s">
        <v>15008</v>
      </c>
      <c r="TAL1" s="16" t="s">
        <v>15009</v>
      </c>
      <c r="TAM1" s="16" t="s">
        <v>15010</v>
      </c>
      <c r="TAN1" s="16" t="s">
        <v>15011</v>
      </c>
      <c r="TAO1" s="16" t="s">
        <v>15012</v>
      </c>
      <c r="TAP1" s="16" t="s">
        <v>15013</v>
      </c>
      <c r="TAQ1" s="16" t="s">
        <v>15014</v>
      </c>
      <c r="TAR1" s="16" t="s">
        <v>15015</v>
      </c>
      <c r="TAS1" s="16" t="s">
        <v>15016</v>
      </c>
      <c r="TAT1" s="16" t="s">
        <v>15017</v>
      </c>
      <c r="TAU1" s="16" t="s">
        <v>15018</v>
      </c>
      <c r="TAV1" s="16" t="s">
        <v>15019</v>
      </c>
      <c r="TAW1" s="16" t="s">
        <v>15020</v>
      </c>
      <c r="TAX1" s="16" t="s">
        <v>15021</v>
      </c>
      <c r="TAY1" s="16" t="s">
        <v>15022</v>
      </c>
      <c r="TAZ1" s="16" t="s">
        <v>15023</v>
      </c>
      <c r="TBA1" s="16" t="s">
        <v>15024</v>
      </c>
      <c r="TBB1" s="16" t="s">
        <v>15025</v>
      </c>
      <c r="TBC1" s="16" t="s">
        <v>15026</v>
      </c>
      <c r="TBD1" s="16" t="s">
        <v>15027</v>
      </c>
      <c r="TBE1" s="16" t="s">
        <v>15028</v>
      </c>
      <c r="TBF1" s="16" t="s">
        <v>15029</v>
      </c>
      <c r="TBG1" s="16" t="s">
        <v>15030</v>
      </c>
      <c r="TBH1" s="16" t="s">
        <v>15031</v>
      </c>
      <c r="TBI1" s="16" t="s">
        <v>15032</v>
      </c>
      <c r="TBJ1" s="16" t="s">
        <v>15033</v>
      </c>
      <c r="TBK1" s="16" t="s">
        <v>15034</v>
      </c>
      <c r="TBL1" s="16" t="s">
        <v>15035</v>
      </c>
      <c r="TBM1" s="16" t="s">
        <v>15036</v>
      </c>
      <c r="TBN1" s="16" t="s">
        <v>15037</v>
      </c>
      <c r="TBO1" s="16" t="s">
        <v>15038</v>
      </c>
      <c r="TBP1" s="16" t="s">
        <v>15039</v>
      </c>
      <c r="TBQ1" s="16" t="s">
        <v>15040</v>
      </c>
      <c r="TBR1" s="16" t="s">
        <v>15041</v>
      </c>
      <c r="TBS1" s="16" t="s">
        <v>15042</v>
      </c>
      <c r="TBT1" s="16" t="s">
        <v>15043</v>
      </c>
      <c r="TBU1" s="16" t="s">
        <v>15044</v>
      </c>
      <c r="TBV1" s="16" t="s">
        <v>15045</v>
      </c>
      <c r="TBW1" s="16" t="s">
        <v>15046</v>
      </c>
      <c r="TBX1" s="16" t="s">
        <v>15047</v>
      </c>
      <c r="TBY1" s="16" t="s">
        <v>15048</v>
      </c>
      <c r="TBZ1" s="16" t="s">
        <v>15049</v>
      </c>
      <c r="TCA1" s="16" t="s">
        <v>15050</v>
      </c>
      <c r="TCB1" s="16" t="s">
        <v>15051</v>
      </c>
      <c r="TCC1" s="16" t="s">
        <v>15052</v>
      </c>
      <c r="TCD1" s="16" t="s">
        <v>15053</v>
      </c>
      <c r="TCE1" s="16" t="s">
        <v>15054</v>
      </c>
      <c r="TCF1" s="16" t="s">
        <v>15055</v>
      </c>
      <c r="TCG1" s="16" t="s">
        <v>15056</v>
      </c>
      <c r="TCH1" s="16" t="s">
        <v>15057</v>
      </c>
      <c r="TCI1" s="16" t="s">
        <v>15058</v>
      </c>
      <c r="TCJ1" s="16" t="s">
        <v>15059</v>
      </c>
      <c r="TCK1" s="16" t="s">
        <v>15060</v>
      </c>
      <c r="TCL1" s="16" t="s">
        <v>15061</v>
      </c>
      <c r="TCM1" s="16" t="s">
        <v>15062</v>
      </c>
      <c r="TCN1" s="16" t="s">
        <v>15063</v>
      </c>
      <c r="TCO1" s="16" t="s">
        <v>15064</v>
      </c>
      <c r="TCP1" s="16" t="s">
        <v>15065</v>
      </c>
      <c r="TCQ1" s="16" t="s">
        <v>15066</v>
      </c>
      <c r="TCR1" s="16" t="s">
        <v>15067</v>
      </c>
      <c r="TCS1" s="16" t="s">
        <v>15068</v>
      </c>
      <c r="TCT1" s="16" t="s">
        <v>15069</v>
      </c>
      <c r="TCU1" s="16" t="s">
        <v>15070</v>
      </c>
      <c r="TCV1" s="16" t="s">
        <v>15071</v>
      </c>
      <c r="TCW1" s="16" t="s">
        <v>15072</v>
      </c>
      <c r="TCX1" s="16" t="s">
        <v>15073</v>
      </c>
      <c r="TCY1" s="16" t="s">
        <v>15074</v>
      </c>
      <c r="TCZ1" s="16" t="s">
        <v>15075</v>
      </c>
      <c r="TDA1" s="16" t="s">
        <v>15076</v>
      </c>
      <c r="TDB1" s="16" t="s">
        <v>15077</v>
      </c>
      <c r="TDC1" s="16" t="s">
        <v>15078</v>
      </c>
      <c r="TDD1" s="16" t="s">
        <v>15079</v>
      </c>
      <c r="TDE1" s="16" t="s">
        <v>15080</v>
      </c>
      <c r="TDF1" s="16" t="s">
        <v>15081</v>
      </c>
      <c r="TDG1" s="16" t="s">
        <v>15082</v>
      </c>
      <c r="TDH1" s="16" t="s">
        <v>15083</v>
      </c>
      <c r="TDI1" s="16" t="s">
        <v>15084</v>
      </c>
      <c r="TDJ1" s="16" t="s">
        <v>15085</v>
      </c>
      <c r="TDK1" s="16" t="s">
        <v>15086</v>
      </c>
      <c r="TDL1" s="16" t="s">
        <v>15087</v>
      </c>
      <c r="TDM1" s="16" t="s">
        <v>15088</v>
      </c>
      <c r="TDN1" s="16" t="s">
        <v>15089</v>
      </c>
      <c r="TDO1" s="16" t="s">
        <v>15090</v>
      </c>
      <c r="TDP1" s="16" t="s">
        <v>15091</v>
      </c>
      <c r="TDQ1" s="16" t="s">
        <v>15092</v>
      </c>
      <c r="TDR1" s="16" t="s">
        <v>15093</v>
      </c>
      <c r="TDS1" s="16" t="s">
        <v>15094</v>
      </c>
      <c r="TDT1" s="16" t="s">
        <v>15095</v>
      </c>
      <c r="TDU1" s="16" t="s">
        <v>15096</v>
      </c>
      <c r="TDV1" s="16" t="s">
        <v>15097</v>
      </c>
      <c r="TDW1" s="16" t="s">
        <v>15098</v>
      </c>
      <c r="TDX1" s="16" t="s">
        <v>15099</v>
      </c>
      <c r="TDY1" s="16" t="s">
        <v>15100</v>
      </c>
      <c r="TDZ1" s="16" t="s">
        <v>15101</v>
      </c>
      <c r="TEA1" s="16" t="s">
        <v>15102</v>
      </c>
      <c r="TEB1" s="16" t="s">
        <v>15103</v>
      </c>
      <c r="TEC1" s="16" t="s">
        <v>15104</v>
      </c>
      <c r="TED1" s="16" t="s">
        <v>15105</v>
      </c>
      <c r="TEE1" s="16" t="s">
        <v>15106</v>
      </c>
      <c r="TEF1" s="16" t="s">
        <v>15107</v>
      </c>
      <c r="TEG1" s="16" t="s">
        <v>15108</v>
      </c>
      <c r="TEH1" s="16" t="s">
        <v>15109</v>
      </c>
      <c r="TEI1" s="16" t="s">
        <v>15110</v>
      </c>
      <c r="TEJ1" s="16" t="s">
        <v>15111</v>
      </c>
      <c r="TEK1" s="16" t="s">
        <v>15112</v>
      </c>
      <c r="TEL1" s="16" t="s">
        <v>15113</v>
      </c>
      <c r="TEM1" s="16" t="s">
        <v>15114</v>
      </c>
      <c r="TEN1" s="16" t="s">
        <v>15115</v>
      </c>
      <c r="TEO1" s="16" t="s">
        <v>15116</v>
      </c>
      <c r="TEP1" s="16" t="s">
        <v>15117</v>
      </c>
      <c r="TEQ1" s="16" t="s">
        <v>15118</v>
      </c>
      <c r="TER1" s="16" t="s">
        <v>15119</v>
      </c>
      <c r="TES1" s="16" t="s">
        <v>15120</v>
      </c>
      <c r="TET1" s="16" t="s">
        <v>15121</v>
      </c>
      <c r="TEU1" s="16" t="s">
        <v>15122</v>
      </c>
      <c r="TEV1" s="16" t="s">
        <v>15123</v>
      </c>
      <c r="TEW1" s="16" t="s">
        <v>15124</v>
      </c>
      <c r="TEX1" s="16" t="s">
        <v>15125</v>
      </c>
      <c r="TEY1" s="16" t="s">
        <v>15126</v>
      </c>
      <c r="TEZ1" s="16" t="s">
        <v>15127</v>
      </c>
      <c r="TFA1" s="16" t="s">
        <v>15128</v>
      </c>
      <c r="TFB1" s="16" t="s">
        <v>15129</v>
      </c>
      <c r="TFC1" s="16" t="s">
        <v>15130</v>
      </c>
      <c r="TFD1" s="16" t="s">
        <v>15131</v>
      </c>
      <c r="TFE1" s="16" t="s">
        <v>15132</v>
      </c>
      <c r="TFF1" s="16" t="s">
        <v>15133</v>
      </c>
      <c r="TFG1" s="16" t="s">
        <v>15134</v>
      </c>
      <c r="TFH1" s="16" t="s">
        <v>15135</v>
      </c>
      <c r="TFI1" s="16" t="s">
        <v>15136</v>
      </c>
      <c r="TFJ1" s="16" t="s">
        <v>15137</v>
      </c>
      <c r="TFK1" s="16" t="s">
        <v>15138</v>
      </c>
      <c r="TFL1" s="16" t="s">
        <v>15139</v>
      </c>
      <c r="TFM1" s="16" t="s">
        <v>15140</v>
      </c>
      <c r="TFN1" s="16" t="s">
        <v>15141</v>
      </c>
      <c r="TFO1" s="16" t="s">
        <v>15142</v>
      </c>
      <c r="TFP1" s="16" t="s">
        <v>15143</v>
      </c>
      <c r="TFQ1" s="16" t="s">
        <v>15144</v>
      </c>
      <c r="TFR1" s="16" t="s">
        <v>15145</v>
      </c>
      <c r="TFS1" s="16" t="s">
        <v>15146</v>
      </c>
      <c r="TFT1" s="16" t="s">
        <v>15147</v>
      </c>
      <c r="TFU1" s="16" t="s">
        <v>15148</v>
      </c>
      <c r="TFV1" s="16" t="s">
        <v>15149</v>
      </c>
      <c r="TFW1" s="16" t="s">
        <v>15150</v>
      </c>
      <c r="TFX1" s="16" t="s">
        <v>15151</v>
      </c>
      <c r="TFY1" s="16" t="s">
        <v>15152</v>
      </c>
      <c r="TFZ1" s="16" t="s">
        <v>15153</v>
      </c>
      <c r="TGA1" s="16" t="s">
        <v>15154</v>
      </c>
      <c r="TGB1" s="16" t="s">
        <v>15155</v>
      </c>
      <c r="TGC1" s="16" t="s">
        <v>15156</v>
      </c>
      <c r="TGD1" s="16" t="s">
        <v>15157</v>
      </c>
      <c r="TGE1" s="16" t="s">
        <v>15158</v>
      </c>
      <c r="TGF1" s="16" t="s">
        <v>15159</v>
      </c>
      <c r="TGG1" s="16" t="s">
        <v>15160</v>
      </c>
      <c r="TGH1" s="16" t="s">
        <v>15161</v>
      </c>
      <c r="TGI1" s="16" t="s">
        <v>15162</v>
      </c>
      <c r="TGJ1" s="16" t="s">
        <v>15163</v>
      </c>
      <c r="TGK1" s="16" t="s">
        <v>15164</v>
      </c>
      <c r="TGL1" s="16" t="s">
        <v>15165</v>
      </c>
      <c r="TGM1" s="16" t="s">
        <v>15166</v>
      </c>
      <c r="TGN1" s="16" t="s">
        <v>15167</v>
      </c>
      <c r="TGO1" s="16" t="s">
        <v>15168</v>
      </c>
      <c r="TGP1" s="16" t="s">
        <v>15169</v>
      </c>
      <c r="TGQ1" s="16" t="s">
        <v>15170</v>
      </c>
      <c r="TGR1" s="16" t="s">
        <v>15171</v>
      </c>
      <c r="TGS1" s="16" t="s">
        <v>15172</v>
      </c>
      <c r="TGT1" s="16" t="s">
        <v>15173</v>
      </c>
      <c r="TGU1" s="16" t="s">
        <v>15174</v>
      </c>
      <c r="TGV1" s="16" t="s">
        <v>15175</v>
      </c>
      <c r="TGW1" s="16" t="s">
        <v>15176</v>
      </c>
      <c r="TGX1" s="16" t="s">
        <v>15177</v>
      </c>
      <c r="TGY1" s="16" t="s">
        <v>15178</v>
      </c>
      <c r="TGZ1" s="16" t="s">
        <v>15179</v>
      </c>
      <c r="THA1" s="16" t="s">
        <v>15180</v>
      </c>
      <c r="THB1" s="16" t="s">
        <v>15181</v>
      </c>
      <c r="THC1" s="16" t="s">
        <v>15182</v>
      </c>
      <c r="THD1" s="16" t="s">
        <v>15183</v>
      </c>
      <c r="THE1" s="16" t="s">
        <v>15184</v>
      </c>
      <c r="THF1" s="16" t="s">
        <v>15185</v>
      </c>
      <c r="THG1" s="16" t="s">
        <v>15186</v>
      </c>
      <c r="THH1" s="16" t="s">
        <v>15187</v>
      </c>
      <c r="THI1" s="16" t="s">
        <v>15188</v>
      </c>
      <c r="THJ1" s="16" t="s">
        <v>15189</v>
      </c>
      <c r="THK1" s="16" t="s">
        <v>15190</v>
      </c>
      <c r="THL1" s="16" t="s">
        <v>15191</v>
      </c>
      <c r="THM1" s="16" t="s">
        <v>15192</v>
      </c>
      <c r="THN1" s="16" t="s">
        <v>15193</v>
      </c>
      <c r="THO1" s="16" t="s">
        <v>15194</v>
      </c>
      <c r="THP1" s="16" t="s">
        <v>15195</v>
      </c>
      <c r="THQ1" s="16" t="s">
        <v>15196</v>
      </c>
      <c r="THR1" s="16" t="s">
        <v>15197</v>
      </c>
      <c r="THS1" s="16" t="s">
        <v>15198</v>
      </c>
      <c r="THT1" s="16" t="s">
        <v>15199</v>
      </c>
      <c r="THU1" s="16" t="s">
        <v>15200</v>
      </c>
      <c r="THV1" s="16" t="s">
        <v>15201</v>
      </c>
      <c r="THW1" s="16" t="s">
        <v>15202</v>
      </c>
      <c r="THX1" s="16" t="s">
        <v>15203</v>
      </c>
      <c r="THY1" s="16" t="s">
        <v>15204</v>
      </c>
      <c r="THZ1" s="16" t="s">
        <v>15205</v>
      </c>
      <c r="TIA1" s="16" t="s">
        <v>15206</v>
      </c>
      <c r="TIB1" s="16" t="s">
        <v>15207</v>
      </c>
      <c r="TIC1" s="16" t="s">
        <v>15208</v>
      </c>
      <c r="TID1" s="16" t="s">
        <v>15209</v>
      </c>
      <c r="TIE1" s="16" t="s">
        <v>15210</v>
      </c>
      <c r="TIF1" s="16" t="s">
        <v>15211</v>
      </c>
      <c r="TIG1" s="16" t="s">
        <v>15212</v>
      </c>
      <c r="TIH1" s="16" t="s">
        <v>15213</v>
      </c>
      <c r="TII1" s="16" t="s">
        <v>15214</v>
      </c>
      <c r="TIJ1" s="16" t="s">
        <v>15215</v>
      </c>
      <c r="TIK1" s="16" t="s">
        <v>15216</v>
      </c>
      <c r="TIL1" s="16" t="s">
        <v>15217</v>
      </c>
      <c r="TIM1" s="16" t="s">
        <v>15218</v>
      </c>
      <c r="TIN1" s="16" t="s">
        <v>15219</v>
      </c>
      <c r="TIO1" s="16" t="s">
        <v>15220</v>
      </c>
      <c r="TIP1" s="16" t="s">
        <v>15221</v>
      </c>
      <c r="TIQ1" s="16" t="s">
        <v>15222</v>
      </c>
      <c r="TIR1" s="16" t="s">
        <v>15223</v>
      </c>
      <c r="TIS1" s="16" t="s">
        <v>15224</v>
      </c>
      <c r="TIT1" s="16" t="s">
        <v>15225</v>
      </c>
      <c r="TIU1" s="16" t="s">
        <v>15226</v>
      </c>
      <c r="TIV1" s="16" t="s">
        <v>15227</v>
      </c>
      <c r="TIW1" s="16" t="s">
        <v>15228</v>
      </c>
      <c r="TIX1" s="16" t="s">
        <v>15229</v>
      </c>
      <c r="TIY1" s="16" t="s">
        <v>15230</v>
      </c>
      <c r="TIZ1" s="16" t="s">
        <v>15231</v>
      </c>
      <c r="TJA1" s="16" t="s">
        <v>15232</v>
      </c>
      <c r="TJB1" s="16" t="s">
        <v>15233</v>
      </c>
      <c r="TJC1" s="16" t="s">
        <v>15234</v>
      </c>
      <c r="TJD1" s="16" t="s">
        <v>15235</v>
      </c>
      <c r="TJE1" s="16" t="s">
        <v>15236</v>
      </c>
      <c r="TJF1" s="16" t="s">
        <v>15237</v>
      </c>
      <c r="TJG1" s="16" t="s">
        <v>15238</v>
      </c>
      <c r="TJH1" s="16" t="s">
        <v>15239</v>
      </c>
      <c r="TJI1" s="16" t="s">
        <v>15240</v>
      </c>
      <c r="TJJ1" s="16" t="s">
        <v>15241</v>
      </c>
      <c r="TJK1" s="16" t="s">
        <v>15242</v>
      </c>
      <c r="TJL1" s="16" t="s">
        <v>15243</v>
      </c>
      <c r="TJM1" s="16" t="s">
        <v>15244</v>
      </c>
      <c r="TJN1" s="16" t="s">
        <v>15245</v>
      </c>
      <c r="TJO1" s="16" t="s">
        <v>15246</v>
      </c>
      <c r="TJP1" s="16" t="s">
        <v>15247</v>
      </c>
      <c r="TJQ1" s="16" t="s">
        <v>15248</v>
      </c>
      <c r="TJR1" s="16" t="s">
        <v>15249</v>
      </c>
      <c r="TJS1" s="16" t="s">
        <v>15250</v>
      </c>
      <c r="TJT1" s="16" t="s">
        <v>15251</v>
      </c>
      <c r="TJU1" s="16" t="s">
        <v>15252</v>
      </c>
      <c r="TJV1" s="16" t="s">
        <v>15253</v>
      </c>
      <c r="TJW1" s="16" t="s">
        <v>15254</v>
      </c>
      <c r="TJX1" s="16" t="s">
        <v>15255</v>
      </c>
      <c r="TJY1" s="16" t="s">
        <v>15256</v>
      </c>
      <c r="TJZ1" s="16" t="s">
        <v>15257</v>
      </c>
      <c r="TKA1" s="16" t="s">
        <v>15258</v>
      </c>
      <c r="TKB1" s="16" t="s">
        <v>15259</v>
      </c>
      <c r="TKC1" s="16" t="s">
        <v>15260</v>
      </c>
      <c r="TKD1" s="16" t="s">
        <v>15261</v>
      </c>
      <c r="TKE1" s="16" t="s">
        <v>15262</v>
      </c>
      <c r="TKF1" s="16" t="s">
        <v>15263</v>
      </c>
      <c r="TKG1" s="16" t="s">
        <v>15264</v>
      </c>
      <c r="TKH1" s="16" t="s">
        <v>15265</v>
      </c>
      <c r="TKI1" s="16" t="s">
        <v>15266</v>
      </c>
      <c r="TKJ1" s="16" t="s">
        <v>15267</v>
      </c>
      <c r="TKK1" s="16" t="s">
        <v>15268</v>
      </c>
      <c r="TKL1" s="16" t="s">
        <v>15269</v>
      </c>
      <c r="TKM1" s="16" t="s">
        <v>15270</v>
      </c>
      <c r="TKN1" s="16" t="s">
        <v>15271</v>
      </c>
      <c r="TKO1" s="16" t="s">
        <v>15272</v>
      </c>
      <c r="TKP1" s="16" t="s">
        <v>15273</v>
      </c>
      <c r="TKQ1" s="16" t="s">
        <v>15274</v>
      </c>
      <c r="TKR1" s="16" t="s">
        <v>15275</v>
      </c>
      <c r="TKS1" s="16" t="s">
        <v>15276</v>
      </c>
      <c r="TKT1" s="16" t="s">
        <v>15277</v>
      </c>
      <c r="TKU1" s="16" t="s">
        <v>15278</v>
      </c>
      <c r="TKV1" s="16" t="s">
        <v>15279</v>
      </c>
      <c r="TKW1" s="16" t="s">
        <v>15280</v>
      </c>
      <c r="TKX1" s="16" t="s">
        <v>15281</v>
      </c>
      <c r="TKY1" s="16" t="s">
        <v>15282</v>
      </c>
      <c r="TKZ1" s="16" t="s">
        <v>15283</v>
      </c>
      <c r="TLA1" s="16" t="s">
        <v>15284</v>
      </c>
      <c r="TLB1" s="16" t="s">
        <v>15285</v>
      </c>
      <c r="TLC1" s="16" t="s">
        <v>15286</v>
      </c>
      <c r="TLD1" s="16" t="s">
        <v>15287</v>
      </c>
      <c r="TLE1" s="16" t="s">
        <v>15288</v>
      </c>
      <c r="TLF1" s="16" t="s">
        <v>15289</v>
      </c>
      <c r="TLG1" s="16" t="s">
        <v>15290</v>
      </c>
      <c r="TLH1" s="16" t="s">
        <v>15291</v>
      </c>
      <c r="TLI1" s="16" t="s">
        <v>15292</v>
      </c>
      <c r="TLJ1" s="16" t="s">
        <v>15293</v>
      </c>
      <c r="TLK1" s="16" t="s">
        <v>15294</v>
      </c>
      <c r="TLL1" s="16" t="s">
        <v>15295</v>
      </c>
      <c r="TLM1" s="16" t="s">
        <v>15296</v>
      </c>
      <c r="TLN1" s="16" t="s">
        <v>15297</v>
      </c>
      <c r="TLO1" s="16" t="s">
        <v>15298</v>
      </c>
      <c r="TLP1" s="16" t="s">
        <v>15299</v>
      </c>
      <c r="TLQ1" s="16" t="s">
        <v>15300</v>
      </c>
      <c r="TLR1" s="16" t="s">
        <v>15301</v>
      </c>
      <c r="TLS1" s="16" t="s">
        <v>15302</v>
      </c>
      <c r="TLT1" s="16" t="s">
        <v>15303</v>
      </c>
      <c r="TLU1" s="16" t="s">
        <v>15304</v>
      </c>
      <c r="TLV1" s="16" t="s">
        <v>15305</v>
      </c>
      <c r="TLW1" s="16" t="s">
        <v>15306</v>
      </c>
      <c r="TLX1" s="16" t="s">
        <v>15307</v>
      </c>
      <c r="TLY1" s="16" t="s">
        <v>15308</v>
      </c>
      <c r="TLZ1" s="16" t="s">
        <v>15309</v>
      </c>
      <c r="TMA1" s="16" t="s">
        <v>15310</v>
      </c>
      <c r="TMB1" s="16" t="s">
        <v>15311</v>
      </c>
      <c r="TMC1" s="16" t="s">
        <v>15312</v>
      </c>
      <c r="TMD1" s="16" t="s">
        <v>15313</v>
      </c>
      <c r="TME1" s="16" t="s">
        <v>15314</v>
      </c>
      <c r="TMF1" s="16" t="s">
        <v>15315</v>
      </c>
      <c r="TMG1" s="16" t="s">
        <v>15316</v>
      </c>
      <c r="TMH1" s="16" t="s">
        <v>15317</v>
      </c>
      <c r="TMI1" s="16" t="s">
        <v>15318</v>
      </c>
      <c r="TMJ1" s="16" t="s">
        <v>15319</v>
      </c>
      <c r="TMK1" s="16" t="s">
        <v>15320</v>
      </c>
      <c r="TML1" s="16" t="s">
        <v>15321</v>
      </c>
      <c r="TMM1" s="16" t="s">
        <v>15322</v>
      </c>
      <c r="TMN1" s="16" t="s">
        <v>15323</v>
      </c>
      <c r="TMO1" s="16" t="s">
        <v>15324</v>
      </c>
      <c r="TMP1" s="16" t="s">
        <v>15325</v>
      </c>
      <c r="TMQ1" s="16" t="s">
        <v>15326</v>
      </c>
      <c r="TMR1" s="16" t="s">
        <v>15327</v>
      </c>
      <c r="TMS1" s="16" t="s">
        <v>15328</v>
      </c>
      <c r="TMT1" s="16" t="s">
        <v>15329</v>
      </c>
      <c r="TMU1" s="16" t="s">
        <v>15330</v>
      </c>
      <c r="TMV1" s="16" t="s">
        <v>15331</v>
      </c>
      <c r="TMW1" s="16" t="s">
        <v>15332</v>
      </c>
      <c r="TMX1" s="16" t="s">
        <v>15333</v>
      </c>
      <c r="TMY1" s="16" t="s">
        <v>15334</v>
      </c>
      <c r="TMZ1" s="16" t="s">
        <v>15335</v>
      </c>
      <c r="TNA1" s="16" t="s">
        <v>15336</v>
      </c>
      <c r="TNB1" s="16" t="s">
        <v>15337</v>
      </c>
      <c r="TNC1" s="16" t="s">
        <v>15338</v>
      </c>
      <c r="TND1" s="16" t="s">
        <v>15339</v>
      </c>
      <c r="TNE1" s="16" t="s">
        <v>15340</v>
      </c>
      <c r="TNF1" s="16" t="s">
        <v>15341</v>
      </c>
      <c r="TNG1" s="16" t="s">
        <v>15342</v>
      </c>
      <c r="TNH1" s="16" t="s">
        <v>15343</v>
      </c>
      <c r="TNI1" s="16" t="s">
        <v>15344</v>
      </c>
      <c r="TNJ1" s="16" t="s">
        <v>15345</v>
      </c>
      <c r="TNK1" s="16" t="s">
        <v>15346</v>
      </c>
      <c r="TNL1" s="16" t="s">
        <v>15347</v>
      </c>
      <c r="TNM1" s="16" t="s">
        <v>15348</v>
      </c>
      <c r="TNN1" s="16" t="s">
        <v>15349</v>
      </c>
      <c r="TNO1" s="16" t="s">
        <v>15350</v>
      </c>
      <c r="TNP1" s="16" t="s">
        <v>15351</v>
      </c>
      <c r="TNQ1" s="16" t="s">
        <v>15352</v>
      </c>
      <c r="TNR1" s="16" t="s">
        <v>15353</v>
      </c>
      <c r="TNS1" s="16" t="s">
        <v>15354</v>
      </c>
      <c r="TNT1" s="16" t="s">
        <v>15355</v>
      </c>
      <c r="TNU1" s="16" t="s">
        <v>15356</v>
      </c>
      <c r="TNV1" s="16" t="s">
        <v>15357</v>
      </c>
      <c r="TNW1" s="16" t="s">
        <v>15358</v>
      </c>
      <c r="TNX1" s="16" t="s">
        <v>15359</v>
      </c>
      <c r="TNY1" s="16" t="s">
        <v>15360</v>
      </c>
      <c r="TNZ1" s="16" t="s">
        <v>15361</v>
      </c>
      <c r="TOA1" s="16" t="s">
        <v>15362</v>
      </c>
      <c r="TOB1" s="16" t="s">
        <v>15363</v>
      </c>
      <c r="TOC1" s="16" t="s">
        <v>15364</v>
      </c>
      <c r="TOD1" s="16" t="s">
        <v>15365</v>
      </c>
      <c r="TOE1" s="16" t="s">
        <v>15366</v>
      </c>
      <c r="TOF1" s="16" t="s">
        <v>15367</v>
      </c>
      <c r="TOG1" s="16" t="s">
        <v>15368</v>
      </c>
      <c r="TOH1" s="16" t="s">
        <v>15369</v>
      </c>
      <c r="TOI1" s="16" t="s">
        <v>15370</v>
      </c>
      <c r="TOJ1" s="16" t="s">
        <v>15371</v>
      </c>
      <c r="TOK1" s="16" t="s">
        <v>15372</v>
      </c>
      <c r="TOL1" s="16" t="s">
        <v>15373</v>
      </c>
      <c r="TOM1" s="16" t="s">
        <v>15374</v>
      </c>
      <c r="TON1" s="16" t="s">
        <v>15375</v>
      </c>
      <c r="TOO1" s="16" t="s">
        <v>15376</v>
      </c>
      <c r="TOP1" s="16" t="s">
        <v>15377</v>
      </c>
      <c r="TOQ1" s="16" t="s">
        <v>15378</v>
      </c>
      <c r="TOR1" s="16" t="s">
        <v>15379</v>
      </c>
      <c r="TOS1" s="16" t="s">
        <v>15380</v>
      </c>
      <c r="TOT1" s="16" t="s">
        <v>15381</v>
      </c>
      <c r="TOU1" s="16" t="s">
        <v>15382</v>
      </c>
      <c r="TOV1" s="16" t="s">
        <v>15383</v>
      </c>
      <c r="TOW1" s="16" t="s">
        <v>15384</v>
      </c>
      <c r="TOX1" s="16" t="s">
        <v>15385</v>
      </c>
      <c r="TOY1" s="16" t="s">
        <v>15386</v>
      </c>
      <c r="TOZ1" s="16" t="s">
        <v>15387</v>
      </c>
      <c r="TPA1" s="16" t="s">
        <v>15388</v>
      </c>
      <c r="TPB1" s="16" t="s">
        <v>15389</v>
      </c>
      <c r="TPC1" s="16" t="s">
        <v>15390</v>
      </c>
      <c r="TPD1" s="16" t="s">
        <v>15391</v>
      </c>
      <c r="TPE1" s="16" t="s">
        <v>15392</v>
      </c>
      <c r="TPF1" s="16" t="s">
        <v>15393</v>
      </c>
      <c r="TPG1" s="16" t="s">
        <v>15394</v>
      </c>
      <c r="TPH1" s="16" t="s">
        <v>15395</v>
      </c>
      <c r="TPI1" s="16" t="s">
        <v>15396</v>
      </c>
      <c r="TPJ1" s="16" t="s">
        <v>15397</v>
      </c>
      <c r="TPK1" s="16" t="s">
        <v>15398</v>
      </c>
      <c r="TPL1" s="16" t="s">
        <v>15399</v>
      </c>
      <c r="TPM1" s="16" t="s">
        <v>15400</v>
      </c>
      <c r="TPN1" s="16" t="s">
        <v>15401</v>
      </c>
      <c r="TPO1" s="16" t="s">
        <v>15402</v>
      </c>
      <c r="TPP1" s="16" t="s">
        <v>15403</v>
      </c>
      <c r="TPQ1" s="16" t="s">
        <v>15404</v>
      </c>
      <c r="TPR1" s="16" t="s">
        <v>15405</v>
      </c>
      <c r="TPS1" s="16" t="s">
        <v>15406</v>
      </c>
      <c r="TPT1" s="16" t="s">
        <v>15407</v>
      </c>
      <c r="TPU1" s="16" t="s">
        <v>15408</v>
      </c>
      <c r="TPV1" s="16" t="s">
        <v>15409</v>
      </c>
      <c r="TPW1" s="16" t="s">
        <v>15410</v>
      </c>
      <c r="TPX1" s="16" t="s">
        <v>15411</v>
      </c>
      <c r="TPY1" s="16" t="s">
        <v>15412</v>
      </c>
      <c r="TPZ1" s="16" t="s">
        <v>15413</v>
      </c>
      <c r="TQA1" s="16" t="s">
        <v>15414</v>
      </c>
      <c r="TQB1" s="16" t="s">
        <v>15415</v>
      </c>
      <c r="TQC1" s="16" t="s">
        <v>15416</v>
      </c>
      <c r="TQD1" s="16" t="s">
        <v>15417</v>
      </c>
      <c r="TQE1" s="16" t="s">
        <v>15418</v>
      </c>
      <c r="TQF1" s="16" t="s">
        <v>15419</v>
      </c>
      <c r="TQG1" s="16" t="s">
        <v>15420</v>
      </c>
      <c r="TQH1" s="16" t="s">
        <v>15421</v>
      </c>
      <c r="TQI1" s="16" t="s">
        <v>15422</v>
      </c>
      <c r="TQJ1" s="16" t="s">
        <v>15423</v>
      </c>
      <c r="TQK1" s="16" t="s">
        <v>15424</v>
      </c>
      <c r="TQL1" s="16" t="s">
        <v>15425</v>
      </c>
      <c r="TQM1" s="16" t="s">
        <v>15426</v>
      </c>
      <c r="TQN1" s="16" t="s">
        <v>15427</v>
      </c>
      <c r="TQO1" s="16" t="s">
        <v>15428</v>
      </c>
      <c r="TQP1" s="16" t="s">
        <v>15429</v>
      </c>
      <c r="TQQ1" s="16" t="s">
        <v>15430</v>
      </c>
      <c r="TQR1" s="16" t="s">
        <v>15431</v>
      </c>
      <c r="TQS1" s="16" t="s">
        <v>15432</v>
      </c>
      <c r="TQT1" s="16" t="s">
        <v>15433</v>
      </c>
      <c r="TQU1" s="16" t="s">
        <v>15434</v>
      </c>
      <c r="TQV1" s="16" t="s">
        <v>15435</v>
      </c>
      <c r="TQW1" s="16" t="s">
        <v>15436</v>
      </c>
      <c r="TQX1" s="16" t="s">
        <v>15437</v>
      </c>
      <c r="TQY1" s="16" t="s">
        <v>15438</v>
      </c>
      <c r="TQZ1" s="16" t="s">
        <v>15439</v>
      </c>
      <c r="TRA1" s="16" t="s">
        <v>15440</v>
      </c>
      <c r="TRB1" s="16" t="s">
        <v>15441</v>
      </c>
      <c r="TRC1" s="16" t="s">
        <v>15442</v>
      </c>
      <c r="TRD1" s="16" t="s">
        <v>15443</v>
      </c>
      <c r="TRE1" s="16" t="s">
        <v>15444</v>
      </c>
      <c r="TRF1" s="16" t="s">
        <v>15445</v>
      </c>
      <c r="TRG1" s="16" t="s">
        <v>15446</v>
      </c>
      <c r="TRH1" s="16" t="s">
        <v>15447</v>
      </c>
      <c r="TRI1" s="16" t="s">
        <v>15448</v>
      </c>
      <c r="TRJ1" s="16" t="s">
        <v>15449</v>
      </c>
      <c r="TRK1" s="16" t="s">
        <v>15450</v>
      </c>
      <c r="TRL1" s="16" t="s">
        <v>15451</v>
      </c>
      <c r="TRM1" s="16" t="s">
        <v>15452</v>
      </c>
      <c r="TRN1" s="16" t="s">
        <v>15453</v>
      </c>
      <c r="TRO1" s="16" t="s">
        <v>15454</v>
      </c>
      <c r="TRP1" s="16" t="s">
        <v>15455</v>
      </c>
      <c r="TRQ1" s="16" t="s">
        <v>15456</v>
      </c>
      <c r="TRR1" s="16" t="s">
        <v>15457</v>
      </c>
      <c r="TRS1" s="16" t="s">
        <v>15458</v>
      </c>
      <c r="TRT1" s="16" t="s">
        <v>15459</v>
      </c>
      <c r="TRU1" s="16" t="s">
        <v>15460</v>
      </c>
      <c r="TRV1" s="16" t="s">
        <v>15461</v>
      </c>
      <c r="TRW1" s="16" t="s">
        <v>15462</v>
      </c>
      <c r="TRX1" s="16" t="s">
        <v>15463</v>
      </c>
      <c r="TRY1" s="16" t="s">
        <v>15464</v>
      </c>
      <c r="TRZ1" s="16" t="s">
        <v>15465</v>
      </c>
      <c r="TSA1" s="16" t="s">
        <v>15466</v>
      </c>
      <c r="TSB1" s="16" t="s">
        <v>15467</v>
      </c>
      <c r="TSC1" s="16" t="s">
        <v>15468</v>
      </c>
      <c r="TSD1" s="16" t="s">
        <v>15469</v>
      </c>
      <c r="TSE1" s="16" t="s">
        <v>15470</v>
      </c>
      <c r="TSF1" s="16" t="s">
        <v>15471</v>
      </c>
      <c r="TSG1" s="16" t="s">
        <v>15472</v>
      </c>
      <c r="TSH1" s="16" t="s">
        <v>15473</v>
      </c>
      <c r="TSI1" s="16" t="s">
        <v>15474</v>
      </c>
      <c r="TSJ1" s="16" t="s">
        <v>15475</v>
      </c>
      <c r="TSK1" s="16" t="s">
        <v>15476</v>
      </c>
      <c r="TSL1" s="16" t="s">
        <v>15477</v>
      </c>
      <c r="TSM1" s="16" t="s">
        <v>15478</v>
      </c>
      <c r="TSN1" s="16" t="s">
        <v>15479</v>
      </c>
      <c r="TSO1" s="16" t="s">
        <v>15480</v>
      </c>
      <c r="TSP1" s="16" t="s">
        <v>15481</v>
      </c>
      <c r="TSQ1" s="16" t="s">
        <v>15482</v>
      </c>
      <c r="TSR1" s="16" t="s">
        <v>15483</v>
      </c>
      <c r="TSS1" s="16" t="s">
        <v>15484</v>
      </c>
      <c r="TST1" s="16" t="s">
        <v>15485</v>
      </c>
      <c r="TSU1" s="16" t="s">
        <v>15486</v>
      </c>
      <c r="TSV1" s="16" t="s">
        <v>15487</v>
      </c>
      <c r="TSW1" s="16" t="s">
        <v>15488</v>
      </c>
      <c r="TSX1" s="16" t="s">
        <v>15489</v>
      </c>
      <c r="TSY1" s="16" t="s">
        <v>15490</v>
      </c>
      <c r="TSZ1" s="16" t="s">
        <v>15491</v>
      </c>
      <c r="TTA1" s="16" t="s">
        <v>15492</v>
      </c>
      <c r="TTB1" s="16" t="s">
        <v>15493</v>
      </c>
      <c r="TTC1" s="16" t="s">
        <v>15494</v>
      </c>
      <c r="TTD1" s="16" t="s">
        <v>15495</v>
      </c>
      <c r="TTE1" s="16" t="s">
        <v>15496</v>
      </c>
      <c r="TTF1" s="16" t="s">
        <v>15497</v>
      </c>
      <c r="TTG1" s="16" t="s">
        <v>15498</v>
      </c>
      <c r="TTH1" s="16" t="s">
        <v>15499</v>
      </c>
      <c r="TTI1" s="16" t="s">
        <v>15500</v>
      </c>
      <c r="TTJ1" s="16" t="s">
        <v>15501</v>
      </c>
      <c r="TTK1" s="16" t="s">
        <v>15502</v>
      </c>
      <c r="TTL1" s="16" t="s">
        <v>15503</v>
      </c>
      <c r="TTM1" s="16" t="s">
        <v>15504</v>
      </c>
      <c r="TTN1" s="16" t="s">
        <v>15505</v>
      </c>
      <c r="TTO1" s="16" t="s">
        <v>15506</v>
      </c>
      <c r="TTP1" s="16" t="s">
        <v>15507</v>
      </c>
      <c r="TTQ1" s="16" t="s">
        <v>15508</v>
      </c>
      <c r="TTR1" s="16" t="s">
        <v>15509</v>
      </c>
      <c r="TTS1" s="16" t="s">
        <v>15510</v>
      </c>
      <c r="TTT1" s="16" t="s">
        <v>15511</v>
      </c>
      <c r="TTU1" s="16" t="s">
        <v>15512</v>
      </c>
      <c r="TTV1" s="16" t="s">
        <v>15513</v>
      </c>
      <c r="TTW1" s="16" t="s">
        <v>15514</v>
      </c>
      <c r="TTX1" s="16" t="s">
        <v>15515</v>
      </c>
      <c r="TTY1" s="16" t="s">
        <v>15516</v>
      </c>
      <c r="TTZ1" s="16" t="s">
        <v>15517</v>
      </c>
      <c r="TUA1" s="16" t="s">
        <v>15518</v>
      </c>
      <c r="TUB1" s="16" t="s">
        <v>15519</v>
      </c>
      <c r="TUC1" s="16" t="s">
        <v>15520</v>
      </c>
      <c r="TUD1" s="16" t="s">
        <v>15521</v>
      </c>
      <c r="TUE1" s="16" t="s">
        <v>15522</v>
      </c>
      <c r="TUF1" s="16" t="s">
        <v>15523</v>
      </c>
      <c r="TUG1" s="16" t="s">
        <v>15524</v>
      </c>
      <c r="TUH1" s="16" t="s">
        <v>15525</v>
      </c>
      <c r="TUI1" s="16" t="s">
        <v>15526</v>
      </c>
      <c r="TUJ1" s="16" t="s">
        <v>15527</v>
      </c>
      <c r="TUK1" s="16" t="s">
        <v>15528</v>
      </c>
      <c r="TUL1" s="16" t="s">
        <v>15529</v>
      </c>
      <c r="TUM1" s="16" t="s">
        <v>15530</v>
      </c>
      <c r="TUN1" s="16" t="s">
        <v>15531</v>
      </c>
      <c r="TUO1" s="16" t="s">
        <v>15532</v>
      </c>
      <c r="TUP1" s="16" t="s">
        <v>15533</v>
      </c>
      <c r="TUQ1" s="16" t="s">
        <v>15534</v>
      </c>
      <c r="TUR1" s="16" t="s">
        <v>15535</v>
      </c>
      <c r="TUS1" s="16" t="s">
        <v>15536</v>
      </c>
      <c r="TUT1" s="16" t="s">
        <v>15537</v>
      </c>
      <c r="TUU1" s="16" t="s">
        <v>15538</v>
      </c>
      <c r="TUV1" s="16" t="s">
        <v>15539</v>
      </c>
      <c r="TUW1" s="16" t="s">
        <v>15540</v>
      </c>
      <c r="TUX1" s="16" t="s">
        <v>15541</v>
      </c>
      <c r="TUY1" s="16" t="s">
        <v>15542</v>
      </c>
      <c r="TUZ1" s="16" t="s">
        <v>15543</v>
      </c>
      <c r="TVA1" s="16" t="s">
        <v>15544</v>
      </c>
      <c r="TVB1" s="16" t="s">
        <v>15545</v>
      </c>
      <c r="TVC1" s="16" t="s">
        <v>15546</v>
      </c>
      <c r="TVD1" s="16" t="s">
        <v>15547</v>
      </c>
      <c r="TVE1" s="16" t="s">
        <v>15548</v>
      </c>
      <c r="TVF1" s="16" t="s">
        <v>15549</v>
      </c>
      <c r="TVG1" s="16" t="s">
        <v>15550</v>
      </c>
      <c r="TVH1" s="16" t="s">
        <v>15551</v>
      </c>
      <c r="TVI1" s="16" t="s">
        <v>15552</v>
      </c>
      <c r="TVJ1" s="16" t="s">
        <v>15553</v>
      </c>
      <c r="TVK1" s="16" t="s">
        <v>15554</v>
      </c>
      <c r="TVL1" s="16" t="s">
        <v>15555</v>
      </c>
      <c r="TVM1" s="16" t="s">
        <v>15556</v>
      </c>
      <c r="TVN1" s="16" t="s">
        <v>15557</v>
      </c>
      <c r="TVO1" s="16" t="s">
        <v>15558</v>
      </c>
      <c r="TVP1" s="16" t="s">
        <v>15559</v>
      </c>
      <c r="TVQ1" s="16" t="s">
        <v>15560</v>
      </c>
      <c r="TVR1" s="16" t="s">
        <v>15561</v>
      </c>
      <c r="TVS1" s="16" t="s">
        <v>15562</v>
      </c>
      <c r="TVT1" s="16" t="s">
        <v>15563</v>
      </c>
      <c r="TVU1" s="16" t="s">
        <v>15564</v>
      </c>
      <c r="TVV1" s="16" t="s">
        <v>15565</v>
      </c>
      <c r="TVW1" s="16" t="s">
        <v>15566</v>
      </c>
      <c r="TVX1" s="16" t="s">
        <v>15567</v>
      </c>
      <c r="TVY1" s="16" t="s">
        <v>15568</v>
      </c>
      <c r="TVZ1" s="16" t="s">
        <v>15569</v>
      </c>
      <c r="TWA1" s="16" t="s">
        <v>15570</v>
      </c>
      <c r="TWB1" s="16" t="s">
        <v>15571</v>
      </c>
      <c r="TWC1" s="16" t="s">
        <v>15572</v>
      </c>
      <c r="TWD1" s="16" t="s">
        <v>15573</v>
      </c>
      <c r="TWE1" s="16" t="s">
        <v>15574</v>
      </c>
      <c r="TWF1" s="16" t="s">
        <v>15575</v>
      </c>
      <c r="TWG1" s="16" t="s">
        <v>15576</v>
      </c>
      <c r="TWH1" s="16" t="s">
        <v>15577</v>
      </c>
      <c r="TWI1" s="16" t="s">
        <v>15578</v>
      </c>
      <c r="TWJ1" s="16" t="s">
        <v>15579</v>
      </c>
      <c r="TWK1" s="16" t="s">
        <v>15580</v>
      </c>
      <c r="TWL1" s="16" t="s">
        <v>15581</v>
      </c>
      <c r="TWM1" s="16" t="s">
        <v>15582</v>
      </c>
      <c r="TWN1" s="16" t="s">
        <v>15583</v>
      </c>
      <c r="TWO1" s="16" t="s">
        <v>15584</v>
      </c>
      <c r="TWP1" s="16" t="s">
        <v>15585</v>
      </c>
      <c r="TWQ1" s="16" t="s">
        <v>15586</v>
      </c>
      <c r="TWR1" s="16" t="s">
        <v>15587</v>
      </c>
      <c r="TWS1" s="16" t="s">
        <v>15588</v>
      </c>
      <c r="TWT1" s="16" t="s">
        <v>15589</v>
      </c>
      <c r="TWU1" s="16" t="s">
        <v>15590</v>
      </c>
      <c r="TWV1" s="16" t="s">
        <v>15591</v>
      </c>
      <c r="TWW1" s="16" t="s">
        <v>15592</v>
      </c>
      <c r="TWX1" s="16" t="s">
        <v>15593</v>
      </c>
      <c r="TWY1" s="16" t="s">
        <v>15594</v>
      </c>
      <c r="TWZ1" s="16" t="s">
        <v>15595</v>
      </c>
      <c r="TXA1" s="16" t="s">
        <v>15596</v>
      </c>
      <c r="TXB1" s="16" t="s">
        <v>15597</v>
      </c>
      <c r="TXC1" s="16" t="s">
        <v>15598</v>
      </c>
      <c r="TXD1" s="16" t="s">
        <v>15599</v>
      </c>
      <c r="TXE1" s="16" t="s">
        <v>15600</v>
      </c>
      <c r="TXF1" s="16" t="s">
        <v>15601</v>
      </c>
      <c r="TXG1" s="16" t="s">
        <v>15602</v>
      </c>
      <c r="TXH1" s="16" t="s">
        <v>15603</v>
      </c>
      <c r="TXI1" s="16" t="s">
        <v>15604</v>
      </c>
      <c r="TXJ1" s="16" t="s">
        <v>15605</v>
      </c>
      <c r="TXK1" s="16" t="s">
        <v>15606</v>
      </c>
      <c r="TXL1" s="16" t="s">
        <v>15607</v>
      </c>
      <c r="TXM1" s="16" t="s">
        <v>15608</v>
      </c>
      <c r="TXN1" s="16" t="s">
        <v>15609</v>
      </c>
      <c r="TXO1" s="16" t="s">
        <v>15610</v>
      </c>
      <c r="TXP1" s="16" t="s">
        <v>15611</v>
      </c>
      <c r="TXQ1" s="16" t="s">
        <v>15612</v>
      </c>
      <c r="TXR1" s="16" t="s">
        <v>15613</v>
      </c>
      <c r="TXS1" s="16" t="s">
        <v>15614</v>
      </c>
      <c r="TXT1" s="16" t="s">
        <v>15615</v>
      </c>
      <c r="TXU1" s="16" t="s">
        <v>15616</v>
      </c>
      <c r="TXV1" s="16" t="s">
        <v>15617</v>
      </c>
      <c r="TXW1" s="16" t="s">
        <v>15618</v>
      </c>
      <c r="TXX1" s="16" t="s">
        <v>15619</v>
      </c>
      <c r="TXY1" s="16" t="s">
        <v>15620</v>
      </c>
      <c r="TXZ1" s="16" t="s">
        <v>15621</v>
      </c>
      <c r="TYA1" s="16" t="s">
        <v>15622</v>
      </c>
      <c r="TYB1" s="16" t="s">
        <v>15623</v>
      </c>
      <c r="TYC1" s="16" t="s">
        <v>15624</v>
      </c>
      <c r="TYD1" s="16" t="s">
        <v>15625</v>
      </c>
      <c r="TYE1" s="16" t="s">
        <v>15626</v>
      </c>
      <c r="TYF1" s="16" t="s">
        <v>15627</v>
      </c>
      <c r="TYG1" s="16" t="s">
        <v>15628</v>
      </c>
      <c r="TYH1" s="16" t="s">
        <v>15629</v>
      </c>
      <c r="TYI1" s="16" t="s">
        <v>15630</v>
      </c>
      <c r="TYJ1" s="16" t="s">
        <v>15631</v>
      </c>
      <c r="TYK1" s="16" t="s">
        <v>15632</v>
      </c>
      <c r="TYL1" s="16" t="s">
        <v>15633</v>
      </c>
      <c r="TYM1" s="16" t="s">
        <v>15634</v>
      </c>
      <c r="TYN1" s="16" t="s">
        <v>15635</v>
      </c>
      <c r="TYO1" s="16" t="s">
        <v>15636</v>
      </c>
      <c r="TYP1" s="16" t="s">
        <v>15637</v>
      </c>
      <c r="TYQ1" s="16" t="s">
        <v>15638</v>
      </c>
      <c r="TYR1" s="16" t="s">
        <v>15639</v>
      </c>
      <c r="TYS1" s="16" t="s">
        <v>15640</v>
      </c>
      <c r="TYT1" s="16" t="s">
        <v>15641</v>
      </c>
      <c r="TYU1" s="16" t="s">
        <v>15642</v>
      </c>
      <c r="TYV1" s="16" t="s">
        <v>15643</v>
      </c>
      <c r="TYW1" s="16" t="s">
        <v>15644</v>
      </c>
      <c r="TYX1" s="16" t="s">
        <v>15645</v>
      </c>
      <c r="TYY1" s="16" t="s">
        <v>15646</v>
      </c>
      <c r="TYZ1" s="16" t="s">
        <v>15647</v>
      </c>
      <c r="TZA1" s="16" t="s">
        <v>15648</v>
      </c>
      <c r="TZB1" s="16" t="s">
        <v>15649</v>
      </c>
      <c r="TZC1" s="16" t="s">
        <v>15650</v>
      </c>
      <c r="TZD1" s="16" t="s">
        <v>15651</v>
      </c>
      <c r="TZE1" s="16" t="s">
        <v>15652</v>
      </c>
      <c r="TZF1" s="16" t="s">
        <v>15653</v>
      </c>
      <c r="TZG1" s="16" t="s">
        <v>15654</v>
      </c>
      <c r="TZH1" s="16" t="s">
        <v>15655</v>
      </c>
      <c r="TZI1" s="16" t="s">
        <v>15656</v>
      </c>
      <c r="TZJ1" s="16" t="s">
        <v>15657</v>
      </c>
      <c r="TZK1" s="16" t="s">
        <v>15658</v>
      </c>
      <c r="TZL1" s="16" t="s">
        <v>15659</v>
      </c>
      <c r="TZM1" s="16" t="s">
        <v>15660</v>
      </c>
      <c r="TZN1" s="16" t="s">
        <v>15661</v>
      </c>
      <c r="TZO1" s="16" t="s">
        <v>15662</v>
      </c>
      <c r="TZP1" s="16" t="s">
        <v>15663</v>
      </c>
      <c r="TZQ1" s="16" t="s">
        <v>15664</v>
      </c>
      <c r="TZR1" s="16" t="s">
        <v>15665</v>
      </c>
      <c r="TZS1" s="16" t="s">
        <v>15666</v>
      </c>
      <c r="TZT1" s="16" t="s">
        <v>15667</v>
      </c>
      <c r="TZU1" s="16" t="s">
        <v>15668</v>
      </c>
      <c r="TZV1" s="16" t="s">
        <v>15669</v>
      </c>
      <c r="TZW1" s="16" t="s">
        <v>15670</v>
      </c>
      <c r="TZX1" s="16" t="s">
        <v>15671</v>
      </c>
      <c r="TZY1" s="16" t="s">
        <v>15672</v>
      </c>
      <c r="TZZ1" s="16" t="s">
        <v>15673</v>
      </c>
      <c r="UAA1" s="16" t="s">
        <v>15674</v>
      </c>
      <c r="UAB1" s="16" t="s">
        <v>15675</v>
      </c>
      <c r="UAC1" s="16" t="s">
        <v>15676</v>
      </c>
      <c r="UAD1" s="16" t="s">
        <v>15677</v>
      </c>
      <c r="UAE1" s="16" t="s">
        <v>15678</v>
      </c>
      <c r="UAF1" s="16" t="s">
        <v>15679</v>
      </c>
      <c r="UAG1" s="16" t="s">
        <v>15680</v>
      </c>
      <c r="UAH1" s="16" t="s">
        <v>15681</v>
      </c>
      <c r="UAI1" s="16" t="s">
        <v>15682</v>
      </c>
      <c r="UAJ1" s="16" t="s">
        <v>15683</v>
      </c>
      <c r="UAK1" s="16" t="s">
        <v>15684</v>
      </c>
      <c r="UAL1" s="16" t="s">
        <v>15685</v>
      </c>
      <c r="UAM1" s="16" t="s">
        <v>15686</v>
      </c>
      <c r="UAN1" s="16" t="s">
        <v>15687</v>
      </c>
      <c r="UAO1" s="16" t="s">
        <v>15688</v>
      </c>
      <c r="UAP1" s="16" t="s">
        <v>15689</v>
      </c>
      <c r="UAQ1" s="16" t="s">
        <v>15690</v>
      </c>
      <c r="UAR1" s="16" t="s">
        <v>15691</v>
      </c>
      <c r="UAS1" s="16" t="s">
        <v>15692</v>
      </c>
      <c r="UAT1" s="16" t="s">
        <v>15693</v>
      </c>
      <c r="UAU1" s="16" t="s">
        <v>15694</v>
      </c>
      <c r="UAV1" s="16" t="s">
        <v>15695</v>
      </c>
      <c r="UAW1" s="16" t="s">
        <v>15696</v>
      </c>
      <c r="UAX1" s="16" t="s">
        <v>15697</v>
      </c>
      <c r="UAY1" s="16" t="s">
        <v>15698</v>
      </c>
      <c r="UAZ1" s="16" t="s">
        <v>15699</v>
      </c>
      <c r="UBA1" s="16" t="s">
        <v>15700</v>
      </c>
      <c r="UBB1" s="16" t="s">
        <v>15701</v>
      </c>
      <c r="UBC1" s="16" t="s">
        <v>15702</v>
      </c>
      <c r="UBD1" s="16" t="s">
        <v>15703</v>
      </c>
      <c r="UBE1" s="16" t="s">
        <v>15704</v>
      </c>
      <c r="UBF1" s="16" t="s">
        <v>15705</v>
      </c>
      <c r="UBG1" s="16" t="s">
        <v>15706</v>
      </c>
      <c r="UBH1" s="16" t="s">
        <v>15707</v>
      </c>
      <c r="UBI1" s="16" t="s">
        <v>15708</v>
      </c>
      <c r="UBJ1" s="16" t="s">
        <v>15709</v>
      </c>
      <c r="UBK1" s="16" t="s">
        <v>15710</v>
      </c>
      <c r="UBL1" s="16" t="s">
        <v>15711</v>
      </c>
      <c r="UBM1" s="16" t="s">
        <v>15712</v>
      </c>
      <c r="UBN1" s="16" t="s">
        <v>15713</v>
      </c>
      <c r="UBO1" s="16" t="s">
        <v>15714</v>
      </c>
      <c r="UBP1" s="16" t="s">
        <v>15715</v>
      </c>
      <c r="UBQ1" s="16" t="s">
        <v>15716</v>
      </c>
      <c r="UBR1" s="16" t="s">
        <v>15717</v>
      </c>
      <c r="UBS1" s="16" t="s">
        <v>15718</v>
      </c>
      <c r="UBT1" s="16" t="s">
        <v>15719</v>
      </c>
      <c r="UBU1" s="16" t="s">
        <v>15720</v>
      </c>
      <c r="UBV1" s="16" t="s">
        <v>15721</v>
      </c>
      <c r="UBW1" s="16" t="s">
        <v>15722</v>
      </c>
      <c r="UBX1" s="16" t="s">
        <v>15723</v>
      </c>
      <c r="UBY1" s="16" t="s">
        <v>15724</v>
      </c>
      <c r="UBZ1" s="16" t="s">
        <v>15725</v>
      </c>
      <c r="UCA1" s="16" t="s">
        <v>15726</v>
      </c>
      <c r="UCB1" s="16" t="s">
        <v>15727</v>
      </c>
      <c r="UCC1" s="16" t="s">
        <v>15728</v>
      </c>
      <c r="UCD1" s="16" t="s">
        <v>15729</v>
      </c>
      <c r="UCE1" s="16" t="s">
        <v>15730</v>
      </c>
      <c r="UCF1" s="16" t="s">
        <v>15731</v>
      </c>
      <c r="UCG1" s="16" t="s">
        <v>15732</v>
      </c>
      <c r="UCH1" s="16" t="s">
        <v>15733</v>
      </c>
      <c r="UCI1" s="16" t="s">
        <v>15734</v>
      </c>
      <c r="UCJ1" s="16" t="s">
        <v>15735</v>
      </c>
      <c r="UCK1" s="16" t="s">
        <v>15736</v>
      </c>
      <c r="UCL1" s="16" t="s">
        <v>15737</v>
      </c>
      <c r="UCM1" s="16" t="s">
        <v>15738</v>
      </c>
      <c r="UCN1" s="16" t="s">
        <v>15739</v>
      </c>
      <c r="UCO1" s="16" t="s">
        <v>15740</v>
      </c>
      <c r="UCP1" s="16" t="s">
        <v>15741</v>
      </c>
      <c r="UCQ1" s="16" t="s">
        <v>15742</v>
      </c>
      <c r="UCR1" s="16" t="s">
        <v>15743</v>
      </c>
      <c r="UCS1" s="16" t="s">
        <v>15744</v>
      </c>
      <c r="UCT1" s="16" t="s">
        <v>15745</v>
      </c>
      <c r="UCU1" s="16" t="s">
        <v>15746</v>
      </c>
      <c r="UCV1" s="16" t="s">
        <v>15747</v>
      </c>
      <c r="UCW1" s="16" t="s">
        <v>15748</v>
      </c>
      <c r="UCX1" s="16" t="s">
        <v>15749</v>
      </c>
      <c r="UCY1" s="16" t="s">
        <v>15750</v>
      </c>
      <c r="UCZ1" s="16" t="s">
        <v>15751</v>
      </c>
      <c r="UDA1" s="16" t="s">
        <v>15752</v>
      </c>
      <c r="UDB1" s="16" t="s">
        <v>15753</v>
      </c>
      <c r="UDC1" s="16" t="s">
        <v>15754</v>
      </c>
      <c r="UDD1" s="16" t="s">
        <v>15755</v>
      </c>
      <c r="UDE1" s="16" t="s">
        <v>15756</v>
      </c>
      <c r="UDF1" s="16" t="s">
        <v>15757</v>
      </c>
      <c r="UDG1" s="16" t="s">
        <v>15758</v>
      </c>
      <c r="UDH1" s="16" t="s">
        <v>15759</v>
      </c>
      <c r="UDI1" s="16" t="s">
        <v>15760</v>
      </c>
      <c r="UDJ1" s="16" t="s">
        <v>15761</v>
      </c>
      <c r="UDK1" s="16" t="s">
        <v>15762</v>
      </c>
      <c r="UDL1" s="16" t="s">
        <v>15763</v>
      </c>
      <c r="UDM1" s="16" t="s">
        <v>15764</v>
      </c>
      <c r="UDN1" s="16" t="s">
        <v>15765</v>
      </c>
      <c r="UDO1" s="16" t="s">
        <v>15766</v>
      </c>
      <c r="UDP1" s="16" t="s">
        <v>15767</v>
      </c>
      <c r="UDQ1" s="16" t="s">
        <v>15768</v>
      </c>
      <c r="UDR1" s="16" t="s">
        <v>15769</v>
      </c>
      <c r="UDS1" s="16" t="s">
        <v>15770</v>
      </c>
      <c r="UDT1" s="16" t="s">
        <v>15771</v>
      </c>
      <c r="UDU1" s="16" t="s">
        <v>15772</v>
      </c>
      <c r="UDV1" s="16" t="s">
        <v>15773</v>
      </c>
      <c r="UDW1" s="16" t="s">
        <v>15774</v>
      </c>
      <c r="UDX1" s="16" t="s">
        <v>15775</v>
      </c>
      <c r="UDY1" s="16" t="s">
        <v>15776</v>
      </c>
      <c r="UDZ1" s="16" t="s">
        <v>15777</v>
      </c>
      <c r="UEA1" s="16" t="s">
        <v>15778</v>
      </c>
      <c r="UEB1" s="16" t="s">
        <v>15779</v>
      </c>
      <c r="UEC1" s="16" t="s">
        <v>15780</v>
      </c>
      <c r="UED1" s="16" t="s">
        <v>15781</v>
      </c>
      <c r="UEE1" s="16" t="s">
        <v>15782</v>
      </c>
      <c r="UEF1" s="16" t="s">
        <v>15783</v>
      </c>
      <c r="UEG1" s="16" t="s">
        <v>15784</v>
      </c>
      <c r="UEH1" s="16" t="s">
        <v>15785</v>
      </c>
      <c r="UEI1" s="16" t="s">
        <v>15786</v>
      </c>
      <c r="UEJ1" s="16" t="s">
        <v>15787</v>
      </c>
      <c r="UEK1" s="16" t="s">
        <v>15788</v>
      </c>
      <c r="UEL1" s="16" t="s">
        <v>15789</v>
      </c>
      <c r="UEM1" s="16" t="s">
        <v>15790</v>
      </c>
      <c r="UEN1" s="16" t="s">
        <v>15791</v>
      </c>
      <c r="UEO1" s="16" t="s">
        <v>15792</v>
      </c>
      <c r="UEP1" s="16" t="s">
        <v>15793</v>
      </c>
      <c r="UEQ1" s="16" t="s">
        <v>15794</v>
      </c>
      <c r="UER1" s="16" t="s">
        <v>15795</v>
      </c>
      <c r="UES1" s="16" t="s">
        <v>15796</v>
      </c>
      <c r="UET1" s="16" t="s">
        <v>15797</v>
      </c>
      <c r="UEU1" s="16" t="s">
        <v>15798</v>
      </c>
      <c r="UEV1" s="16" t="s">
        <v>15799</v>
      </c>
      <c r="UEW1" s="16" t="s">
        <v>15800</v>
      </c>
      <c r="UEX1" s="16" t="s">
        <v>15801</v>
      </c>
      <c r="UEY1" s="16" t="s">
        <v>15802</v>
      </c>
      <c r="UEZ1" s="16" t="s">
        <v>15803</v>
      </c>
      <c r="UFA1" s="16" t="s">
        <v>15804</v>
      </c>
      <c r="UFB1" s="16" t="s">
        <v>15805</v>
      </c>
      <c r="UFC1" s="16" t="s">
        <v>15806</v>
      </c>
      <c r="UFD1" s="16" t="s">
        <v>15807</v>
      </c>
      <c r="UFE1" s="16" t="s">
        <v>15808</v>
      </c>
      <c r="UFF1" s="16" t="s">
        <v>15809</v>
      </c>
      <c r="UFG1" s="16" t="s">
        <v>15810</v>
      </c>
      <c r="UFH1" s="16" t="s">
        <v>15811</v>
      </c>
      <c r="UFI1" s="16" t="s">
        <v>15812</v>
      </c>
      <c r="UFJ1" s="16" t="s">
        <v>15813</v>
      </c>
      <c r="UFK1" s="16" t="s">
        <v>15814</v>
      </c>
      <c r="UFL1" s="16" t="s">
        <v>15815</v>
      </c>
      <c r="UFM1" s="16" t="s">
        <v>15816</v>
      </c>
      <c r="UFN1" s="16" t="s">
        <v>15817</v>
      </c>
      <c r="UFO1" s="16" t="s">
        <v>15818</v>
      </c>
      <c r="UFP1" s="16" t="s">
        <v>15819</v>
      </c>
      <c r="UFQ1" s="16" t="s">
        <v>15820</v>
      </c>
      <c r="UFR1" s="16" t="s">
        <v>15821</v>
      </c>
      <c r="UFS1" s="16" t="s">
        <v>15822</v>
      </c>
      <c r="UFT1" s="16" t="s">
        <v>15823</v>
      </c>
      <c r="UFU1" s="16" t="s">
        <v>15824</v>
      </c>
      <c r="UFV1" s="16" t="s">
        <v>15825</v>
      </c>
      <c r="UFW1" s="16" t="s">
        <v>15826</v>
      </c>
      <c r="UFX1" s="16" t="s">
        <v>15827</v>
      </c>
      <c r="UFY1" s="16" t="s">
        <v>15828</v>
      </c>
      <c r="UFZ1" s="16" t="s">
        <v>15829</v>
      </c>
      <c r="UGA1" s="16" t="s">
        <v>15830</v>
      </c>
      <c r="UGB1" s="16" t="s">
        <v>15831</v>
      </c>
      <c r="UGC1" s="16" t="s">
        <v>15832</v>
      </c>
      <c r="UGD1" s="16" t="s">
        <v>15833</v>
      </c>
      <c r="UGE1" s="16" t="s">
        <v>15834</v>
      </c>
      <c r="UGF1" s="16" t="s">
        <v>15835</v>
      </c>
      <c r="UGG1" s="16" t="s">
        <v>15836</v>
      </c>
      <c r="UGH1" s="16" t="s">
        <v>15837</v>
      </c>
      <c r="UGI1" s="16" t="s">
        <v>15838</v>
      </c>
      <c r="UGJ1" s="16" t="s">
        <v>15839</v>
      </c>
      <c r="UGK1" s="16" t="s">
        <v>15840</v>
      </c>
      <c r="UGL1" s="16" t="s">
        <v>15841</v>
      </c>
      <c r="UGM1" s="16" t="s">
        <v>15842</v>
      </c>
      <c r="UGN1" s="16" t="s">
        <v>15843</v>
      </c>
      <c r="UGO1" s="16" t="s">
        <v>15844</v>
      </c>
      <c r="UGP1" s="16" t="s">
        <v>15845</v>
      </c>
      <c r="UGQ1" s="16" t="s">
        <v>15846</v>
      </c>
      <c r="UGR1" s="16" t="s">
        <v>15847</v>
      </c>
      <c r="UGS1" s="16" t="s">
        <v>15848</v>
      </c>
      <c r="UGT1" s="16" t="s">
        <v>15849</v>
      </c>
      <c r="UGU1" s="16" t="s">
        <v>15850</v>
      </c>
      <c r="UGV1" s="16" t="s">
        <v>15851</v>
      </c>
      <c r="UGW1" s="16" t="s">
        <v>15852</v>
      </c>
      <c r="UGX1" s="16" t="s">
        <v>15853</v>
      </c>
      <c r="UGY1" s="16" t="s">
        <v>15854</v>
      </c>
      <c r="UGZ1" s="16" t="s">
        <v>15855</v>
      </c>
      <c r="UHA1" s="16" t="s">
        <v>15856</v>
      </c>
      <c r="UHB1" s="16" t="s">
        <v>15857</v>
      </c>
      <c r="UHC1" s="16" t="s">
        <v>15858</v>
      </c>
      <c r="UHD1" s="16" t="s">
        <v>15859</v>
      </c>
      <c r="UHE1" s="16" t="s">
        <v>15860</v>
      </c>
      <c r="UHF1" s="16" t="s">
        <v>15861</v>
      </c>
      <c r="UHG1" s="16" t="s">
        <v>15862</v>
      </c>
      <c r="UHH1" s="16" t="s">
        <v>15863</v>
      </c>
      <c r="UHI1" s="16" t="s">
        <v>15864</v>
      </c>
      <c r="UHJ1" s="16" t="s">
        <v>15865</v>
      </c>
      <c r="UHK1" s="16" t="s">
        <v>15866</v>
      </c>
      <c r="UHL1" s="16" t="s">
        <v>15867</v>
      </c>
      <c r="UHM1" s="16" t="s">
        <v>15868</v>
      </c>
      <c r="UHN1" s="16" t="s">
        <v>15869</v>
      </c>
      <c r="UHO1" s="16" t="s">
        <v>15870</v>
      </c>
      <c r="UHP1" s="16" t="s">
        <v>15871</v>
      </c>
      <c r="UHQ1" s="16" t="s">
        <v>15872</v>
      </c>
      <c r="UHR1" s="16" t="s">
        <v>15873</v>
      </c>
      <c r="UHS1" s="16" t="s">
        <v>15874</v>
      </c>
      <c r="UHT1" s="16" t="s">
        <v>15875</v>
      </c>
      <c r="UHU1" s="16" t="s">
        <v>15876</v>
      </c>
      <c r="UHV1" s="16" t="s">
        <v>15877</v>
      </c>
      <c r="UHW1" s="16" t="s">
        <v>15878</v>
      </c>
      <c r="UHX1" s="16" t="s">
        <v>15879</v>
      </c>
      <c r="UHY1" s="16" t="s">
        <v>15880</v>
      </c>
      <c r="UHZ1" s="16" t="s">
        <v>15881</v>
      </c>
      <c r="UIA1" s="16" t="s">
        <v>15882</v>
      </c>
      <c r="UIB1" s="16" t="s">
        <v>15883</v>
      </c>
      <c r="UIC1" s="16" t="s">
        <v>15884</v>
      </c>
      <c r="UID1" s="16" t="s">
        <v>15885</v>
      </c>
      <c r="UIE1" s="16" t="s">
        <v>15886</v>
      </c>
      <c r="UIF1" s="16" t="s">
        <v>15887</v>
      </c>
      <c r="UIG1" s="16" t="s">
        <v>15888</v>
      </c>
      <c r="UIH1" s="16" t="s">
        <v>15889</v>
      </c>
      <c r="UII1" s="16" t="s">
        <v>15890</v>
      </c>
      <c r="UIJ1" s="16" t="s">
        <v>15891</v>
      </c>
      <c r="UIK1" s="16" t="s">
        <v>15892</v>
      </c>
      <c r="UIL1" s="16" t="s">
        <v>15893</v>
      </c>
      <c r="UIM1" s="16" t="s">
        <v>15894</v>
      </c>
      <c r="UIN1" s="16" t="s">
        <v>15895</v>
      </c>
      <c r="UIO1" s="16" t="s">
        <v>15896</v>
      </c>
      <c r="UIP1" s="16" t="s">
        <v>15897</v>
      </c>
      <c r="UIQ1" s="16" t="s">
        <v>15898</v>
      </c>
      <c r="UIR1" s="16" t="s">
        <v>15899</v>
      </c>
      <c r="UIS1" s="16" t="s">
        <v>15900</v>
      </c>
      <c r="UIT1" s="16" t="s">
        <v>15901</v>
      </c>
      <c r="UIU1" s="16" t="s">
        <v>15902</v>
      </c>
      <c r="UIV1" s="16" t="s">
        <v>15903</v>
      </c>
      <c r="UIW1" s="16" t="s">
        <v>15904</v>
      </c>
      <c r="UIX1" s="16" t="s">
        <v>15905</v>
      </c>
      <c r="UIY1" s="16" t="s">
        <v>15906</v>
      </c>
      <c r="UIZ1" s="16" t="s">
        <v>15907</v>
      </c>
      <c r="UJA1" s="16" t="s">
        <v>15908</v>
      </c>
      <c r="UJB1" s="16" t="s">
        <v>15909</v>
      </c>
      <c r="UJC1" s="16" t="s">
        <v>15910</v>
      </c>
      <c r="UJD1" s="16" t="s">
        <v>15911</v>
      </c>
      <c r="UJE1" s="16" t="s">
        <v>15912</v>
      </c>
      <c r="UJF1" s="16" t="s">
        <v>15913</v>
      </c>
      <c r="UJG1" s="16" t="s">
        <v>15914</v>
      </c>
      <c r="UJH1" s="16" t="s">
        <v>15915</v>
      </c>
      <c r="UJI1" s="16" t="s">
        <v>15916</v>
      </c>
      <c r="UJJ1" s="16" t="s">
        <v>15917</v>
      </c>
      <c r="UJK1" s="16" t="s">
        <v>15918</v>
      </c>
      <c r="UJL1" s="16" t="s">
        <v>15919</v>
      </c>
      <c r="UJM1" s="16" t="s">
        <v>15920</v>
      </c>
      <c r="UJN1" s="16" t="s">
        <v>15921</v>
      </c>
      <c r="UJO1" s="16" t="s">
        <v>15922</v>
      </c>
      <c r="UJP1" s="16" t="s">
        <v>15923</v>
      </c>
      <c r="UJQ1" s="16" t="s">
        <v>15924</v>
      </c>
      <c r="UJR1" s="16" t="s">
        <v>15925</v>
      </c>
      <c r="UJS1" s="16" t="s">
        <v>15926</v>
      </c>
      <c r="UJT1" s="16" t="s">
        <v>15927</v>
      </c>
      <c r="UJU1" s="16" t="s">
        <v>15928</v>
      </c>
      <c r="UJV1" s="16" t="s">
        <v>15929</v>
      </c>
      <c r="UJW1" s="16" t="s">
        <v>15930</v>
      </c>
      <c r="UJX1" s="16" t="s">
        <v>15931</v>
      </c>
      <c r="UJY1" s="16" t="s">
        <v>15932</v>
      </c>
      <c r="UJZ1" s="16" t="s">
        <v>15933</v>
      </c>
      <c r="UKA1" s="16" t="s">
        <v>15934</v>
      </c>
      <c r="UKB1" s="16" t="s">
        <v>15935</v>
      </c>
      <c r="UKC1" s="16" t="s">
        <v>15936</v>
      </c>
      <c r="UKD1" s="16" t="s">
        <v>15937</v>
      </c>
      <c r="UKE1" s="16" t="s">
        <v>15938</v>
      </c>
      <c r="UKF1" s="16" t="s">
        <v>15939</v>
      </c>
      <c r="UKG1" s="16" t="s">
        <v>15940</v>
      </c>
      <c r="UKH1" s="16" t="s">
        <v>15941</v>
      </c>
      <c r="UKI1" s="16" t="s">
        <v>15942</v>
      </c>
      <c r="UKJ1" s="16" t="s">
        <v>15943</v>
      </c>
      <c r="UKK1" s="16" t="s">
        <v>15944</v>
      </c>
      <c r="UKL1" s="16" t="s">
        <v>15945</v>
      </c>
      <c r="UKM1" s="16" t="s">
        <v>15946</v>
      </c>
      <c r="UKN1" s="16" t="s">
        <v>15947</v>
      </c>
      <c r="UKO1" s="16" t="s">
        <v>15948</v>
      </c>
      <c r="UKP1" s="16" t="s">
        <v>15949</v>
      </c>
      <c r="UKQ1" s="16" t="s">
        <v>15950</v>
      </c>
      <c r="UKR1" s="16" t="s">
        <v>15951</v>
      </c>
      <c r="UKS1" s="16" t="s">
        <v>15952</v>
      </c>
      <c r="UKT1" s="16" t="s">
        <v>15953</v>
      </c>
      <c r="UKU1" s="16" t="s">
        <v>15954</v>
      </c>
      <c r="UKV1" s="16" t="s">
        <v>15955</v>
      </c>
      <c r="UKW1" s="16" t="s">
        <v>15956</v>
      </c>
      <c r="UKX1" s="16" t="s">
        <v>15957</v>
      </c>
      <c r="UKY1" s="16" t="s">
        <v>15958</v>
      </c>
      <c r="UKZ1" s="16" t="s">
        <v>15959</v>
      </c>
      <c r="ULA1" s="16" t="s">
        <v>15960</v>
      </c>
      <c r="ULB1" s="16" t="s">
        <v>15961</v>
      </c>
      <c r="ULC1" s="16" t="s">
        <v>15962</v>
      </c>
      <c r="ULD1" s="16" t="s">
        <v>15963</v>
      </c>
      <c r="ULE1" s="16" t="s">
        <v>15964</v>
      </c>
      <c r="ULF1" s="16" t="s">
        <v>15965</v>
      </c>
      <c r="ULG1" s="16" t="s">
        <v>15966</v>
      </c>
      <c r="ULH1" s="16" t="s">
        <v>15967</v>
      </c>
      <c r="ULI1" s="16" t="s">
        <v>15968</v>
      </c>
      <c r="ULJ1" s="16" t="s">
        <v>15969</v>
      </c>
      <c r="ULK1" s="16" t="s">
        <v>15970</v>
      </c>
      <c r="ULL1" s="16" t="s">
        <v>15971</v>
      </c>
      <c r="ULM1" s="16" t="s">
        <v>15972</v>
      </c>
      <c r="ULN1" s="16" t="s">
        <v>15973</v>
      </c>
      <c r="ULO1" s="16" t="s">
        <v>15974</v>
      </c>
      <c r="ULP1" s="16" t="s">
        <v>15975</v>
      </c>
      <c r="ULQ1" s="16" t="s">
        <v>15976</v>
      </c>
      <c r="ULR1" s="16" t="s">
        <v>15977</v>
      </c>
      <c r="ULS1" s="16" t="s">
        <v>15978</v>
      </c>
      <c r="ULT1" s="16" t="s">
        <v>15979</v>
      </c>
      <c r="ULU1" s="16" t="s">
        <v>15980</v>
      </c>
      <c r="ULV1" s="16" t="s">
        <v>15981</v>
      </c>
      <c r="ULW1" s="16" t="s">
        <v>15982</v>
      </c>
      <c r="ULX1" s="16" t="s">
        <v>15983</v>
      </c>
      <c r="ULY1" s="16" t="s">
        <v>15984</v>
      </c>
      <c r="ULZ1" s="16" t="s">
        <v>15985</v>
      </c>
      <c r="UMA1" s="16" t="s">
        <v>15986</v>
      </c>
      <c r="UMB1" s="16" t="s">
        <v>15987</v>
      </c>
      <c r="UMC1" s="16" t="s">
        <v>15988</v>
      </c>
      <c r="UMD1" s="16" t="s">
        <v>15989</v>
      </c>
      <c r="UME1" s="16" t="s">
        <v>15990</v>
      </c>
      <c r="UMF1" s="16" t="s">
        <v>15991</v>
      </c>
      <c r="UMG1" s="16" t="s">
        <v>15992</v>
      </c>
      <c r="UMH1" s="16" t="s">
        <v>15993</v>
      </c>
      <c r="UMI1" s="16" t="s">
        <v>15994</v>
      </c>
      <c r="UMJ1" s="16" t="s">
        <v>15995</v>
      </c>
      <c r="UMK1" s="16" t="s">
        <v>15996</v>
      </c>
      <c r="UML1" s="16" t="s">
        <v>15997</v>
      </c>
      <c r="UMM1" s="16" t="s">
        <v>15998</v>
      </c>
      <c r="UMN1" s="16" t="s">
        <v>15999</v>
      </c>
      <c r="UMO1" s="16" t="s">
        <v>16000</v>
      </c>
      <c r="UMP1" s="16" t="s">
        <v>16001</v>
      </c>
      <c r="UMQ1" s="16" t="s">
        <v>16002</v>
      </c>
      <c r="UMR1" s="16" t="s">
        <v>16003</v>
      </c>
      <c r="UMS1" s="16" t="s">
        <v>16004</v>
      </c>
      <c r="UMT1" s="16" t="s">
        <v>16005</v>
      </c>
      <c r="UMU1" s="16" t="s">
        <v>16006</v>
      </c>
      <c r="UMV1" s="16" t="s">
        <v>16007</v>
      </c>
      <c r="UMW1" s="16" t="s">
        <v>16008</v>
      </c>
      <c r="UMX1" s="16" t="s">
        <v>16009</v>
      </c>
      <c r="UMY1" s="16" t="s">
        <v>16010</v>
      </c>
      <c r="UMZ1" s="16" t="s">
        <v>16011</v>
      </c>
      <c r="UNA1" s="16" t="s">
        <v>16012</v>
      </c>
      <c r="UNB1" s="16" t="s">
        <v>16013</v>
      </c>
      <c r="UNC1" s="16" t="s">
        <v>16014</v>
      </c>
      <c r="UND1" s="16" t="s">
        <v>16015</v>
      </c>
      <c r="UNE1" s="16" t="s">
        <v>16016</v>
      </c>
      <c r="UNF1" s="16" t="s">
        <v>16017</v>
      </c>
      <c r="UNG1" s="16" t="s">
        <v>16018</v>
      </c>
      <c r="UNH1" s="16" t="s">
        <v>16019</v>
      </c>
      <c r="UNI1" s="16" t="s">
        <v>16020</v>
      </c>
      <c r="UNJ1" s="16" t="s">
        <v>16021</v>
      </c>
      <c r="UNK1" s="16" t="s">
        <v>16022</v>
      </c>
      <c r="UNL1" s="16" t="s">
        <v>16023</v>
      </c>
      <c r="UNM1" s="16" t="s">
        <v>16024</v>
      </c>
      <c r="UNN1" s="16" t="s">
        <v>16025</v>
      </c>
      <c r="UNO1" s="16" t="s">
        <v>16026</v>
      </c>
      <c r="UNP1" s="16" t="s">
        <v>16027</v>
      </c>
      <c r="UNQ1" s="16" t="s">
        <v>16028</v>
      </c>
      <c r="UNR1" s="16" t="s">
        <v>16029</v>
      </c>
      <c r="UNS1" s="16" t="s">
        <v>16030</v>
      </c>
      <c r="UNT1" s="16" t="s">
        <v>16031</v>
      </c>
      <c r="UNU1" s="16" t="s">
        <v>16032</v>
      </c>
      <c r="UNV1" s="16" t="s">
        <v>16033</v>
      </c>
      <c r="UNW1" s="16" t="s">
        <v>16034</v>
      </c>
      <c r="UNX1" s="16" t="s">
        <v>16035</v>
      </c>
      <c r="UNY1" s="16" t="s">
        <v>16036</v>
      </c>
      <c r="UNZ1" s="16" t="s">
        <v>16037</v>
      </c>
      <c r="UOA1" s="16" t="s">
        <v>16038</v>
      </c>
      <c r="UOB1" s="16" t="s">
        <v>16039</v>
      </c>
      <c r="UOC1" s="16" t="s">
        <v>16040</v>
      </c>
      <c r="UOD1" s="16" t="s">
        <v>16041</v>
      </c>
      <c r="UOE1" s="16" t="s">
        <v>16042</v>
      </c>
      <c r="UOF1" s="16" t="s">
        <v>16043</v>
      </c>
      <c r="UOG1" s="16" t="s">
        <v>16044</v>
      </c>
      <c r="UOH1" s="16" t="s">
        <v>16045</v>
      </c>
      <c r="UOI1" s="16" t="s">
        <v>16046</v>
      </c>
      <c r="UOJ1" s="16" t="s">
        <v>16047</v>
      </c>
      <c r="UOK1" s="16" t="s">
        <v>16048</v>
      </c>
      <c r="UOL1" s="16" t="s">
        <v>16049</v>
      </c>
      <c r="UOM1" s="16" t="s">
        <v>16050</v>
      </c>
      <c r="UON1" s="16" t="s">
        <v>16051</v>
      </c>
      <c r="UOO1" s="16" t="s">
        <v>16052</v>
      </c>
      <c r="UOP1" s="16" t="s">
        <v>16053</v>
      </c>
      <c r="UOQ1" s="16" t="s">
        <v>16054</v>
      </c>
      <c r="UOR1" s="16" t="s">
        <v>16055</v>
      </c>
      <c r="UOS1" s="16" t="s">
        <v>16056</v>
      </c>
      <c r="UOT1" s="16" t="s">
        <v>16057</v>
      </c>
      <c r="UOU1" s="16" t="s">
        <v>16058</v>
      </c>
      <c r="UOV1" s="16" t="s">
        <v>16059</v>
      </c>
      <c r="UOW1" s="16" t="s">
        <v>16060</v>
      </c>
      <c r="UOX1" s="16" t="s">
        <v>16061</v>
      </c>
      <c r="UOY1" s="16" t="s">
        <v>16062</v>
      </c>
      <c r="UOZ1" s="16" t="s">
        <v>16063</v>
      </c>
      <c r="UPA1" s="16" t="s">
        <v>16064</v>
      </c>
      <c r="UPB1" s="16" t="s">
        <v>16065</v>
      </c>
      <c r="UPC1" s="16" t="s">
        <v>16066</v>
      </c>
      <c r="UPD1" s="16" t="s">
        <v>16067</v>
      </c>
      <c r="UPE1" s="16" t="s">
        <v>16068</v>
      </c>
      <c r="UPF1" s="16" t="s">
        <v>16069</v>
      </c>
      <c r="UPG1" s="16" t="s">
        <v>16070</v>
      </c>
      <c r="UPH1" s="16" t="s">
        <v>16071</v>
      </c>
      <c r="UPI1" s="16" t="s">
        <v>16072</v>
      </c>
      <c r="UPJ1" s="16" t="s">
        <v>16073</v>
      </c>
      <c r="UPK1" s="16" t="s">
        <v>16074</v>
      </c>
      <c r="UPL1" s="16" t="s">
        <v>16075</v>
      </c>
      <c r="UPM1" s="16" t="s">
        <v>16076</v>
      </c>
      <c r="UPN1" s="16" t="s">
        <v>16077</v>
      </c>
      <c r="UPO1" s="16" t="s">
        <v>16078</v>
      </c>
      <c r="UPP1" s="16" t="s">
        <v>16079</v>
      </c>
      <c r="UPQ1" s="16" t="s">
        <v>16080</v>
      </c>
      <c r="UPR1" s="16" t="s">
        <v>16081</v>
      </c>
      <c r="UPS1" s="16" t="s">
        <v>16082</v>
      </c>
      <c r="UPT1" s="16" t="s">
        <v>16083</v>
      </c>
      <c r="UPU1" s="16" t="s">
        <v>16084</v>
      </c>
      <c r="UPV1" s="16" t="s">
        <v>16085</v>
      </c>
      <c r="UPW1" s="16" t="s">
        <v>16086</v>
      </c>
      <c r="UPX1" s="16" t="s">
        <v>16087</v>
      </c>
      <c r="UPY1" s="16" t="s">
        <v>16088</v>
      </c>
      <c r="UPZ1" s="16" t="s">
        <v>16089</v>
      </c>
      <c r="UQA1" s="16" t="s">
        <v>16090</v>
      </c>
      <c r="UQB1" s="16" t="s">
        <v>16091</v>
      </c>
      <c r="UQC1" s="16" t="s">
        <v>16092</v>
      </c>
      <c r="UQD1" s="16" t="s">
        <v>16093</v>
      </c>
      <c r="UQE1" s="16" t="s">
        <v>16094</v>
      </c>
      <c r="UQF1" s="16" t="s">
        <v>16095</v>
      </c>
      <c r="UQG1" s="16" t="s">
        <v>16096</v>
      </c>
      <c r="UQH1" s="16" t="s">
        <v>16097</v>
      </c>
      <c r="UQI1" s="16" t="s">
        <v>16098</v>
      </c>
      <c r="UQJ1" s="16" t="s">
        <v>16099</v>
      </c>
      <c r="UQK1" s="16" t="s">
        <v>16100</v>
      </c>
      <c r="UQL1" s="16" t="s">
        <v>16101</v>
      </c>
      <c r="UQM1" s="16" t="s">
        <v>16102</v>
      </c>
      <c r="UQN1" s="16" t="s">
        <v>16103</v>
      </c>
      <c r="UQO1" s="16" t="s">
        <v>16104</v>
      </c>
      <c r="UQP1" s="16" t="s">
        <v>16105</v>
      </c>
      <c r="UQQ1" s="16" t="s">
        <v>16106</v>
      </c>
      <c r="UQR1" s="16" t="s">
        <v>16107</v>
      </c>
      <c r="UQS1" s="16" t="s">
        <v>16108</v>
      </c>
      <c r="UQT1" s="16" t="s">
        <v>16109</v>
      </c>
      <c r="UQU1" s="16" t="s">
        <v>16110</v>
      </c>
      <c r="UQV1" s="16" t="s">
        <v>16111</v>
      </c>
      <c r="UQW1" s="16" t="s">
        <v>16112</v>
      </c>
      <c r="UQX1" s="16" t="s">
        <v>16113</v>
      </c>
      <c r="UQY1" s="16" t="s">
        <v>16114</v>
      </c>
      <c r="UQZ1" s="16" t="s">
        <v>16115</v>
      </c>
      <c r="URA1" s="16" t="s">
        <v>16116</v>
      </c>
      <c r="URB1" s="16" t="s">
        <v>16117</v>
      </c>
      <c r="URC1" s="16" t="s">
        <v>16118</v>
      </c>
      <c r="URD1" s="16" t="s">
        <v>16119</v>
      </c>
      <c r="URE1" s="16" t="s">
        <v>16120</v>
      </c>
      <c r="URF1" s="16" t="s">
        <v>16121</v>
      </c>
      <c r="URG1" s="16" t="s">
        <v>16122</v>
      </c>
      <c r="URH1" s="16" t="s">
        <v>16123</v>
      </c>
      <c r="URI1" s="16" t="s">
        <v>16124</v>
      </c>
      <c r="URJ1" s="16" t="s">
        <v>16125</v>
      </c>
      <c r="URK1" s="16" t="s">
        <v>16126</v>
      </c>
      <c r="URL1" s="16" t="s">
        <v>16127</v>
      </c>
      <c r="URM1" s="16" t="s">
        <v>16128</v>
      </c>
      <c r="URN1" s="16" t="s">
        <v>16129</v>
      </c>
      <c r="URO1" s="16" t="s">
        <v>16130</v>
      </c>
      <c r="URP1" s="16" t="s">
        <v>16131</v>
      </c>
      <c r="URQ1" s="16" t="s">
        <v>16132</v>
      </c>
      <c r="URR1" s="16" t="s">
        <v>16133</v>
      </c>
      <c r="URS1" s="16" t="s">
        <v>16134</v>
      </c>
      <c r="URT1" s="16" t="s">
        <v>16135</v>
      </c>
      <c r="URU1" s="16" t="s">
        <v>16136</v>
      </c>
      <c r="URV1" s="16" t="s">
        <v>16137</v>
      </c>
      <c r="URW1" s="16" t="s">
        <v>16138</v>
      </c>
      <c r="URX1" s="16" t="s">
        <v>16139</v>
      </c>
      <c r="URY1" s="16" t="s">
        <v>16140</v>
      </c>
      <c r="URZ1" s="16" t="s">
        <v>16141</v>
      </c>
      <c r="USA1" s="16" t="s">
        <v>16142</v>
      </c>
      <c r="USB1" s="16" t="s">
        <v>16143</v>
      </c>
      <c r="USC1" s="16" t="s">
        <v>16144</v>
      </c>
      <c r="USD1" s="16" t="s">
        <v>16145</v>
      </c>
      <c r="USE1" s="16" t="s">
        <v>16146</v>
      </c>
      <c r="USF1" s="16" t="s">
        <v>16147</v>
      </c>
      <c r="USG1" s="16" t="s">
        <v>16148</v>
      </c>
      <c r="USH1" s="16" t="s">
        <v>16149</v>
      </c>
      <c r="USI1" s="16" t="s">
        <v>16150</v>
      </c>
      <c r="USJ1" s="16" t="s">
        <v>16151</v>
      </c>
      <c r="USK1" s="16" t="s">
        <v>16152</v>
      </c>
      <c r="USL1" s="16" t="s">
        <v>16153</v>
      </c>
      <c r="USM1" s="16" t="s">
        <v>16154</v>
      </c>
      <c r="USN1" s="16" t="s">
        <v>16155</v>
      </c>
      <c r="USO1" s="16" t="s">
        <v>16156</v>
      </c>
      <c r="USP1" s="16" t="s">
        <v>16157</v>
      </c>
      <c r="USQ1" s="16" t="s">
        <v>16158</v>
      </c>
      <c r="USR1" s="16" t="s">
        <v>16159</v>
      </c>
      <c r="USS1" s="16" t="s">
        <v>16160</v>
      </c>
      <c r="UST1" s="16" t="s">
        <v>16161</v>
      </c>
      <c r="USU1" s="16" t="s">
        <v>16162</v>
      </c>
      <c r="USV1" s="16" t="s">
        <v>16163</v>
      </c>
      <c r="USW1" s="16" t="s">
        <v>16164</v>
      </c>
      <c r="USX1" s="16" t="s">
        <v>16165</v>
      </c>
      <c r="USY1" s="16" t="s">
        <v>16166</v>
      </c>
      <c r="USZ1" s="16" t="s">
        <v>16167</v>
      </c>
      <c r="UTA1" s="16" t="s">
        <v>16168</v>
      </c>
      <c r="UTB1" s="16" t="s">
        <v>16169</v>
      </c>
      <c r="UTC1" s="16" t="s">
        <v>16170</v>
      </c>
      <c r="UTD1" s="16" t="s">
        <v>16171</v>
      </c>
      <c r="UTE1" s="16" t="s">
        <v>16172</v>
      </c>
      <c r="UTF1" s="16" t="s">
        <v>16173</v>
      </c>
      <c r="UTG1" s="16" t="s">
        <v>16174</v>
      </c>
      <c r="UTH1" s="16" t="s">
        <v>16175</v>
      </c>
      <c r="UTI1" s="16" t="s">
        <v>16176</v>
      </c>
      <c r="UTJ1" s="16" t="s">
        <v>16177</v>
      </c>
      <c r="UTK1" s="16" t="s">
        <v>16178</v>
      </c>
      <c r="UTL1" s="16" t="s">
        <v>16179</v>
      </c>
      <c r="UTM1" s="16" t="s">
        <v>16180</v>
      </c>
      <c r="UTN1" s="16" t="s">
        <v>16181</v>
      </c>
      <c r="UTO1" s="16" t="s">
        <v>16182</v>
      </c>
      <c r="UTP1" s="16" t="s">
        <v>16183</v>
      </c>
      <c r="UTQ1" s="16" t="s">
        <v>16184</v>
      </c>
      <c r="UTR1" s="16" t="s">
        <v>16185</v>
      </c>
      <c r="UTS1" s="16" t="s">
        <v>16186</v>
      </c>
      <c r="UTT1" s="16" t="s">
        <v>16187</v>
      </c>
      <c r="UTU1" s="16" t="s">
        <v>16188</v>
      </c>
      <c r="UTV1" s="16" t="s">
        <v>16189</v>
      </c>
      <c r="UTW1" s="16" t="s">
        <v>16190</v>
      </c>
      <c r="UTX1" s="16" t="s">
        <v>16191</v>
      </c>
      <c r="UTY1" s="16" t="s">
        <v>16192</v>
      </c>
      <c r="UTZ1" s="16" t="s">
        <v>16193</v>
      </c>
      <c r="UUA1" s="16" t="s">
        <v>16194</v>
      </c>
      <c r="UUB1" s="16" t="s">
        <v>16195</v>
      </c>
      <c r="UUC1" s="16" t="s">
        <v>16196</v>
      </c>
      <c r="UUD1" s="16" t="s">
        <v>16197</v>
      </c>
      <c r="UUE1" s="16" t="s">
        <v>16198</v>
      </c>
      <c r="UUF1" s="16" t="s">
        <v>16199</v>
      </c>
      <c r="UUG1" s="16" t="s">
        <v>16200</v>
      </c>
      <c r="UUH1" s="16" t="s">
        <v>16201</v>
      </c>
      <c r="UUI1" s="16" t="s">
        <v>16202</v>
      </c>
      <c r="UUJ1" s="16" t="s">
        <v>16203</v>
      </c>
      <c r="UUK1" s="16" t="s">
        <v>16204</v>
      </c>
      <c r="UUL1" s="16" t="s">
        <v>16205</v>
      </c>
      <c r="UUM1" s="16" t="s">
        <v>16206</v>
      </c>
      <c r="UUN1" s="16" t="s">
        <v>16207</v>
      </c>
      <c r="UUO1" s="16" t="s">
        <v>16208</v>
      </c>
      <c r="UUP1" s="16" t="s">
        <v>16209</v>
      </c>
      <c r="UUQ1" s="16" t="s">
        <v>16210</v>
      </c>
      <c r="UUR1" s="16" t="s">
        <v>16211</v>
      </c>
      <c r="UUS1" s="16" t="s">
        <v>16212</v>
      </c>
      <c r="UUT1" s="16" t="s">
        <v>16213</v>
      </c>
      <c r="UUU1" s="16" t="s">
        <v>16214</v>
      </c>
      <c r="UUV1" s="16" t="s">
        <v>16215</v>
      </c>
      <c r="UUW1" s="16" t="s">
        <v>16216</v>
      </c>
      <c r="UUX1" s="16" t="s">
        <v>16217</v>
      </c>
      <c r="UUY1" s="16" t="s">
        <v>16218</v>
      </c>
      <c r="UUZ1" s="16" t="s">
        <v>16219</v>
      </c>
      <c r="UVA1" s="16" t="s">
        <v>16220</v>
      </c>
      <c r="UVB1" s="16" t="s">
        <v>16221</v>
      </c>
      <c r="UVC1" s="16" t="s">
        <v>16222</v>
      </c>
      <c r="UVD1" s="16" t="s">
        <v>16223</v>
      </c>
      <c r="UVE1" s="16" t="s">
        <v>16224</v>
      </c>
      <c r="UVF1" s="16" t="s">
        <v>16225</v>
      </c>
      <c r="UVG1" s="16" t="s">
        <v>16226</v>
      </c>
      <c r="UVH1" s="16" t="s">
        <v>16227</v>
      </c>
      <c r="UVI1" s="16" t="s">
        <v>16228</v>
      </c>
      <c r="UVJ1" s="16" t="s">
        <v>16229</v>
      </c>
      <c r="UVK1" s="16" t="s">
        <v>16230</v>
      </c>
      <c r="UVL1" s="16" t="s">
        <v>16231</v>
      </c>
      <c r="UVM1" s="16" t="s">
        <v>16232</v>
      </c>
      <c r="UVN1" s="16" t="s">
        <v>16233</v>
      </c>
      <c r="UVO1" s="16" t="s">
        <v>16234</v>
      </c>
      <c r="UVP1" s="16" t="s">
        <v>16235</v>
      </c>
      <c r="UVQ1" s="16" t="s">
        <v>16236</v>
      </c>
      <c r="UVR1" s="16" t="s">
        <v>16237</v>
      </c>
      <c r="UVS1" s="16" t="s">
        <v>16238</v>
      </c>
      <c r="UVT1" s="16" t="s">
        <v>16239</v>
      </c>
      <c r="UVU1" s="16" t="s">
        <v>16240</v>
      </c>
      <c r="UVV1" s="16" t="s">
        <v>16241</v>
      </c>
      <c r="UVW1" s="16" t="s">
        <v>16242</v>
      </c>
      <c r="UVX1" s="16" t="s">
        <v>16243</v>
      </c>
      <c r="UVY1" s="16" t="s">
        <v>16244</v>
      </c>
      <c r="UVZ1" s="16" t="s">
        <v>16245</v>
      </c>
      <c r="UWA1" s="16" t="s">
        <v>16246</v>
      </c>
      <c r="UWB1" s="16" t="s">
        <v>16247</v>
      </c>
      <c r="UWC1" s="16" t="s">
        <v>16248</v>
      </c>
      <c r="UWD1" s="16" t="s">
        <v>16249</v>
      </c>
      <c r="UWE1" s="16" t="s">
        <v>16250</v>
      </c>
      <c r="UWF1" s="16" t="s">
        <v>16251</v>
      </c>
      <c r="UWG1" s="16" t="s">
        <v>16252</v>
      </c>
      <c r="UWH1" s="16" t="s">
        <v>16253</v>
      </c>
      <c r="UWI1" s="16" t="s">
        <v>16254</v>
      </c>
      <c r="UWJ1" s="16" t="s">
        <v>16255</v>
      </c>
      <c r="UWK1" s="16" t="s">
        <v>16256</v>
      </c>
      <c r="UWL1" s="16" t="s">
        <v>16257</v>
      </c>
      <c r="UWM1" s="16" t="s">
        <v>16258</v>
      </c>
      <c r="UWN1" s="16" t="s">
        <v>16259</v>
      </c>
      <c r="UWO1" s="16" t="s">
        <v>16260</v>
      </c>
      <c r="UWP1" s="16" t="s">
        <v>16261</v>
      </c>
      <c r="UWQ1" s="16" t="s">
        <v>16262</v>
      </c>
      <c r="UWR1" s="16" t="s">
        <v>16263</v>
      </c>
      <c r="UWS1" s="16" t="s">
        <v>16264</v>
      </c>
      <c r="UWT1" s="16" t="s">
        <v>16265</v>
      </c>
      <c r="UWU1" s="16" t="s">
        <v>16266</v>
      </c>
      <c r="UWV1" s="16" t="s">
        <v>16267</v>
      </c>
      <c r="UWW1" s="16" t="s">
        <v>16268</v>
      </c>
      <c r="UWX1" s="16" t="s">
        <v>16269</v>
      </c>
      <c r="UWY1" s="16" t="s">
        <v>16270</v>
      </c>
      <c r="UWZ1" s="16" t="s">
        <v>16271</v>
      </c>
      <c r="UXA1" s="16" t="s">
        <v>16272</v>
      </c>
      <c r="UXB1" s="16" t="s">
        <v>16273</v>
      </c>
      <c r="UXC1" s="16" t="s">
        <v>16274</v>
      </c>
      <c r="UXD1" s="16" t="s">
        <v>16275</v>
      </c>
      <c r="UXE1" s="16" t="s">
        <v>16276</v>
      </c>
      <c r="UXF1" s="16" t="s">
        <v>16277</v>
      </c>
      <c r="UXG1" s="16" t="s">
        <v>16278</v>
      </c>
      <c r="UXH1" s="16" t="s">
        <v>16279</v>
      </c>
      <c r="UXI1" s="16" t="s">
        <v>16280</v>
      </c>
      <c r="UXJ1" s="16" t="s">
        <v>16281</v>
      </c>
      <c r="UXK1" s="16" t="s">
        <v>16282</v>
      </c>
      <c r="UXL1" s="16" t="s">
        <v>16283</v>
      </c>
      <c r="UXM1" s="16" t="s">
        <v>16284</v>
      </c>
      <c r="UXN1" s="16" t="s">
        <v>16285</v>
      </c>
      <c r="UXO1" s="16" t="s">
        <v>16286</v>
      </c>
      <c r="UXP1" s="16" t="s">
        <v>16287</v>
      </c>
      <c r="UXQ1" s="16" t="s">
        <v>16288</v>
      </c>
      <c r="UXR1" s="16" t="s">
        <v>16289</v>
      </c>
      <c r="UXS1" s="16" t="s">
        <v>16290</v>
      </c>
      <c r="UXT1" s="16" t="s">
        <v>16291</v>
      </c>
      <c r="UXU1" s="16" t="s">
        <v>16292</v>
      </c>
      <c r="UXV1" s="16" t="s">
        <v>16293</v>
      </c>
      <c r="UXW1" s="16" t="s">
        <v>16294</v>
      </c>
      <c r="UXX1" s="16" t="s">
        <v>16295</v>
      </c>
      <c r="UXY1" s="16" t="s">
        <v>16296</v>
      </c>
      <c r="UXZ1" s="16" t="s">
        <v>16297</v>
      </c>
      <c r="UYA1" s="16" t="s">
        <v>16298</v>
      </c>
      <c r="UYB1" s="16" t="s">
        <v>16299</v>
      </c>
      <c r="UYC1" s="16" t="s">
        <v>16300</v>
      </c>
      <c r="UYD1" s="16" t="s">
        <v>16301</v>
      </c>
      <c r="UYE1" s="16" t="s">
        <v>16302</v>
      </c>
      <c r="UYF1" s="16" t="s">
        <v>16303</v>
      </c>
      <c r="UYG1" s="16" t="s">
        <v>16304</v>
      </c>
      <c r="UYH1" s="16" t="s">
        <v>16305</v>
      </c>
      <c r="UYI1" s="16" t="s">
        <v>16306</v>
      </c>
      <c r="UYJ1" s="16" t="s">
        <v>16307</v>
      </c>
      <c r="UYK1" s="16" t="s">
        <v>16308</v>
      </c>
      <c r="UYL1" s="16" t="s">
        <v>16309</v>
      </c>
      <c r="UYM1" s="16" t="s">
        <v>16310</v>
      </c>
      <c r="UYN1" s="16" t="s">
        <v>16311</v>
      </c>
      <c r="UYO1" s="16" t="s">
        <v>16312</v>
      </c>
      <c r="UYP1" s="16" t="s">
        <v>16313</v>
      </c>
      <c r="UYQ1" s="16" t="s">
        <v>16314</v>
      </c>
      <c r="UYR1" s="16" t="s">
        <v>16315</v>
      </c>
      <c r="UYS1" s="16" t="s">
        <v>16316</v>
      </c>
      <c r="UYT1" s="16" t="s">
        <v>16317</v>
      </c>
      <c r="UYU1" s="16" t="s">
        <v>16318</v>
      </c>
      <c r="UYV1" s="16" t="s">
        <v>16319</v>
      </c>
      <c r="UYW1" s="16" t="s">
        <v>16320</v>
      </c>
      <c r="UYX1" s="16" t="s">
        <v>16321</v>
      </c>
      <c r="UYY1" s="16" t="s">
        <v>16322</v>
      </c>
      <c r="UYZ1" s="16" t="s">
        <v>16323</v>
      </c>
      <c r="UZA1" s="16" t="s">
        <v>16324</v>
      </c>
      <c r="UZB1" s="16" t="s">
        <v>16325</v>
      </c>
      <c r="UZC1" s="16" t="s">
        <v>16326</v>
      </c>
      <c r="UZD1" s="16" t="s">
        <v>16327</v>
      </c>
      <c r="UZE1" s="16" t="s">
        <v>16328</v>
      </c>
      <c r="UZF1" s="16" t="s">
        <v>16329</v>
      </c>
      <c r="UZG1" s="16" t="s">
        <v>16330</v>
      </c>
      <c r="UZH1" s="16" t="s">
        <v>16331</v>
      </c>
      <c r="UZI1" s="16" t="s">
        <v>16332</v>
      </c>
      <c r="UZJ1" s="16" t="s">
        <v>16333</v>
      </c>
      <c r="UZK1" s="16" t="s">
        <v>16334</v>
      </c>
      <c r="UZL1" s="16" t="s">
        <v>16335</v>
      </c>
      <c r="UZM1" s="16" t="s">
        <v>16336</v>
      </c>
      <c r="UZN1" s="16" t="s">
        <v>16337</v>
      </c>
      <c r="UZO1" s="16" t="s">
        <v>16338</v>
      </c>
      <c r="UZP1" s="16" t="s">
        <v>16339</v>
      </c>
      <c r="UZQ1" s="16" t="s">
        <v>16340</v>
      </c>
      <c r="UZR1" s="16" t="s">
        <v>16341</v>
      </c>
      <c r="UZS1" s="16" t="s">
        <v>16342</v>
      </c>
      <c r="UZT1" s="16" t="s">
        <v>16343</v>
      </c>
      <c r="UZU1" s="16" t="s">
        <v>16344</v>
      </c>
      <c r="UZV1" s="16" t="s">
        <v>16345</v>
      </c>
      <c r="UZW1" s="16" t="s">
        <v>16346</v>
      </c>
      <c r="UZX1" s="16" t="s">
        <v>16347</v>
      </c>
      <c r="UZY1" s="16" t="s">
        <v>16348</v>
      </c>
      <c r="UZZ1" s="16" t="s">
        <v>16349</v>
      </c>
      <c r="VAA1" s="16" t="s">
        <v>16350</v>
      </c>
      <c r="VAB1" s="16" t="s">
        <v>16351</v>
      </c>
      <c r="VAC1" s="16" t="s">
        <v>16352</v>
      </c>
      <c r="VAD1" s="16" t="s">
        <v>16353</v>
      </c>
      <c r="VAE1" s="16" t="s">
        <v>16354</v>
      </c>
      <c r="VAF1" s="16" t="s">
        <v>16355</v>
      </c>
      <c r="VAG1" s="16" t="s">
        <v>16356</v>
      </c>
      <c r="VAH1" s="16" t="s">
        <v>16357</v>
      </c>
      <c r="VAI1" s="16" t="s">
        <v>16358</v>
      </c>
      <c r="VAJ1" s="16" t="s">
        <v>16359</v>
      </c>
      <c r="VAK1" s="16" t="s">
        <v>16360</v>
      </c>
      <c r="VAL1" s="16" t="s">
        <v>16361</v>
      </c>
      <c r="VAM1" s="16" t="s">
        <v>16362</v>
      </c>
      <c r="VAN1" s="16" t="s">
        <v>16363</v>
      </c>
      <c r="VAO1" s="16" t="s">
        <v>16364</v>
      </c>
      <c r="VAP1" s="16" t="s">
        <v>16365</v>
      </c>
      <c r="VAQ1" s="16" t="s">
        <v>16366</v>
      </c>
      <c r="VAR1" s="16" t="s">
        <v>16367</v>
      </c>
      <c r="VAS1" s="16" t="s">
        <v>16368</v>
      </c>
      <c r="VAT1" s="16" t="s">
        <v>16369</v>
      </c>
      <c r="VAU1" s="16" t="s">
        <v>16370</v>
      </c>
      <c r="VAV1" s="16" t="s">
        <v>16371</v>
      </c>
      <c r="VAW1" s="16" t="s">
        <v>16372</v>
      </c>
      <c r="VAX1" s="16" t="s">
        <v>16373</v>
      </c>
      <c r="VAY1" s="16" t="s">
        <v>16374</v>
      </c>
      <c r="VAZ1" s="16" t="s">
        <v>16375</v>
      </c>
      <c r="VBA1" s="16" t="s">
        <v>16376</v>
      </c>
      <c r="VBB1" s="16" t="s">
        <v>16377</v>
      </c>
      <c r="VBC1" s="16" t="s">
        <v>16378</v>
      </c>
      <c r="VBD1" s="16" t="s">
        <v>16379</v>
      </c>
      <c r="VBE1" s="16" t="s">
        <v>16380</v>
      </c>
      <c r="VBF1" s="16" t="s">
        <v>16381</v>
      </c>
      <c r="VBG1" s="16" t="s">
        <v>16382</v>
      </c>
      <c r="VBH1" s="16" t="s">
        <v>16383</v>
      </c>
      <c r="VBI1" s="16" t="s">
        <v>16384</v>
      </c>
      <c r="VBJ1" s="16" t="s">
        <v>16385</v>
      </c>
      <c r="VBK1" s="16" t="s">
        <v>16386</v>
      </c>
      <c r="VBL1" s="16" t="s">
        <v>16387</v>
      </c>
      <c r="VBM1" s="16" t="s">
        <v>16388</v>
      </c>
      <c r="VBN1" s="16" t="s">
        <v>16389</v>
      </c>
      <c r="VBO1" s="16" t="s">
        <v>16390</v>
      </c>
      <c r="VBP1" s="16" t="s">
        <v>16391</v>
      </c>
      <c r="VBQ1" s="16" t="s">
        <v>16392</v>
      </c>
      <c r="VBR1" s="16" t="s">
        <v>16393</v>
      </c>
      <c r="VBS1" s="16" t="s">
        <v>16394</v>
      </c>
      <c r="VBT1" s="16" t="s">
        <v>16395</v>
      </c>
      <c r="VBU1" s="16" t="s">
        <v>16396</v>
      </c>
      <c r="VBV1" s="16" t="s">
        <v>16397</v>
      </c>
      <c r="VBW1" s="16" t="s">
        <v>16398</v>
      </c>
      <c r="VBX1" s="16" t="s">
        <v>16399</v>
      </c>
      <c r="VBY1" s="16" t="s">
        <v>16400</v>
      </c>
      <c r="VBZ1" s="16" t="s">
        <v>16401</v>
      </c>
      <c r="VCA1" s="16" t="s">
        <v>16402</v>
      </c>
      <c r="VCB1" s="16" t="s">
        <v>16403</v>
      </c>
      <c r="VCC1" s="16" t="s">
        <v>16404</v>
      </c>
      <c r="VCD1" s="16" t="s">
        <v>16405</v>
      </c>
      <c r="VCE1" s="16" t="s">
        <v>16406</v>
      </c>
      <c r="VCF1" s="16" t="s">
        <v>16407</v>
      </c>
      <c r="VCG1" s="16" t="s">
        <v>16408</v>
      </c>
      <c r="VCH1" s="16" t="s">
        <v>16409</v>
      </c>
      <c r="VCI1" s="16" t="s">
        <v>16410</v>
      </c>
      <c r="VCJ1" s="16" t="s">
        <v>16411</v>
      </c>
      <c r="VCK1" s="16" t="s">
        <v>16412</v>
      </c>
      <c r="VCL1" s="16" t="s">
        <v>16413</v>
      </c>
      <c r="VCM1" s="16" t="s">
        <v>16414</v>
      </c>
      <c r="VCN1" s="16" t="s">
        <v>16415</v>
      </c>
      <c r="VCO1" s="16" t="s">
        <v>16416</v>
      </c>
      <c r="VCP1" s="16" t="s">
        <v>16417</v>
      </c>
      <c r="VCQ1" s="16" t="s">
        <v>16418</v>
      </c>
      <c r="VCR1" s="16" t="s">
        <v>16419</v>
      </c>
      <c r="VCS1" s="16" t="s">
        <v>16420</v>
      </c>
      <c r="VCT1" s="16" t="s">
        <v>16421</v>
      </c>
      <c r="VCU1" s="16" t="s">
        <v>16422</v>
      </c>
      <c r="VCV1" s="16" t="s">
        <v>16423</v>
      </c>
      <c r="VCW1" s="16" t="s">
        <v>16424</v>
      </c>
      <c r="VCX1" s="16" t="s">
        <v>16425</v>
      </c>
      <c r="VCY1" s="16" t="s">
        <v>16426</v>
      </c>
      <c r="VCZ1" s="16" t="s">
        <v>16427</v>
      </c>
      <c r="VDA1" s="16" t="s">
        <v>16428</v>
      </c>
      <c r="VDB1" s="16" t="s">
        <v>16429</v>
      </c>
      <c r="VDC1" s="16" t="s">
        <v>16430</v>
      </c>
      <c r="VDD1" s="16" t="s">
        <v>16431</v>
      </c>
      <c r="VDE1" s="16" t="s">
        <v>16432</v>
      </c>
      <c r="VDF1" s="16" t="s">
        <v>16433</v>
      </c>
      <c r="VDG1" s="16" t="s">
        <v>16434</v>
      </c>
      <c r="VDH1" s="16" t="s">
        <v>16435</v>
      </c>
      <c r="VDI1" s="16" t="s">
        <v>16436</v>
      </c>
      <c r="VDJ1" s="16" t="s">
        <v>16437</v>
      </c>
      <c r="VDK1" s="16" t="s">
        <v>16438</v>
      </c>
      <c r="VDL1" s="16" t="s">
        <v>16439</v>
      </c>
      <c r="VDM1" s="16" t="s">
        <v>16440</v>
      </c>
      <c r="VDN1" s="16" t="s">
        <v>16441</v>
      </c>
      <c r="VDO1" s="16" t="s">
        <v>16442</v>
      </c>
      <c r="VDP1" s="16" t="s">
        <v>16443</v>
      </c>
      <c r="VDQ1" s="16" t="s">
        <v>16444</v>
      </c>
      <c r="VDR1" s="16" t="s">
        <v>16445</v>
      </c>
      <c r="VDS1" s="16" t="s">
        <v>16446</v>
      </c>
      <c r="VDT1" s="16" t="s">
        <v>16447</v>
      </c>
      <c r="VDU1" s="16" t="s">
        <v>16448</v>
      </c>
      <c r="VDV1" s="16" t="s">
        <v>16449</v>
      </c>
      <c r="VDW1" s="16" t="s">
        <v>16450</v>
      </c>
      <c r="VDX1" s="16" t="s">
        <v>16451</v>
      </c>
      <c r="VDY1" s="16" t="s">
        <v>16452</v>
      </c>
      <c r="VDZ1" s="16" t="s">
        <v>16453</v>
      </c>
      <c r="VEA1" s="16" t="s">
        <v>16454</v>
      </c>
      <c r="VEB1" s="16" t="s">
        <v>16455</v>
      </c>
      <c r="VEC1" s="16" t="s">
        <v>16456</v>
      </c>
      <c r="VED1" s="16" t="s">
        <v>16457</v>
      </c>
      <c r="VEE1" s="16" t="s">
        <v>16458</v>
      </c>
      <c r="VEF1" s="16" t="s">
        <v>16459</v>
      </c>
      <c r="VEG1" s="16" t="s">
        <v>16460</v>
      </c>
      <c r="VEH1" s="16" t="s">
        <v>16461</v>
      </c>
      <c r="VEI1" s="16" t="s">
        <v>16462</v>
      </c>
      <c r="VEJ1" s="16" t="s">
        <v>16463</v>
      </c>
      <c r="VEK1" s="16" t="s">
        <v>16464</v>
      </c>
      <c r="VEL1" s="16" t="s">
        <v>16465</v>
      </c>
      <c r="VEM1" s="16" t="s">
        <v>16466</v>
      </c>
      <c r="VEN1" s="16" t="s">
        <v>16467</v>
      </c>
      <c r="VEO1" s="16" t="s">
        <v>16468</v>
      </c>
      <c r="VEP1" s="16" t="s">
        <v>16469</v>
      </c>
      <c r="VEQ1" s="16" t="s">
        <v>16470</v>
      </c>
      <c r="VER1" s="16" t="s">
        <v>16471</v>
      </c>
      <c r="VES1" s="16" t="s">
        <v>16472</v>
      </c>
      <c r="VET1" s="16" t="s">
        <v>16473</v>
      </c>
      <c r="VEU1" s="16" t="s">
        <v>16474</v>
      </c>
      <c r="VEV1" s="16" t="s">
        <v>16475</v>
      </c>
      <c r="VEW1" s="16" t="s">
        <v>16476</v>
      </c>
      <c r="VEX1" s="16" t="s">
        <v>16477</v>
      </c>
      <c r="VEY1" s="16" t="s">
        <v>16478</v>
      </c>
      <c r="VEZ1" s="16" t="s">
        <v>16479</v>
      </c>
      <c r="VFA1" s="16" t="s">
        <v>16480</v>
      </c>
      <c r="VFB1" s="16" t="s">
        <v>16481</v>
      </c>
      <c r="VFC1" s="16" t="s">
        <v>16482</v>
      </c>
      <c r="VFD1" s="16" t="s">
        <v>16483</v>
      </c>
      <c r="VFE1" s="16" t="s">
        <v>16484</v>
      </c>
      <c r="VFF1" s="16" t="s">
        <v>16485</v>
      </c>
      <c r="VFG1" s="16" t="s">
        <v>16486</v>
      </c>
      <c r="VFH1" s="16" t="s">
        <v>16487</v>
      </c>
      <c r="VFI1" s="16" t="s">
        <v>16488</v>
      </c>
      <c r="VFJ1" s="16" t="s">
        <v>16489</v>
      </c>
      <c r="VFK1" s="16" t="s">
        <v>16490</v>
      </c>
      <c r="VFL1" s="16" t="s">
        <v>16491</v>
      </c>
      <c r="VFM1" s="16" t="s">
        <v>16492</v>
      </c>
      <c r="VFN1" s="16" t="s">
        <v>16493</v>
      </c>
      <c r="VFO1" s="16" t="s">
        <v>16494</v>
      </c>
      <c r="VFP1" s="16" t="s">
        <v>16495</v>
      </c>
      <c r="VFQ1" s="16" t="s">
        <v>16496</v>
      </c>
      <c r="VFR1" s="16" t="s">
        <v>16497</v>
      </c>
      <c r="VFS1" s="16" t="s">
        <v>16498</v>
      </c>
      <c r="VFT1" s="16" t="s">
        <v>16499</v>
      </c>
      <c r="VFU1" s="16" t="s">
        <v>16500</v>
      </c>
      <c r="VFV1" s="16" t="s">
        <v>16501</v>
      </c>
      <c r="VFW1" s="16" t="s">
        <v>16502</v>
      </c>
      <c r="VFX1" s="16" t="s">
        <v>16503</v>
      </c>
      <c r="VFY1" s="16" t="s">
        <v>16504</v>
      </c>
      <c r="VFZ1" s="16" t="s">
        <v>16505</v>
      </c>
      <c r="VGA1" s="16" t="s">
        <v>16506</v>
      </c>
      <c r="VGB1" s="16" t="s">
        <v>16507</v>
      </c>
      <c r="VGC1" s="16" t="s">
        <v>16508</v>
      </c>
      <c r="VGD1" s="16" t="s">
        <v>16509</v>
      </c>
      <c r="VGE1" s="16" t="s">
        <v>16510</v>
      </c>
      <c r="VGF1" s="16" t="s">
        <v>16511</v>
      </c>
      <c r="VGG1" s="16" t="s">
        <v>16512</v>
      </c>
      <c r="VGH1" s="16" t="s">
        <v>16513</v>
      </c>
      <c r="VGI1" s="16" t="s">
        <v>16514</v>
      </c>
      <c r="VGJ1" s="16" t="s">
        <v>16515</v>
      </c>
      <c r="VGK1" s="16" t="s">
        <v>16516</v>
      </c>
      <c r="VGL1" s="16" t="s">
        <v>16517</v>
      </c>
      <c r="VGM1" s="16" t="s">
        <v>16518</v>
      </c>
      <c r="VGN1" s="16" t="s">
        <v>16519</v>
      </c>
      <c r="VGO1" s="16" t="s">
        <v>16520</v>
      </c>
      <c r="VGP1" s="16" t="s">
        <v>16521</v>
      </c>
      <c r="VGQ1" s="16" t="s">
        <v>16522</v>
      </c>
      <c r="VGR1" s="16" t="s">
        <v>16523</v>
      </c>
      <c r="VGS1" s="16" t="s">
        <v>16524</v>
      </c>
      <c r="VGT1" s="16" t="s">
        <v>16525</v>
      </c>
      <c r="VGU1" s="16" t="s">
        <v>16526</v>
      </c>
      <c r="VGV1" s="16" t="s">
        <v>16527</v>
      </c>
      <c r="VGW1" s="16" t="s">
        <v>16528</v>
      </c>
      <c r="VGX1" s="16" t="s">
        <v>16529</v>
      </c>
      <c r="VGY1" s="16" t="s">
        <v>16530</v>
      </c>
      <c r="VGZ1" s="16" t="s">
        <v>16531</v>
      </c>
      <c r="VHA1" s="16" t="s">
        <v>16532</v>
      </c>
      <c r="VHB1" s="16" t="s">
        <v>16533</v>
      </c>
      <c r="VHC1" s="16" t="s">
        <v>16534</v>
      </c>
      <c r="VHD1" s="16" t="s">
        <v>16535</v>
      </c>
      <c r="VHE1" s="16" t="s">
        <v>16536</v>
      </c>
      <c r="VHF1" s="16" t="s">
        <v>16537</v>
      </c>
      <c r="VHG1" s="16" t="s">
        <v>16538</v>
      </c>
      <c r="VHH1" s="16" t="s">
        <v>16539</v>
      </c>
      <c r="VHI1" s="16" t="s">
        <v>16540</v>
      </c>
      <c r="VHJ1" s="16" t="s">
        <v>16541</v>
      </c>
      <c r="VHK1" s="16" t="s">
        <v>16542</v>
      </c>
      <c r="VHL1" s="16" t="s">
        <v>16543</v>
      </c>
      <c r="VHM1" s="16" t="s">
        <v>16544</v>
      </c>
      <c r="VHN1" s="16" t="s">
        <v>16545</v>
      </c>
      <c r="VHO1" s="16" t="s">
        <v>16546</v>
      </c>
      <c r="VHP1" s="16" t="s">
        <v>16547</v>
      </c>
      <c r="VHQ1" s="16" t="s">
        <v>16548</v>
      </c>
      <c r="VHR1" s="16" t="s">
        <v>16549</v>
      </c>
      <c r="VHS1" s="16" t="s">
        <v>16550</v>
      </c>
      <c r="VHT1" s="16" t="s">
        <v>16551</v>
      </c>
      <c r="VHU1" s="16" t="s">
        <v>16552</v>
      </c>
      <c r="VHV1" s="16" t="s">
        <v>16553</v>
      </c>
      <c r="VHW1" s="16" t="s">
        <v>16554</v>
      </c>
      <c r="VHX1" s="16" t="s">
        <v>16555</v>
      </c>
      <c r="VHY1" s="16" t="s">
        <v>16556</v>
      </c>
      <c r="VHZ1" s="16" t="s">
        <v>16557</v>
      </c>
      <c r="VIA1" s="16" t="s">
        <v>16558</v>
      </c>
      <c r="VIB1" s="16" t="s">
        <v>16559</v>
      </c>
      <c r="VIC1" s="16" t="s">
        <v>16560</v>
      </c>
      <c r="VID1" s="16" t="s">
        <v>16561</v>
      </c>
      <c r="VIE1" s="16" t="s">
        <v>16562</v>
      </c>
      <c r="VIF1" s="16" t="s">
        <v>16563</v>
      </c>
      <c r="VIG1" s="16" t="s">
        <v>16564</v>
      </c>
      <c r="VIH1" s="16" t="s">
        <v>16565</v>
      </c>
      <c r="VII1" s="16" t="s">
        <v>16566</v>
      </c>
      <c r="VIJ1" s="16" t="s">
        <v>16567</v>
      </c>
      <c r="VIK1" s="16" t="s">
        <v>16568</v>
      </c>
      <c r="VIL1" s="16" t="s">
        <v>16569</v>
      </c>
      <c r="VIM1" s="16" t="s">
        <v>16570</v>
      </c>
      <c r="VIN1" s="16" t="s">
        <v>16571</v>
      </c>
      <c r="VIO1" s="16" t="s">
        <v>16572</v>
      </c>
      <c r="VIP1" s="16" t="s">
        <v>16573</v>
      </c>
      <c r="VIQ1" s="16" t="s">
        <v>16574</v>
      </c>
      <c r="VIR1" s="16" t="s">
        <v>16575</v>
      </c>
      <c r="VIS1" s="16" t="s">
        <v>16576</v>
      </c>
      <c r="VIT1" s="16" t="s">
        <v>16577</v>
      </c>
      <c r="VIU1" s="16" t="s">
        <v>16578</v>
      </c>
      <c r="VIV1" s="16" t="s">
        <v>16579</v>
      </c>
      <c r="VIW1" s="16" t="s">
        <v>16580</v>
      </c>
      <c r="VIX1" s="16" t="s">
        <v>16581</v>
      </c>
      <c r="VIY1" s="16" t="s">
        <v>16582</v>
      </c>
      <c r="VIZ1" s="16" t="s">
        <v>16583</v>
      </c>
      <c r="VJA1" s="16" t="s">
        <v>16584</v>
      </c>
      <c r="VJB1" s="16" t="s">
        <v>16585</v>
      </c>
      <c r="VJC1" s="16" t="s">
        <v>16586</v>
      </c>
      <c r="VJD1" s="16" t="s">
        <v>16587</v>
      </c>
      <c r="VJE1" s="16" t="s">
        <v>16588</v>
      </c>
      <c r="VJF1" s="16" t="s">
        <v>16589</v>
      </c>
      <c r="VJG1" s="16" t="s">
        <v>16590</v>
      </c>
      <c r="VJH1" s="16" t="s">
        <v>16591</v>
      </c>
      <c r="VJI1" s="16" t="s">
        <v>16592</v>
      </c>
      <c r="VJJ1" s="16" t="s">
        <v>16593</v>
      </c>
      <c r="VJK1" s="16" t="s">
        <v>16594</v>
      </c>
      <c r="VJL1" s="16" t="s">
        <v>16595</v>
      </c>
      <c r="VJM1" s="16" t="s">
        <v>16596</v>
      </c>
      <c r="VJN1" s="16" t="s">
        <v>16597</v>
      </c>
      <c r="VJO1" s="16" t="s">
        <v>16598</v>
      </c>
      <c r="VJP1" s="16" t="s">
        <v>16599</v>
      </c>
      <c r="VJQ1" s="16" t="s">
        <v>16600</v>
      </c>
      <c r="VJR1" s="16" t="s">
        <v>16601</v>
      </c>
      <c r="VJS1" s="16" t="s">
        <v>16602</v>
      </c>
      <c r="VJT1" s="16" t="s">
        <v>16603</v>
      </c>
      <c r="VJU1" s="16" t="s">
        <v>16604</v>
      </c>
      <c r="VJV1" s="16" t="s">
        <v>16605</v>
      </c>
      <c r="VJW1" s="16" t="s">
        <v>16606</v>
      </c>
      <c r="VJX1" s="16" t="s">
        <v>16607</v>
      </c>
      <c r="VJY1" s="16" t="s">
        <v>16608</v>
      </c>
      <c r="VJZ1" s="16" t="s">
        <v>16609</v>
      </c>
      <c r="VKA1" s="16" t="s">
        <v>16610</v>
      </c>
      <c r="VKB1" s="16" t="s">
        <v>16611</v>
      </c>
      <c r="VKC1" s="16" t="s">
        <v>16612</v>
      </c>
      <c r="VKD1" s="16" t="s">
        <v>16613</v>
      </c>
      <c r="VKE1" s="16" t="s">
        <v>16614</v>
      </c>
      <c r="VKF1" s="16" t="s">
        <v>16615</v>
      </c>
      <c r="VKG1" s="16" t="s">
        <v>16616</v>
      </c>
      <c r="VKH1" s="16" t="s">
        <v>16617</v>
      </c>
      <c r="VKI1" s="16" t="s">
        <v>16618</v>
      </c>
      <c r="VKJ1" s="16" t="s">
        <v>16619</v>
      </c>
      <c r="VKK1" s="16" t="s">
        <v>16620</v>
      </c>
      <c r="VKL1" s="16" t="s">
        <v>16621</v>
      </c>
      <c r="VKM1" s="16" t="s">
        <v>16622</v>
      </c>
      <c r="VKN1" s="16" t="s">
        <v>16623</v>
      </c>
      <c r="VKO1" s="16" t="s">
        <v>16624</v>
      </c>
      <c r="VKP1" s="16" t="s">
        <v>16625</v>
      </c>
      <c r="VKQ1" s="16" t="s">
        <v>16626</v>
      </c>
      <c r="VKR1" s="16" t="s">
        <v>16627</v>
      </c>
      <c r="VKS1" s="16" t="s">
        <v>16628</v>
      </c>
      <c r="VKT1" s="16" t="s">
        <v>16629</v>
      </c>
      <c r="VKU1" s="16" t="s">
        <v>16630</v>
      </c>
      <c r="VKV1" s="16" t="s">
        <v>16631</v>
      </c>
      <c r="VKW1" s="16" t="s">
        <v>16632</v>
      </c>
      <c r="VKX1" s="16" t="s">
        <v>16633</v>
      </c>
      <c r="VKY1" s="16" t="s">
        <v>16634</v>
      </c>
      <c r="VKZ1" s="16" t="s">
        <v>16635</v>
      </c>
      <c r="VLA1" s="16" t="s">
        <v>16636</v>
      </c>
      <c r="VLB1" s="16" t="s">
        <v>16637</v>
      </c>
      <c r="VLC1" s="16" t="s">
        <v>16638</v>
      </c>
      <c r="VLD1" s="16" t="s">
        <v>16639</v>
      </c>
      <c r="VLE1" s="16" t="s">
        <v>16640</v>
      </c>
      <c r="VLF1" s="16" t="s">
        <v>16641</v>
      </c>
      <c r="VLG1" s="16" t="s">
        <v>16642</v>
      </c>
      <c r="VLH1" s="16" t="s">
        <v>16643</v>
      </c>
      <c r="VLI1" s="16" t="s">
        <v>16644</v>
      </c>
      <c r="VLJ1" s="16" t="s">
        <v>16645</v>
      </c>
      <c r="VLK1" s="16" t="s">
        <v>16646</v>
      </c>
      <c r="VLL1" s="16" t="s">
        <v>16647</v>
      </c>
      <c r="VLM1" s="16" t="s">
        <v>16648</v>
      </c>
      <c r="VLN1" s="16" t="s">
        <v>16649</v>
      </c>
      <c r="VLO1" s="16" t="s">
        <v>16650</v>
      </c>
      <c r="VLP1" s="16" t="s">
        <v>16651</v>
      </c>
      <c r="VLQ1" s="16" t="s">
        <v>16652</v>
      </c>
      <c r="VLR1" s="16" t="s">
        <v>16653</v>
      </c>
      <c r="VLS1" s="16" t="s">
        <v>16654</v>
      </c>
      <c r="VLT1" s="16" t="s">
        <v>16655</v>
      </c>
      <c r="VLU1" s="16" t="s">
        <v>16656</v>
      </c>
      <c r="VLV1" s="16" t="s">
        <v>16657</v>
      </c>
      <c r="VLW1" s="16" t="s">
        <v>16658</v>
      </c>
      <c r="VLX1" s="16" t="s">
        <v>16659</v>
      </c>
      <c r="VLY1" s="16" t="s">
        <v>16660</v>
      </c>
      <c r="VLZ1" s="16" t="s">
        <v>16661</v>
      </c>
      <c r="VMA1" s="16" t="s">
        <v>16662</v>
      </c>
      <c r="VMB1" s="16" t="s">
        <v>16663</v>
      </c>
      <c r="VMC1" s="16" t="s">
        <v>16664</v>
      </c>
      <c r="VMD1" s="16" t="s">
        <v>16665</v>
      </c>
      <c r="VME1" s="16" t="s">
        <v>16666</v>
      </c>
      <c r="VMF1" s="16" t="s">
        <v>16667</v>
      </c>
      <c r="VMG1" s="16" t="s">
        <v>16668</v>
      </c>
      <c r="VMH1" s="16" t="s">
        <v>16669</v>
      </c>
      <c r="VMI1" s="16" t="s">
        <v>16670</v>
      </c>
      <c r="VMJ1" s="16" t="s">
        <v>16671</v>
      </c>
      <c r="VMK1" s="16" t="s">
        <v>16672</v>
      </c>
      <c r="VML1" s="16" t="s">
        <v>16673</v>
      </c>
      <c r="VMM1" s="16" t="s">
        <v>16674</v>
      </c>
      <c r="VMN1" s="16" t="s">
        <v>16675</v>
      </c>
      <c r="VMO1" s="16" t="s">
        <v>16676</v>
      </c>
      <c r="VMP1" s="16" t="s">
        <v>16677</v>
      </c>
      <c r="VMQ1" s="16" t="s">
        <v>16678</v>
      </c>
      <c r="VMR1" s="16" t="s">
        <v>16679</v>
      </c>
      <c r="VMS1" s="16" t="s">
        <v>16680</v>
      </c>
      <c r="VMT1" s="16" t="s">
        <v>16681</v>
      </c>
      <c r="VMU1" s="16" t="s">
        <v>16682</v>
      </c>
      <c r="VMV1" s="16" t="s">
        <v>16683</v>
      </c>
      <c r="VMW1" s="16" t="s">
        <v>16684</v>
      </c>
      <c r="VMX1" s="16" t="s">
        <v>16685</v>
      </c>
      <c r="VMY1" s="16" t="s">
        <v>16686</v>
      </c>
      <c r="VMZ1" s="16" t="s">
        <v>16687</v>
      </c>
      <c r="VNA1" s="16" t="s">
        <v>16688</v>
      </c>
      <c r="VNB1" s="16" t="s">
        <v>16689</v>
      </c>
      <c r="VNC1" s="16" t="s">
        <v>16690</v>
      </c>
      <c r="VND1" s="16" t="s">
        <v>16691</v>
      </c>
      <c r="VNE1" s="16" t="s">
        <v>16692</v>
      </c>
      <c r="VNF1" s="16" t="s">
        <v>16693</v>
      </c>
      <c r="VNG1" s="16" t="s">
        <v>16694</v>
      </c>
      <c r="VNH1" s="16" t="s">
        <v>16695</v>
      </c>
      <c r="VNI1" s="16" t="s">
        <v>16696</v>
      </c>
      <c r="VNJ1" s="16" t="s">
        <v>16697</v>
      </c>
      <c r="VNK1" s="16" t="s">
        <v>16698</v>
      </c>
      <c r="VNL1" s="16" t="s">
        <v>16699</v>
      </c>
      <c r="VNM1" s="16" t="s">
        <v>16700</v>
      </c>
      <c r="VNN1" s="16" t="s">
        <v>16701</v>
      </c>
      <c r="VNO1" s="16" t="s">
        <v>16702</v>
      </c>
      <c r="VNP1" s="16" t="s">
        <v>16703</v>
      </c>
      <c r="VNQ1" s="16" t="s">
        <v>16704</v>
      </c>
      <c r="VNR1" s="16" t="s">
        <v>16705</v>
      </c>
      <c r="VNS1" s="16" t="s">
        <v>16706</v>
      </c>
      <c r="VNT1" s="16" t="s">
        <v>16707</v>
      </c>
      <c r="VNU1" s="16" t="s">
        <v>16708</v>
      </c>
      <c r="VNV1" s="16" t="s">
        <v>16709</v>
      </c>
      <c r="VNW1" s="16" t="s">
        <v>16710</v>
      </c>
      <c r="VNX1" s="16" t="s">
        <v>16711</v>
      </c>
      <c r="VNY1" s="16" t="s">
        <v>16712</v>
      </c>
      <c r="VNZ1" s="16" t="s">
        <v>16713</v>
      </c>
      <c r="VOA1" s="16" t="s">
        <v>16714</v>
      </c>
      <c r="VOB1" s="16" t="s">
        <v>16715</v>
      </c>
      <c r="VOC1" s="16" t="s">
        <v>16716</v>
      </c>
      <c r="VOD1" s="16" t="s">
        <v>16717</v>
      </c>
      <c r="VOE1" s="16" t="s">
        <v>16718</v>
      </c>
      <c r="VOF1" s="16" t="s">
        <v>16719</v>
      </c>
      <c r="VOG1" s="16" t="s">
        <v>16720</v>
      </c>
      <c r="VOH1" s="16" t="s">
        <v>16721</v>
      </c>
      <c r="VOI1" s="16" t="s">
        <v>16722</v>
      </c>
      <c r="VOJ1" s="16" t="s">
        <v>16723</v>
      </c>
      <c r="VOK1" s="16" t="s">
        <v>16724</v>
      </c>
      <c r="VOL1" s="16" t="s">
        <v>16725</v>
      </c>
      <c r="VOM1" s="16" t="s">
        <v>16726</v>
      </c>
      <c r="VON1" s="16" t="s">
        <v>16727</v>
      </c>
      <c r="VOO1" s="16" t="s">
        <v>16728</v>
      </c>
      <c r="VOP1" s="16" t="s">
        <v>16729</v>
      </c>
      <c r="VOQ1" s="16" t="s">
        <v>16730</v>
      </c>
      <c r="VOR1" s="16" t="s">
        <v>16731</v>
      </c>
      <c r="VOS1" s="16" t="s">
        <v>16732</v>
      </c>
      <c r="VOT1" s="16" t="s">
        <v>16733</v>
      </c>
      <c r="VOU1" s="16" t="s">
        <v>16734</v>
      </c>
      <c r="VOV1" s="16" t="s">
        <v>16735</v>
      </c>
      <c r="VOW1" s="16" t="s">
        <v>16736</v>
      </c>
      <c r="VOX1" s="16" t="s">
        <v>16737</v>
      </c>
      <c r="VOY1" s="16" t="s">
        <v>16738</v>
      </c>
      <c r="VOZ1" s="16" t="s">
        <v>16739</v>
      </c>
      <c r="VPA1" s="16" t="s">
        <v>16740</v>
      </c>
      <c r="VPB1" s="16" t="s">
        <v>16741</v>
      </c>
      <c r="VPC1" s="16" t="s">
        <v>16742</v>
      </c>
      <c r="VPD1" s="16" t="s">
        <v>16743</v>
      </c>
      <c r="VPE1" s="16" t="s">
        <v>16744</v>
      </c>
      <c r="VPF1" s="16" t="s">
        <v>16745</v>
      </c>
      <c r="VPG1" s="16" t="s">
        <v>16746</v>
      </c>
      <c r="VPH1" s="16" t="s">
        <v>16747</v>
      </c>
      <c r="VPI1" s="16" t="s">
        <v>16748</v>
      </c>
      <c r="VPJ1" s="16" t="s">
        <v>16749</v>
      </c>
      <c r="VPK1" s="16" t="s">
        <v>16750</v>
      </c>
      <c r="VPL1" s="16" t="s">
        <v>16751</v>
      </c>
      <c r="VPM1" s="16" t="s">
        <v>16752</v>
      </c>
      <c r="VPN1" s="16" t="s">
        <v>16753</v>
      </c>
      <c r="VPO1" s="16" t="s">
        <v>16754</v>
      </c>
      <c r="VPP1" s="16" t="s">
        <v>16755</v>
      </c>
      <c r="VPQ1" s="16" t="s">
        <v>16756</v>
      </c>
      <c r="VPR1" s="16" t="s">
        <v>16757</v>
      </c>
      <c r="VPS1" s="16" t="s">
        <v>16758</v>
      </c>
      <c r="VPT1" s="16" t="s">
        <v>16759</v>
      </c>
      <c r="VPU1" s="16" t="s">
        <v>16760</v>
      </c>
      <c r="VPV1" s="16" t="s">
        <v>16761</v>
      </c>
      <c r="VPW1" s="16" t="s">
        <v>16762</v>
      </c>
      <c r="VPX1" s="16" t="s">
        <v>16763</v>
      </c>
      <c r="VPY1" s="16" t="s">
        <v>16764</v>
      </c>
      <c r="VPZ1" s="16" t="s">
        <v>16765</v>
      </c>
      <c r="VQA1" s="16" t="s">
        <v>16766</v>
      </c>
      <c r="VQB1" s="16" t="s">
        <v>16767</v>
      </c>
      <c r="VQC1" s="16" t="s">
        <v>16768</v>
      </c>
      <c r="VQD1" s="16" t="s">
        <v>16769</v>
      </c>
      <c r="VQE1" s="16" t="s">
        <v>16770</v>
      </c>
      <c r="VQF1" s="16" t="s">
        <v>16771</v>
      </c>
      <c r="VQG1" s="16" t="s">
        <v>16772</v>
      </c>
      <c r="VQH1" s="16" t="s">
        <v>16773</v>
      </c>
      <c r="VQI1" s="16" t="s">
        <v>16774</v>
      </c>
      <c r="VQJ1" s="16" t="s">
        <v>16775</v>
      </c>
      <c r="VQK1" s="16" t="s">
        <v>16776</v>
      </c>
      <c r="VQL1" s="16" t="s">
        <v>16777</v>
      </c>
      <c r="VQM1" s="16" t="s">
        <v>16778</v>
      </c>
      <c r="VQN1" s="16" t="s">
        <v>16779</v>
      </c>
      <c r="VQO1" s="16" t="s">
        <v>16780</v>
      </c>
      <c r="VQP1" s="16" t="s">
        <v>16781</v>
      </c>
      <c r="VQQ1" s="16" t="s">
        <v>16782</v>
      </c>
      <c r="VQR1" s="16" t="s">
        <v>16783</v>
      </c>
      <c r="VQS1" s="16" t="s">
        <v>16784</v>
      </c>
      <c r="VQT1" s="16" t="s">
        <v>16785</v>
      </c>
      <c r="VQU1" s="16" t="s">
        <v>16786</v>
      </c>
      <c r="VQV1" s="16" t="s">
        <v>16787</v>
      </c>
      <c r="VQW1" s="16" t="s">
        <v>16788</v>
      </c>
      <c r="VQX1" s="16" t="s">
        <v>16789</v>
      </c>
      <c r="VQY1" s="16" t="s">
        <v>16790</v>
      </c>
      <c r="VQZ1" s="16" t="s">
        <v>16791</v>
      </c>
      <c r="VRA1" s="16" t="s">
        <v>16792</v>
      </c>
      <c r="VRB1" s="16" t="s">
        <v>16793</v>
      </c>
      <c r="VRC1" s="16" t="s">
        <v>16794</v>
      </c>
      <c r="VRD1" s="16" t="s">
        <v>16795</v>
      </c>
      <c r="VRE1" s="16" t="s">
        <v>16796</v>
      </c>
      <c r="VRF1" s="16" t="s">
        <v>16797</v>
      </c>
      <c r="VRG1" s="16" t="s">
        <v>16798</v>
      </c>
      <c r="VRH1" s="16" t="s">
        <v>16799</v>
      </c>
      <c r="VRI1" s="16" t="s">
        <v>16800</v>
      </c>
      <c r="VRJ1" s="16" t="s">
        <v>16801</v>
      </c>
      <c r="VRK1" s="16" t="s">
        <v>16802</v>
      </c>
      <c r="VRL1" s="16" t="s">
        <v>16803</v>
      </c>
      <c r="VRM1" s="16" t="s">
        <v>16804</v>
      </c>
      <c r="VRN1" s="16" t="s">
        <v>16805</v>
      </c>
      <c r="VRO1" s="16" t="s">
        <v>16806</v>
      </c>
      <c r="VRP1" s="16" t="s">
        <v>16807</v>
      </c>
      <c r="VRQ1" s="16" t="s">
        <v>16808</v>
      </c>
      <c r="VRR1" s="16" t="s">
        <v>16809</v>
      </c>
      <c r="VRS1" s="16" t="s">
        <v>16810</v>
      </c>
      <c r="VRT1" s="16" t="s">
        <v>16811</v>
      </c>
      <c r="VRU1" s="16" t="s">
        <v>16812</v>
      </c>
      <c r="VRV1" s="16" t="s">
        <v>16813</v>
      </c>
      <c r="VRW1" s="16" t="s">
        <v>16814</v>
      </c>
      <c r="VRX1" s="16" t="s">
        <v>16815</v>
      </c>
      <c r="VRY1" s="16" t="s">
        <v>16816</v>
      </c>
      <c r="VRZ1" s="16" t="s">
        <v>16817</v>
      </c>
      <c r="VSA1" s="16" t="s">
        <v>16818</v>
      </c>
      <c r="VSB1" s="16" t="s">
        <v>16819</v>
      </c>
      <c r="VSC1" s="16" t="s">
        <v>16820</v>
      </c>
      <c r="VSD1" s="16" t="s">
        <v>16821</v>
      </c>
      <c r="VSE1" s="16" t="s">
        <v>16822</v>
      </c>
      <c r="VSF1" s="16" t="s">
        <v>16823</v>
      </c>
      <c r="VSG1" s="16" t="s">
        <v>16824</v>
      </c>
      <c r="VSH1" s="16" t="s">
        <v>16825</v>
      </c>
      <c r="VSI1" s="16" t="s">
        <v>16826</v>
      </c>
      <c r="VSJ1" s="16" t="s">
        <v>16827</v>
      </c>
      <c r="VSK1" s="16" t="s">
        <v>16828</v>
      </c>
      <c r="VSL1" s="16" t="s">
        <v>16829</v>
      </c>
      <c r="VSM1" s="16" t="s">
        <v>16830</v>
      </c>
      <c r="VSN1" s="16" t="s">
        <v>16831</v>
      </c>
      <c r="VSO1" s="16" t="s">
        <v>16832</v>
      </c>
      <c r="VSP1" s="16" t="s">
        <v>16833</v>
      </c>
      <c r="VSQ1" s="16" t="s">
        <v>16834</v>
      </c>
      <c r="VSR1" s="16" t="s">
        <v>16835</v>
      </c>
      <c r="VSS1" s="16" t="s">
        <v>16836</v>
      </c>
      <c r="VST1" s="16" t="s">
        <v>16837</v>
      </c>
      <c r="VSU1" s="16" t="s">
        <v>16838</v>
      </c>
      <c r="VSV1" s="16" t="s">
        <v>16839</v>
      </c>
      <c r="VSW1" s="16" t="s">
        <v>16840</v>
      </c>
      <c r="VSX1" s="16" t="s">
        <v>16841</v>
      </c>
      <c r="VSY1" s="16" t="s">
        <v>16842</v>
      </c>
      <c r="VSZ1" s="16" t="s">
        <v>16843</v>
      </c>
      <c r="VTA1" s="16" t="s">
        <v>16844</v>
      </c>
      <c r="VTB1" s="16" t="s">
        <v>16845</v>
      </c>
      <c r="VTC1" s="16" t="s">
        <v>16846</v>
      </c>
      <c r="VTD1" s="16" t="s">
        <v>16847</v>
      </c>
      <c r="VTE1" s="16" t="s">
        <v>16848</v>
      </c>
      <c r="VTF1" s="16" t="s">
        <v>16849</v>
      </c>
      <c r="VTG1" s="16" t="s">
        <v>16850</v>
      </c>
      <c r="VTH1" s="16" t="s">
        <v>16851</v>
      </c>
      <c r="VTI1" s="16" t="s">
        <v>16852</v>
      </c>
      <c r="VTJ1" s="16" t="s">
        <v>16853</v>
      </c>
      <c r="VTK1" s="16" t="s">
        <v>16854</v>
      </c>
      <c r="VTL1" s="16" t="s">
        <v>16855</v>
      </c>
      <c r="VTM1" s="16" t="s">
        <v>16856</v>
      </c>
      <c r="VTN1" s="16" t="s">
        <v>16857</v>
      </c>
      <c r="VTO1" s="16" t="s">
        <v>16858</v>
      </c>
      <c r="VTP1" s="16" t="s">
        <v>16859</v>
      </c>
      <c r="VTQ1" s="16" t="s">
        <v>16860</v>
      </c>
      <c r="VTR1" s="16" t="s">
        <v>16861</v>
      </c>
      <c r="VTS1" s="16" t="s">
        <v>16862</v>
      </c>
      <c r="VTT1" s="16" t="s">
        <v>16863</v>
      </c>
      <c r="VTU1" s="16" t="s">
        <v>16864</v>
      </c>
      <c r="VTV1" s="16" t="s">
        <v>16865</v>
      </c>
      <c r="VTW1" s="16" t="s">
        <v>16866</v>
      </c>
      <c r="VTX1" s="16" t="s">
        <v>16867</v>
      </c>
      <c r="VTY1" s="16" t="s">
        <v>16868</v>
      </c>
      <c r="VTZ1" s="16" t="s">
        <v>16869</v>
      </c>
      <c r="VUA1" s="16" t="s">
        <v>16870</v>
      </c>
      <c r="VUB1" s="16" t="s">
        <v>16871</v>
      </c>
      <c r="VUC1" s="16" t="s">
        <v>16872</v>
      </c>
      <c r="VUD1" s="16" t="s">
        <v>16873</v>
      </c>
      <c r="VUE1" s="16" t="s">
        <v>16874</v>
      </c>
      <c r="VUF1" s="16" t="s">
        <v>16875</v>
      </c>
      <c r="VUG1" s="16" t="s">
        <v>16876</v>
      </c>
      <c r="VUH1" s="16" t="s">
        <v>16877</v>
      </c>
      <c r="VUI1" s="16" t="s">
        <v>16878</v>
      </c>
      <c r="VUJ1" s="16" t="s">
        <v>16879</v>
      </c>
      <c r="VUK1" s="16" t="s">
        <v>16880</v>
      </c>
      <c r="VUL1" s="16" t="s">
        <v>16881</v>
      </c>
      <c r="VUM1" s="16" t="s">
        <v>16882</v>
      </c>
      <c r="VUN1" s="16" t="s">
        <v>16883</v>
      </c>
      <c r="VUO1" s="16" t="s">
        <v>16884</v>
      </c>
      <c r="VUP1" s="16" t="s">
        <v>16885</v>
      </c>
      <c r="VUQ1" s="16" t="s">
        <v>16886</v>
      </c>
      <c r="VUR1" s="16" t="s">
        <v>16887</v>
      </c>
      <c r="VUS1" s="16" t="s">
        <v>16888</v>
      </c>
      <c r="VUT1" s="16" t="s">
        <v>16889</v>
      </c>
      <c r="VUU1" s="16" t="s">
        <v>16890</v>
      </c>
      <c r="VUV1" s="16" t="s">
        <v>16891</v>
      </c>
      <c r="VUW1" s="16" t="s">
        <v>16892</v>
      </c>
      <c r="VUX1" s="16" t="s">
        <v>16893</v>
      </c>
      <c r="VUY1" s="16" t="s">
        <v>16894</v>
      </c>
      <c r="VUZ1" s="16" t="s">
        <v>16895</v>
      </c>
      <c r="VVA1" s="16" t="s">
        <v>16896</v>
      </c>
      <c r="VVB1" s="16" t="s">
        <v>16897</v>
      </c>
      <c r="VVC1" s="16" t="s">
        <v>16898</v>
      </c>
      <c r="VVD1" s="16" t="s">
        <v>16899</v>
      </c>
      <c r="VVE1" s="16" t="s">
        <v>16900</v>
      </c>
      <c r="VVF1" s="16" t="s">
        <v>16901</v>
      </c>
      <c r="VVG1" s="16" t="s">
        <v>16902</v>
      </c>
      <c r="VVH1" s="16" t="s">
        <v>16903</v>
      </c>
      <c r="VVI1" s="16" t="s">
        <v>16904</v>
      </c>
      <c r="VVJ1" s="16" t="s">
        <v>16905</v>
      </c>
      <c r="VVK1" s="16" t="s">
        <v>16906</v>
      </c>
      <c r="VVL1" s="16" t="s">
        <v>16907</v>
      </c>
      <c r="VVM1" s="16" t="s">
        <v>16908</v>
      </c>
      <c r="VVN1" s="16" t="s">
        <v>16909</v>
      </c>
      <c r="VVO1" s="16" t="s">
        <v>16910</v>
      </c>
      <c r="VVP1" s="16" t="s">
        <v>16911</v>
      </c>
      <c r="VVQ1" s="16" t="s">
        <v>16912</v>
      </c>
      <c r="VVR1" s="16" t="s">
        <v>16913</v>
      </c>
      <c r="VVS1" s="16" t="s">
        <v>16914</v>
      </c>
      <c r="VVT1" s="16" t="s">
        <v>16915</v>
      </c>
      <c r="VVU1" s="16" t="s">
        <v>16916</v>
      </c>
      <c r="VVV1" s="16" t="s">
        <v>16917</v>
      </c>
      <c r="VVW1" s="16" t="s">
        <v>16918</v>
      </c>
      <c r="VVX1" s="16" t="s">
        <v>16919</v>
      </c>
      <c r="VVY1" s="16" t="s">
        <v>16920</v>
      </c>
      <c r="VVZ1" s="16" t="s">
        <v>16921</v>
      </c>
      <c r="VWA1" s="16" t="s">
        <v>16922</v>
      </c>
      <c r="VWB1" s="16" t="s">
        <v>16923</v>
      </c>
      <c r="VWC1" s="16" t="s">
        <v>16924</v>
      </c>
      <c r="VWD1" s="16" t="s">
        <v>16925</v>
      </c>
      <c r="VWE1" s="16" t="s">
        <v>16926</v>
      </c>
      <c r="VWF1" s="16" t="s">
        <v>16927</v>
      </c>
      <c r="VWG1" s="16" t="s">
        <v>16928</v>
      </c>
      <c r="VWH1" s="16" t="s">
        <v>16929</v>
      </c>
      <c r="VWI1" s="16" t="s">
        <v>16930</v>
      </c>
      <c r="VWJ1" s="16" t="s">
        <v>16931</v>
      </c>
      <c r="VWK1" s="16" t="s">
        <v>16932</v>
      </c>
      <c r="VWL1" s="16" t="s">
        <v>16933</v>
      </c>
      <c r="VWM1" s="16" t="s">
        <v>16934</v>
      </c>
      <c r="VWN1" s="16" t="s">
        <v>16935</v>
      </c>
      <c r="VWO1" s="16" t="s">
        <v>16936</v>
      </c>
      <c r="VWP1" s="16" t="s">
        <v>16937</v>
      </c>
      <c r="VWQ1" s="16" t="s">
        <v>16938</v>
      </c>
      <c r="VWR1" s="16" t="s">
        <v>16939</v>
      </c>
      <c r="VWS1" s="16" t="s">
        <v>16940</v>
      </c>
      <c r="VWT1" s="16" t="s">
        <v>16941</v>
      </c>
      <c r="VWU1" s="16" t="s">
        <v>16942</v>
      </c>
      <c r="VWV1" s="16" t="s">
        <v>16943</v>
      </c>
      <c r="VWW1" s="16" t="s">
        <v>16944</v>
      </c>
      <c r="VWX1" s="16" t="s">
        <v>16945</v>
      </c>
      <c r="VWY1" s="16" t="s">
        <v>16946</v>
      </c>
      <c r="VWZ1" s="16" t="s">
        <v>16947</v>
      </c>
      <c r="VXA1" s="16" t="s">
        <v>16948</v>
      </c>
      <c r="VXB1" s="16" t="s">
        <v>16949</v>
      </c>
      <c r="VXC1" s="16" t="s">
        <v>16950</v>
      </c>
      <c r="VXD1" s="16" t="s">
        <v>16951</v>
      </c>
      <c r="VXE1" s="16" t="s">
        <v>16952</v>
      </c>
      <c r="VXF1" s="16" t="s">
        <v>16953</v>
      </c>
      <c r="VXG1" s="16" t="s">
        <v>16954</v>
      </c>
      <c r="VXH1" s="16" t="s">
        <v>16955</v>
      </c>
      <c r="VXI1" s="16" t="s">
        <v>16956</v>
      </c>
      <c r="VXJ1" s="16" t="s">
        <v>16957</v>
      </c>
      <c r="VXK1" s="16" t="s">
        <v>16958</v>
      </c>
      <c r="VXL1" s="16" t="s">
        <v>16959</v>
      </c>
      <c r="VXM1" s="16" t="s">
        <v>16960</v>
      </c>
      <c r="VXN1" s="16" t="s">
        <v>16961</v>
      </c>
      <c r="VXO1" s="16" t="s">
        <v>16962</v>
      </c>
      <c r="VXP1" s="16" t="s">
        <v>16963</v>
      </c>
      <c r="VXQ1" s="16" t="s">
        <v>16964</v>
      </c>
      <c r="VXR1" s="16" t="s">
        <v>16965</v>
      </c>
      <c r="VXS1" s="16" t="s">
        <v>16966</v>
      </c>
      <c r="VXT1" s="16" t="s">
        <v>16967</v>
      </c>
      <c r="VXU1" s="16" t="s">
        <v>16968</v>
      </c>
      <c r="VXV1" s="16" t="s">
        <v>16969</v>
      </c>
      <c r="VXW1" s="16" t="s">
        <v>16970</v>
      </c>
      <c r="VXX1" s="16" t="s">
        <v>16971</v>
      </c>
      <c r="VXY1" s="16" t="s">
        <v>16972</v>
      </c>
      <c r="VXZ1" s="16" t="s">
        <v>16973</v>
      </c>
      <c r="VYA1" s="16" t="s">
        <v>16974</v>
      </c>
      <c r="VYB1" s="16" t="s">
        <v>16975</v>
      </c>
      <c r="VYC1" s="16" t="s">
        <v>16976</v>
      </c>
      <c r="VYD1" s="16" t="s">
        <v>16977</v>
      </c>
      <c r="VYE1" s="16" t="s">
        <v>16978</v>
      </c>
      <c r="VYF1" s="16" t="s">
        <v>16979</v>
      </c>
      <c r="VYG1" s="16" t="s">
        <v>16980</v>
      </c>
      <c r="VYH1" s="16" t="s">
        <v>16981</v>
      </c>
      <c r="VYI1" s="16" t="s">
        <v>16982</v>
      </c>
      <c r="VYJ1" s="16" t="s">
        <v>16983</v>
      </c>
      <c r="VYK1" s="16" t="s">
        <v>16984</v>
      </c>
      <c r="VYL1" s="16" t="s">
        <v>16985</v>
      </c>
      <c r="VYM1" s="16" t="s">
        <v>16986</v>
      </c>
      <c r="VYN1" s="16" t="s">
        <v>16987</v>
      </c>
      <c r="VYO1" s="16" t="s">
        <v>16988</v>
      </c>
      <c r="VYP1" s="16" t="s">
        <v>16989</v>
      </c>
      <c r="VYQ1" s="16" t="s">
        <v>16990</v>
      </c>
      <c r="VYR1" s="16" t="s">
        <v>16991</v>
      </c>
      <c r="VYS1" s="16" t="s">
        <v>16992</v>
      </c>
      <c r="VYT1" s="16" t="s">
        <v>16993</v>
      </c>
      <c r="VYU1" s="16" t="s">
        <v>16994</v>
      </c>
      <c r="VYV1" s="16" t="s">
        <v>16995</v>
      </c>
      <c r="VYW1" s="16" t="s">
        <v>16996</v>
      </c>
      <c r="VYX1" s="16" t="s">
        <v>16997</v>
      </c>
      <c r="VYY1" s="16" t="s">
        <v>16998</v>
      </c>
      <c r="VYZ1" s="16" t="s">
        <v>16999</v>
      </c>
      <c r="VZA1" s="16" t="s">
        <v>17000</v>
      </c>
      <c r="VZB1" s="16" t="s">
        <v>17001</v>
      </c>
      <c r="VZC1" s="16" t="s">
        <v>17002</v>
      </c>
      <c r="VZD1" s="16" t="s">
        <v>17003</v>
      </c>
      <c r="VZE1" s="16" t="s">
        <v>17004</v>
      </c>
      <c r="VZF1" s="16" t="s">
        <v>17005</v>
      </c>
      <c r="VZG1" s="16" t="s">
        <v>17006</v>
      </c>
      <c r="VZH1" s="16" t="s">
        <v>17007</v>
      </c>
      <c r="VZI1" s="16" t="s">
        <v>17008</v>
      </c>
      <c r="VZJ1" s="16" t="s">
        <v>17009</v>
      </c>
      <c r="VZK1" s="16" t="s">
        <v>17010</v>
      </c>
      <c r="VZL1" s="16" t="s">
        <v>17011</v>
      </c>
      <c r="VZM1" s="16" t="s">
        <v>17012</v>
      </c>
      <c r="VZN1" s="16" t="s">
        <v>17013</v>
      </c>
      <c r="VZO1" s="16" t="s">
        <v>17014</v>
      </c>
      <c r="VZP1" s="16" t="s">
        <v>17015</v>
      </c>
      <c r="VZQ1" s="16" t="s">
        <v>17016</v>
      </c>
      <c r="VZR1" s="16" t="s">
        <v>17017</v>
      </c>
      <c r="VZS1" s="16" t="s">
        <v>17018</v>
      </c>
      <c r="VZT1" s="16" t="s">
        <v>17019</v>
      </c>
      <c r="VZU1" s="16" t="s">
        <v>17020</v>
      </c>
      <c r="VZV1" s="16" t="s">
        <v>17021</v>
      </c>
      <c r="VZW1" s="16" t="s">
        <v>17022</v>
      </c>
      <c r="VZX1" s="16" t="s">
        <v>17023</v>
      </c>
      <c r="VZY1" s="16" t="s">
        <v>17024</v>
      </c>
      <c r="VZZ1" s="16" t="s">
        <v>17025</v>
      </c>
      <c r="WAA1" s="16" t="s">
        <v>17026</v>
      </c>
      <c r="WAB1" s="16" t="s">
        <v>17027</v>
      </c>
      <c r="WAC1" s="16" t="s">
        <v>17028</v>
      </c>
      <c r="WAD1" s="16" t="s">
        <v>17029</v>
      </c>
      <c r="WAE1" s="16" t="s">
        <v>17030</v>
      </c>
      <c r="WAF1" s="16" t="s">
        <v>17031</v>
      </c>
      <c r="WAG1" s="16" t="s">
        <v>17032</v>
      </c>
      <c r="WAH1" s="16" t="s">
        <v>17033</v>
      </c>
      <c r="WAI1" s="16" t="s">
        <v>17034</v>
      </c>
      <c r="WAJ1" s="16" t="s">
        <v>17035</v>
      </c>
      <c r="WAK1" s="16" t="s">
        <v>17036</v>
      </c>
      <c r="WAL1" s="16" t="s">
        <v>17037</v>
      </c>
      <c r="WAM1" s="16" t="s">
        <v>17038</v>
      </c>
      <c r="WAN1" s="16" t="s">
        <v>17039</v>
      </c>
      <c r="WAO1" s="16" t="s">
        <v>17040</v>
      </c>
      <c r="WAP1" s="16" t="s">
        <v>17041</v>
      </c>
      <c r="WAQ1" s="16" t="s">
        <v>17042</v>
      </c>
      <c r="WAR1" s="16" t="s">
        <v>17043</v>
      </c>
      <c r="WAS1" s="16" t="s">
        <v>17044</v>
      </c>
      <c r="WAT1" s="16" t="s">
        <v>17045</v>
      </c>
      <c r="WAU1" s="16" t="s">
        <v>17046</v>
      </c>
      <c r="WAV1" s="16" t="s">
        <v>17047</v>
      </c>
      <c r="WAW1" s="16" t="s">
        <v>17048</v>
      </c>
      <c r="WAX1" s="16" t="s">
        <v>17049</v>
      </c>
      <c r="WAY1" s="16" t="s">
        <v>17050</v>
      </c>
      <c r="WAZ1" s="16" t="s">
        <v>17051</v>
      </c>
      <c r="WBA1" s="16" t="s">
        <v>17052</v>
      </c>
      <c r="WBB1" s="16" t="s">
        <v>17053</v>
      </c>
      <c r="WBC1" s="16" t="s">
        <v>17054</v>
      </c>
      <c r="WBD1" s="16" t="s">
        <v>17055</v>
      </c>
      <c r="WBE1" s="16" t="s">
        <v>17056</v>
      </c>
      <c r="WBF1" s="16" t="s">
        <v>17057</v>
      </c>
      <c r="WBG1" s="16" t="s">
        <v>17058</v>
      </c>
      <c r="WBH1" s="16" t="s">
        <v>17059</v>
      </c>
      <c r="WBI1" s="16" t="s">
        <v>17060</v>
      </c>
      <c r="WBJ1" s="16" t="s">
        <v>17061</v>
      </c>
      <c r="WBK1" s="16" t="s">
        <v>17062</v>
      </c>
      <c r="WBL1" s="16" t="s">
        <v>17063</v>
      </c>
      <c r="WBM1" s="16" t="s">
        <v>17064</v>
      </c>
      <c r="WBN1" s="16" t="s">
        <v>17065</v>
      </c>
      <c r="WBO1" s="16" t="s">
        <v>17066</v>
      </c>
      <c r="WBP1" s="16" t="s">
        <v>17067</v>
      </c>
      <c r="WBQ1" s="16" t="s">
        <v>17068</v>
      </c>
      <c r="WBR1" s="16" t="s">
        <v>17069</v>
      </c>
      <c r="WBS1" s="16" t="s">
        <v>17070</v>
      </c>
      <c r="WBT1" s="16" t="s">
        <v>17071</v>
      </c>
      <c r="WBU1" s="16" t="s">
        <v>17072</v>
      </c>
      <c r="WBV1" s="16" t="s">
        <v>17073</v>
      </c>
      <c r="WBW1" s="16" t="s">
        <v>17074</v>
      </c>
      <c r="WBX1" s="16" t="s">
        <v>17075</v>
      </c>
      <c r="WBY1" s="16" t="s">
        <v>17076</v>
      </c>
      <c r="WBZ1" s="16" t="s">
        <v>17077</v>
      </c>
      <c r="WCA1" s="16" t="s">
        <v>17078</v>
      </c>
      <c r="WCB1" s="16" t="s">
        <v>17079</v>
      </c>
      <c r="WCC1" s="16" t="s">
        <v>17080</v>
      </c>
      <c r="WCD1" s="16" t="s">
        <v>17081</v>
      </c>
      <c r="WCE1" s="16" t="s">
        <v>17082</v>
      </c>
      <c r="WCF1" s="16" t="s">
        <v>17083</v>
      </c>
      <c r="WCG1" s="16" t="s">
        <v>17084</v>
      </c>
      <c r="WCH1" s="16" t="s">
        <v>17085</v>
      </c>
      <c r="WCI1" s="16" t="s">
        <v>17086</v>
      </c>
      <c r="WCJ1" s="16" t="s">
        <v>17087</v>
      </c>
      <c r="WCK1" s="16" t="s">
        <v>17088</v>
      </c>
      <c r="WCL1" s="16" t="s">
        <v>17089</v>
      </c>
      <c r="WCM1" s="16" t="s">
        <v>17090</v>
      </c>
      <c r="WCN1" s="16" t="s">
        <v>17091</v>
      </c>
      <c r="WCO1" s="16" t="s">
        <v>17092</v>
      </c>
      <c r="WCP1" s="16" t="s">
        <v>17093</v>
      </c>
      <c r="WCQ1" s="16" t="s">
        <v>17094</v>
      </c>
      <c r="WCR1" s="16" t="s">
        <v>17095</v>
      </c>
      <c r="WCS1" s="16" t="s">
        <v>17096</v>
      </c>
      <c r="WCT1" s="16" t="s">
        <v>17097</v>
      </c>
      <c r="WCU1" s="16" t="s">
        <v>17098</v>
      </c>
      <c r="WCV1" s="16" t="s">
        <v>17099</v>
      </c>
      <c r="WCW1" s="16" t="s">
        <v>17100</v>
      </c>
      <c r="WCX1" s="16" t="s">
        <v>17101</v>
      </c>
      <c r="WCY1" s="16" t="s">
        <v>17102</v>
      </c>
      <c r="WCZ1" s="16" t="s">
        <v>17103</v>
      </c>
      <c r="WDA1" s="16" t="s">
        <v>17104</v>
      </c>
      <c r="WDB1" s="16" t="s">
        <v>17105</v>
      </c>
      <c r="WDC1" s="16" t="s">
        <v>17106</v>
      </c>
      <c r="WDD1" s="16" t="s">
        <v>17107</v>
      </c>
      <c r="WDE1" s="16" t="s">
        <v>17108</v>
      </c>
      <c r="WDF1" s="16" t="s">
        <v>17109</v>
      </c>
      <c r="WDG1" s="16" t="s">
        <v>17110</v>
      </c>
      <c r="WDH1" s="16" t="s">
        <v>17111</v>
      </c>
      <c r="WDI1" s="16" t="s">
        <v>17112</v>
      </c>
      <c r="WDJ1" s="16" t="s">
        <v>17113</v>
      </c>
      <c r="WDK1" s="16" t="s">
        <v>17114</v>
      </c>
      <c r="WDL1" s="16" t="s">
        <v>17115</v>
      </c>
      <c r="WDM1" s="16" t="s">
        <v>17116</v>
      </c>
      <c r="WDN1" s="16" t="s">
        <v>17117</v>
      </c>
      <c r="WDO1" s="16" t="s">
        <v>17118</v>
      </c>
      <c r="WDP1" s="16" t="s">
        <v>17119</v>
      </c>
      <c r="WDQ1" s="16" t="s">
        <v>17120</v>
      </c>
      <c r="WDR1" s="16" t="s">
        <v>17121</v>
      </c>
      <c r="WDS1" s="16" t="s">
        <v>17122</v>
      </c>
      <c r="WDT1" s="16" t="s">
        <v>17123</v>
      </c>
      <c r="WDU1" s="16" t="s">
        <v>17124</v>
      </c>
      <c r="WDV1" s="16" t="s">
        <v>17125</v>
      </c>
      <c r="WDW1" s="16" t="s">
        <v>17126</v>
      </c>
      <c r="WDX1" s="16" t="s">
        <v>17127</v>
      </c>
      <c r="WDY1" s="16" t="s">
        <v>17128</v>
      </c>
      <c r="WDZ1" s="16" t="s">
        <v>17129</v>
      </c>
      <c r="WEA1" s="16" t="s">
        <v>17130</v>
      </c>
      <c r="WEB1" s="16" t="s">
        <v>17131</v>
      </c>
      <c r="WEC1" s="16" t="s">
        <v>17132</v>
      </c>
      <c r="WED1" s="16" t="s">
        <v>17133</v>
      </c>
      <c r="WEE1" s="16" t="s">
        <v>17134</v>
      </c>
      <c r="WEF1" s="16" t="s">
        <v>17135</v>
      </c>
      <c r="WEG1" s="16" t="s">
        <v>17136</v>
      </c>
      <c r="WEH1" s="16" t="s">
        <v>17137</v>
      </c>
      <c r="WEI1" s="16" t="s">
        <v>17138</v>
      </c>
      <c r="WEJ1" s="16" t="s">
        <v>17139</v>
      </c>
      <c r="WEK1" s="16" t="s">
        <v>17140</v>
      </c>
      <c r="WEL1" s="16" t="s">
        <v>17141</v>
      </c>
      <c r="WEM1" s="16" t="s">
        <v>17142</v>
      </c>
      <c r="WEN1" s="16" t="s">
        <v>17143</v>
      </c>
      <c r="WEO1" s="16" t="s">
        <v>17144</v>
      </c>
      <c r="WEP1" s="16" t="s">
        <v>17145</v>
      </c>
      <c r="WEQ1" s="16" t="s">
        <v>17146</v>
      </c>
      <c r="WER1" s="16" t="s">
        <v>17147</v>
      </c>
      <c r="WES1" s="16" t="s">
        <v>17148</v>
      </c>
      <c r="WET1" s="16" t="s">
        <v>17149</v>
      </c>
      <c r="WEU1" s="16" t="s">
        <v>17150</v>
      </c>
      <c r="WEV1" s="16" t="s">
        <v>17151</v>
      </c>
      <c r="WEW1" s="16" t="s">
        <v>17152</v>
      </c>
      <c r="WEX1" s="16" t="s">
        <v>17153</v>
      </c>
      <c r="WEY1" s="16" t="s">
        <v>17154</v>
      </c>
      <c r="WEZ1" s="16" t="s">
        <v>17155</v>
      </c>
      <c r="WFA1" s="16" t="s">
        <v>17156</v>
      </c>
      <c r="WFB1" s="16" t="s">
        <v>17157</v>
      </c>
      <c r="WFC1" s="16" t="s">
        <v>17158</v>
      </c>
      <c r="WFD1" s="16" t="s">
        <v>17159</v>
      </c>
      <c r="WFE1" s="16" t="s">
        <v>17160</v>
      </c>
      <c r="WFF1" s="16" t="s">
        <v>17161</v>
      </c>
      <c r="WFG1" s="16" t="s">
        <v>17162</v>
      </c>
      <c r="WFH1" s="16" t="s">
        <v>17163</v>
      </c>
      <c r="WFI1" s="16" t="s">
        <v>17164</v>
      </c>
      <c r="WFJ1" s="16" t="s">
        <v>17165</v>
      </c>
      <c r="WFK1" s="16" t="s">
        <v>17166</v>
      </c>
      <c r="WFL1" s="16" t="s">
        <v>17167</v>
      </c>
      <c r="WFM1" s="16" t="s">
        <v>17168</v>
      </c>
      <c r="WFN1" s="16" t="s">
        <v>17169</v>
      </c>
      <c r="WFO1" s="16" t="s">
        <v>17170</v>
      </c>
      <c r="WFP1" s="16" t="s">
        <v>17171</v>
      </c>
      <c r="WFQ1" s="16" t="s">
        <v>17172</v>
      </c>
      <c r="WFR1" s="16" t="s">
        <v>17173</v>
      </c>
      <c r="WFS1" s="16" t="s">
        <v>17174</v>
      </c>
      <c r="WFT1" s="16" t="s">
        <v>17175</v>
      </c>
      <c r="WFU1" s="16" t="s">
        <v>17176</v>
      </c>
      <c r="WFV1" s="16" t="s">
        <v>17177</v>
      </c>
      <c r="WFW1" s="16" t="s">
        <v>17178</v>
      </c>
      <c r="WFX1" s="16" t="s">
        <v>17179</v>
      </c>
      <c r="WFY1" s="16" t="s">
        <v>17180</v>
      </c>
      <c r="WFZ1" s="16" t="s">
        <v>17181</v>
      </c>
      <c r="WGA1" s="16" t="s">
        <v>17182</v>
      </c>
      <c r="WGB1" s="16" t="s">
        <v>17183</v>
      </c>
      <c r="WGC1" s="16" t="s">
        <v>17184</v>
      </c>
      <c r="WGD1" s="16" t="s">
        <v>17185</v>
      </c>
      <c r="WGE1" s="16" t="s">
        <v>17186</v>
      </c>
      <c r="WGF1" s="16" t="s">
        <v>17187</v>
      </c>
      <c r="WGG1" s="16" t="s">
        <v>17188</v>
      </c>
      <c r="WGH1" s="16" t="s">
        <v>17189</v>
      </c>
      <c r="WGI1" s="16" t="s">
        <v>17190</v>
      </c>
      <c r="WGJ1" s="16" t="s">
        <v>17191</v>
      </c>
      <c r="WGK1" s="16" t="s">
        <v>17192</v>
      </c>
      <c r="WGL1" s="16" t="s">
        <v>17193</v>
      </c>
      <c r="WGM1" s="16" t="s">
        <v>17194</v>
      </c>
      <c r="WGN1" s="16" t="s">
        <v>17195</v>
      </c>
      <c r="WGO1" s="16" t="s">
        <v>17196</v>
      </c>
      <c r="WGP1" s="16" t="s">
        <v>17197</v>
      </c>
      <c r="WGQ1" s="16" t="s">
        <v>17198</v>
      </c>
      <c r="WGR1" s="16" t="s">
        <v>17199</v>
      </c>
      <c r="WGS1" s="16" t="s">
        <v>17200</v>
      </c>
      <c r="WGT1" s="16" t="s">
        <v>17201</v>
      </c>
      <c r="WGU1" s="16" t="s">
        <v>17202</v>
      </c>
      <c r="WGV1" s="16" t="s">
        <v>17203</v>
      </c>
      <c r="WGW1" s="16" t="s">
        <v>17204</v>
      </c>
      <c r="WGX1" s="16" t="s">
        <v>17205</v>
      </c>
      <c r="WGY1" s="16" t="s">
        <v>17206</v>
      </c>
      <c r="WGZ1" s="16" t="s">
        <v>17207</v>
      </c>
      <c r="WHA1" s="16" t="s">
        <v>17208</v>
      </c>
      <c r="WHB1" s="16" t="s">
        <v>17209</v>
      </c>
      <c r="WHC1" s="16" t="s">
        <v>17210</v>
      </c>
      <c r="WHD1" s="16" t="s">
        <v>17211</v>
      </c>
      <c r="WHE1" s="16" t="s">
        <v>17212</v>
      </c>
      <c r="WHF1" s="16" t="s">
        <v>17213</v>
      </c>
      <c r="WHG1" s="16" t="s">
        <v>17214</v>
      </c>
      <c r="WHH1" s="16" t="s">
        <v>17215</v>
      </c>
      <c r="WHI1" s="16" t="s">
        <v>17216</v>
      </c>
      <c r="WHJ1" s="16" t="s">
        <v>17217</v>
      </c>
      <c r="WHK1" s="16" t="s">
        <v>17218</v>
      </c>
      <c r="WHL1" s="16" t="s">
        <v>17219</v>
      </c>
      <c r="WHM1" s="16" t="s">
        <v>17220</v>
      </c>
      <c r="WHN1" s="16" t="s">
        <v>17221</v>
      </c>
      <c r="WHO1" s="16" t="s">
        <v>17222</v>
      </c>
      <c r="WHP1" s="16" t="s">
        <v>17223</v>
      </c>
      <c r="WHQ1" s="16" t="s">
        <v>17224</v>
      </c>
      <c r="WHR1" s="16" t="s">
        <v>17225</v>
      </c>
      <c r="WHS1" s="16" t="s">
        <v>17226</v>
      </c>
      <c r="WHT1" s="16" t="s">
        <v>17227</v>
      </c>
      <c r="WHU1" s="16" t="s">
        <v>17228</v>
      </c>
      <c r="WHV1" s="16" t="s">
        <v>17229</v>
      </c>
      <c r="WHW1" s="16" t="s">
        <v>17230</v>
      </c>
      <c r="WHX1" s="16" t="s">
        <v>17231</v>
      </c>
      <c r="WHY1" s="16" t="s">
        <v>17232</v>
      </c>
      <c r="WHZ1" s="16" t="s">
        <v>17233</v>
      </c>
      <c r="WIA1" s="16" t="s">
        <v>17234</v>
      </c>
      <c r="WIB1" s="16" t="s">
        <v>17235</v>
      </c>
      <c r="WIC1" s="16" t="s">
        <v>17236</v>
      </c>
      <c r="WID1" s="16" t="s">
        <v>17237</v>
      </c>
      <c r="WIE1" s="16" t="s">
        <v>17238</v>
      </c>
      <c r="WIF1" s="16" t="s">
        <v>17239</v>
      </c>
      <c r="WIG1" s="16" t="s">
        <v>17240</v>
      </c>
      <c r="WIH1" s="16" t="s">
        <v>17241</v>
      </c>
      <c r="WII1" s="16" t="s">
        <v>17242</v>
      </c>
      <c r="WIJ1" s="16" t="s">
        <v>17243</v>
      </c>
      <c r="WIK1" s="16" t="s">
        <v>17244</v>
      </c>
      <c r="WIL1" s="16" t="s">
        <v>17245</v>
      </c>
      <c r="WIM1" s="16" t="s">
        <v>17246</v>
      </c>
      <c r="WIN1" s="16" t="s">
        <v>17247</v>
      </c>
      <c r="WIO1" s="16" t="s">
        <v>17248</v>
      </c>
      <c r="WIP1" s="16" t="s">
        <v>17249</v>
      </c>
      <c r="WIQ1" s="16" t="s">
        <v>17250</v>
      </c>
      <c r="WIR1" s="16" t="s">
        <v>17251</v>
      </c>
      <c r="WIS1" s="16" t="s">
        <v>17252</v>
      </c>
      <c r="WIT1" s="16" t="s">
        <v>17253</v>
      </c>
      <c r="WIU1" s="16" t="s">
        <v>17254</v>
      </c>
      <c r="WIV1" s="16" t="s">
        <v>17255</v>
      </c>
      <c r="WIW1" s="16" t="s">
        <v>17256</v>
      </c>
      <c r="WIX1" s="16" t="s">
        <v>17257</v>
      </c>
      <c r="WIY1" s="16" t="s">
        <v>17258</v>
      </c>
      <c r="WIZ1" s="16" t="s">
        <v>17259</v>
      </c>
      <c r="WJA1" s="16" t="s">
        <v>17260</v>
      </c>
      <c r="WJB1" s="16" t="s">
        <v>17261</v>
      </c>
      <c r="WJC1" s="16" t="s">
        <v>17262</v>
      </c>
      <c r="WJD1" s="16" t="s">
        <v>17263</v>
      </c>
      <c r="WJE1" s="16" t="s">
        <v>17264</v>
      </c>
      <c r="WJF1" s="16" t="s">
        <v>17265</v>
      </c>
      <c r="WJG1" s="16" t="s">
        <v>17266</v>
      </c>
      <c r="WJH1" s="16" t="s">
        <v>17267</v>
      </c>
      <c r="WJI1" s="16" t="s">
        <v>17268</v>
      </c>
      <c r="WJJ1" s="16" t="s">
        <v>17269</v>
      </c>
      <c r="WJK1" s="16" t="s">
        <v>17270</v>
      </c>
      <c r="WJL1" s="16" t="s">
        <v>17271</v>
      </c>
      <c r="WJM1" s="16" t="s">
        <v>17272</v>
      </c>
      <c r="WJN1" s="16" t="s">
        <v>17273</v>
      </c>
      <c r="WJO1" s="16" t="s">
        <v>17274</v>
      </c>
      <c r="WJP1" s="16" t="s">
        <v>17275</v>
      </c>
      <c r="WJQ1" s="16" t="s">
        <v>17276</v>
      </c>
      <c r="WJR1" s="16" t="s">
        <v>17277</v>
      </c>
      <c r="WJS1" s="16" t="s">
        <v>17278</v>
      </c>
      <c r="WJT1" s="16" t="s">
        <v>17279</v>
      </c>
      <c r="WJU1" s="16" t="s">
        <v>17280</v>
      </c>
      <c r="WJV1" s="16" t="s">
        <v>17281</v>
      </c>
      <c r="WJW1" s="16" t="s">
        <v>17282</v>
      </c>
      <c r="WJX1" s="16" t="s">
        <v>17283</v>
      </c>
      <c r="WJY1" s="16" t="s">
        <v>17284</v>
      </c>
      <c r="WJZ1" s="16" t="s">
        <v>17285</v>
      </c>
      <c r="WKA1" s="16" t="s">
        <v>17286</v>
      </c>
      <c r="WKB1" s="16" t="s">
        <v>17287</v>
      </c>
      <c r="WKC1" s="16" t="s">
        <v>17288</v>
      </c>
      <c r="WKD1" s="16" t="s">
        <v>17289</v>
      </c>
      <c r="WKE1" s="16" t="s">
        <v>17290</v>
      </c>
      <c r="WKF1" s="16" t="s">
        <v>17291</v>
      </c>
      <c r="WKG1" s="16" t="s">
        <v>17292</v>
      </c>
      <c r="WKH1" s="16" t="s">
        <v>17293</v>
      </c>
      <c r="WKI1" s="16" t="s">
        <v>17294</v>
      </c>
      <c r="WKJ1" s="16" t="s">
        <v>17295</v>
      </c>
      <c r="WKK1" s="16" t="s">
        <v>17296</v>
      </c>
      <c r="WKL1" s="16" t="s">
        <v>17297</v>
      </c>
      <c r="WKM1" s="16" t="s">
        <v>17298</v>
      </c>
      <c r="WKN1" s="16" t="s">
        <v>17299</v>
      </c>
      <c r="WKO1" s="16" t="s">
        <v>17300</v>
      </c>
      <c r="WKP1" s="16" t="s">
        <v>17301</v>
      </c>
      <c r="WKQ1" s="16" t="s">
        <v>17302</v>
      </c>
      <c r="WKR1" s="16" t="s">
        <v>17303</v>
      </c>
      <c r="WKS1" s="16" t="s">
        <v>17304</v>
      </c>
      <c r="WKT1" s="16" t="s">
        <v>17305</v>
      </c>
      <c r="WKU1" s="16" t="s">
        <v>17306</v>
      </c>
      <c r="WKV1" s="16" t="s">
        <v>17307</v>
      </c>
      <c r="WKW1" s="16" t="s">
        <v>17308</v>
      </c>
      <c r="WKX1" s="16" t="s">
        <v>17309</v>
      </c>
      <c r="WKY1" s="16" t="s">
        <v>17310</v>
      </c>
      <c r="WKZ1" s="16" t="s">
        <v>17311</v>
      </c>
      <c r="WLA1" s="16" t="s">
        <v>17312</v>
      </c>
      <c r="WLB1" s="16" t="s">
        <v>17313</v>
      </c>
      <c r="WLC1" s="16" t="s">
        <v>17314</v>
      </c>
      <c r="WLD1" s="16" t="s">
        <v>17315</v>
      </c>
      <c r="WLE1" s="16" t="s">
        <v>17316</v>
      </c>
      <c r="WLF1" s="16" t="s">
        <v>17317</v>
      </c>
      <c r="WLG1" s="16" t="s">
        <v>17318</v>
      </c>
      <c r="WLH1" s="16" t="s">
        <v>17319</v>
      </c>
      <c r="WLI1" s="16" t="s">
        <v>17320</v>
      </c>
      <c r="WLJ1" s="16" t="s">
        <v>17321</v>
      </c>
      <c r="WLK1" s="16" t="s">
        <v>17322</v>
      </c>
      <c r="WLL1" s="16" t="s">
        <v>17323</v>
      </c>
      <c r="WLM1" s="16" t="s">
        <v>17324</v>
      </c>
      <c r="WLN1" s="16" t="s">
        <v>17325</v>
      </c>
      <c r="WLO1" s="16" t="s">
        <v>17326</v>
      </c>
      <c r="WLP1" s="16" t="s">
        <v>17327</v>
      </c>
      <c r="WLQ1" s="16" t="s">
        <v>17328</v>
      </c>
      <c r="WLR1" s="16" t="s">
        <v>17329</v>
      </c>
      <c r="WLS1" s="16" t="s">
        <v>17330</v>
      </c>
      <c r="WLT1" s="16" t="s">
        <v>17331</v>
      </c>
      <c r="WLU1" s="16" t="s">
        <v>17332</v>
      </c>
      <c r="WLV1" s="16" t="s">
        <v>17333</v>
      </c>
      <c r="WLW1" s="16" t="s">
        <v>17334</v>
      </c>
      <c r="WLX1" s="16" t="s">
        <v>17335</v>
      </c>
      <c r="WLY1" s="16" t="s">
        <v>17336</v>
      </c>
      <c r="WLZ1" s="16" t="s">
        <v>17337</v>
      </c>
      <c r="WMA1" s="16" t="s">
        <v>17338</v>
      </c>
      <c r="WMB1" s="16" t="s">
        <v>17339</v>
      </c>
      <c r="WMC1" s="16" t="s">
        <v>17340</v>
      </c>
      <c r="WMD1" s="16" t="s">
        <v>17341</v>
      </c>
      <c r="WME1" s="16" t="s">
        <v>17342</v>
      </c>
      <c r="WMF1" s="16" t="s">
        <v>17343</v>
      </c>
      <c r="WMG1" s="16" t="s">
        <v>17344</v>
      </c>
      <c r="WMH1" s="16" t="s">
        <v>17345</v>
      </c>
      <c r="WMI1" s="16" t="s">
        <v>17346</v>
      </c>
      <c r="WMJ1" s="16" t="s">
        <v>17347</v>
      </c>
      <c r="WMK1" s="16" t="s">
        <v>17348</v>
      </c>
      <c r="WML1" s="16" t="s">
        <v>17349</v>
      </c>
      <c r="WMM1" s="16" t="s">
        <v>17350</v>
      </c>
      <c r="WMN1" s="16" t="s">
        <v>17351</v>
      </c>
      <c r="WMO1" s="16" t="s">
        <v>17352</v>
      </c>
      <c r="WMP1" s="16" t="s">
        <v>17353</v>
      </c>
      <c r="WMQ1" s="16" t="s">
        <v>17354</v>
      </c>
      <c r="WMR1" s="16" t="s">
        <v>17355</v>
      </c>
      <c r="WMS1" s="16" t="s">
        <v>17356</v>
      </c>
      <c r="WMT1" s="16" t="s">
        <v>17357</v>
      </c>
      <c r="WMU1" s="16" t="s">
        <v>17358</v>
      </c>
      <c r="WMV1" s="16" t="s">
        <v>17359</v>
      </c>
      <c r="WMW1" s="16" t="s">
        <v>17360</v>
      </c>
      <c r="WMX1" s="16" t="s">
        <v>17361</v>
      </c>
      <c r="WMY1" s="16" t="s">
        <v>17362</v>
      </c>
      <c r="WMZ1" s="16" t="s">
        <v>17363</v>
      </c>
      <c r="WNA1" s="16" t="s">
        <v>17364</v>
      </c>
      <c r="WNB1" s="16" t="s">
        <v>17365</v>
      </c>
      <c r="WNC1" s="16" t="s">
        <v>17366</v>
      </c>
      <c r="WND1" s="16" t="s">
        <v>17367</v>
      </c>
      <c r="WNE1" s="16" t="s">
        <v>17368</v>
      </c>
      <c r="WNF1" s="16" t="s">
        <v>17369</v>
      </c>
      <c r="WNG1" s="16" t="s">
        <v>17370</v>
      </c>
      <c r="WNH1" s="16" t="s">
        <v>17371</v>
      </c>
      <c r="WNI1" s="16" t="s">
        <v>17372</v>
      </c>
      <c r="WNJ1" s="16" t="s">
        <v>17373</v>
      </c>
      <c r="WNK1" s="16" t="s">
        <v>17374</v>
      </c>
      <c r="WNL1" s="16" t="s">
        <v>17375</v>
      </c>
      <c r="WNM1" s="16" t="s">
        <v>17376</v>
      </c>
      <c r="WNN1" s="16" t="s">
        <v>17377</v>
      </c>
      <c r="WNO1" s="16" t="s">
        <v>17378</v>
      </c>
      <c r="WNP1" s="16" t="s">
        <v>17379</v>
      </c>
      <c r="WNQ1" s="16" t="s">
        <v>17380</v>
      </c>
      <c r="WNR1" s="16" t="s">
        <v>17381</v>
      </c>
      <c r="WNS1" s="16" t="s">
        <v>17382</v>
      </c>
      <c r="WNT1" s="16" t="s">
        <v>17383</v>
      </c>
      <c r="WNU1" s="16" t="s">
        <v>17384</v>
      </c>
      <c r="WNV1" s="16" t="s">
        <v>17385</v>
      </c>
      <c r="WNW1" s="16" t="s">
        <v>17386</v>
      </c>
      <c r="WNX1" s="16" t="s">
        <v>17387</v>
      </c>
      <c r="WNY1" s="16" t="s">
        <v>17388</v>
      </c>
      <c r="WNZ1" s="16" t="s">
        <v>17389</v>
      </c>
      <c r="WOA1" s="16" t="s">
        <v>17390</v>
      </c>
      <c r="WOB1" s="16" t="s">
        <v>17391</v>
      </c>
      <c r="WOC1" s="16" t="s">
        <v>17392</v>
      </c>
      <c r="WOD1" s="16" t="s">
        <v>17393</v>
      </c>
      <c r="WOE1" s="16" t="s">
        <v>17394</v>
      </c>
      <c r="WOF1" s="16" t="s">
        <v>17395</v>
      </c>
      <c r="WOG1" s="16" t="s">
        <v>17396</v>
      </c>
      <c r="WOH1" s="16" t="s">
        <v>17397</v>
      </c>
      <c r="WOI1" s="16" t="s">
        <v>17398</v>
      </c>
      <c r="WOJ1" s="16" t="s">
        <v>17399</v>
      </c>
      <c r="WOK1" s="16" t="s">
        <v>17400</v>
      </c>
      <c r="WOL1" s="16" t="s">
        <v>17401</v>
      </c>
      <c r="WOM1" s="16" t="s">
        <v>17402</v>
      </c>
      <c r="WON1" s="16" t="s">
        <v>17403</v>
      </c>
      <c r="WOO1" s="16" t="s">
        <v>17404</v>
      </c>
      <c r="WOP1" s="16" t="s">
        <v>17405</v>
      </c>
      <c r="WOQ1" s="16" t="s">
        <v>17406</v>
      </c>
      <c r="WOR1" s="16" t="s">
        <v>17407</v>
      </c>
      <c r="WOS1" s="16" t="s">
        <v>17408</v>
      </c>
      <c r="WOT1" s="16" t="s">
        <v>17409</v>
      </c>
      <c r="WOU1" s="16" t="s">
        <v>17410</v>
      </c>
      <c r="WOV1" s="16" t="s">
        <v>17411</v>
      </c>
      <c r="WOW1" s="16" t="s">
        <v>17412</v>
      </c>
      <c r="WOX1" s="16" t="s">
        <v>17413</v>
      </c>
      <c r="WOY1" s="16" t="s">
        <v>17414</v>
      </c>
      <c r="WOZ1" s="16" t="s">
        <v>17415</v>
      </c>
      <c r="WPA1" s="16" t="s">
        <v>17416</v>
      </c>
      <c r="WPB1" s="16" t="s">
        <v>17417</v>
      </c>
      <c r="WPC1" s="16" t="s">
        <v>17418</v>
      </c>
      <c r="WPD1" s="16" t="s">
        <v>17419</v>
      </c>
      <c r="WPE1" s="16" t="s">
        <v>17420</v>
      </c>
      <c r="WPF1" s="16" t="s">
        <v>17421</v>
      </c>
      <c r="WPG1" s="16" t="s">
        <v>17422</v>
      </c>
      <c r="WPH1" s="16" t="s">
        <v>17423</v>
      </c>
      <c r="WPI1" s="16" t="s">
        <v>17424</v>
      </c>
      <c r="WPJ1" s="16" t="s">
        <v>17425</v>
      </c>
      <c r="WPK1" s="16" t="s">
        <v>17426</v>
      </c>
      <c r="WPL1" s="16" t="s">
        <v>17427</v>
      </c>
      <c r="WPM1" s="16" t="s">
        <v>17428</v>
      </c>
      <c r="WPN1" s="16" t="s">
        <v>17429</v>
      </c>
      <c r="WPO1" s="16" t="s">
        <v>17430</v>
      </c>
      <c r="WPP1" s="16" t="s">
        <v>17431</v>
      </c>
      <c r="WPQ1" s="16" t="s">
        <v>17432</v>
      </c>
      <c r="WPR1" s="16" t="s">
        <v>17433</v>
      </c>
      <c r="WPS1" s="16" t="s">
        <v>17434</v>
      </c>
      <c r="WPT1" s="16" t="s">
        <v>17435</v>
      </c>
      <c r="WPU1" s="16" t="s">
        <v>17436</v>
      </c>
      <c r="WPV1" s="16" t="s">
        <v>17437</v>
      </c>
      <c r="WPW1" s="16" t="s">
        <v>17438</v>
      </c>
      <c r="WPX1" s="16" t="s">
        <v>17439</v>
      </c>
      <c r="WPY1" s="16" t="s">
        <v>17440</v>
      </c>
      <c r="WPZ1" s="16" t="s">
        <v>17441</v>
      </c>
      <c r="WQA1" s="16" t="s">
        <v>17442</v>
      </c>
      <c r="WQB1" s="16" t="s">
        <v>17443</v>
      </c>
      <c r="WQC1" s="16" t="s">
        <v>17444</v>
      </c>
      <c r="WQD1" s="16" t="s">
        <v>17445</v>
      </c>
      <c r="WQE1" s="16" t="s">
        <v>17446</v>
      </c>
      <c r="WQF1" s="16" t="s">
        <v>17447</v>
      </c>
      <c r="WQG1" s="16" t="s">
        <v>17448</v>
      </c>
      <c r="WQH1" s="16" t="s">
        <v>17449</v>
      </c>
      <c r="WQI1" s="16" t="s">
        <v>17450</v>
      </c>
      <c r="WQJ1" s="16" t="s">
        <v>17451</v>
      </c>
      <c r="WQK1" s="16" t="s">
        <v>17452</v>
      </c>
      <c r="WQL1" s="16" t="s">
        <v>17453</v>
      </c>
      <c r="WQM1" s="16" t="s">
        <v>17454</v>
      </c>
      <c r="WQN1" s="16" t="s">
        <v>17455</v>
      </c>
      <c r="WQO1" s="16" t="s">
        <v>17456</v>
      </c>
      <c r="WQP1" s="16" t="s">
        <v>17457</v>
      </c>
      <c r="WQQ1" s="16" t="s">
        <v>17458</v>
      </c>
      <c r="WQR1" s="16" t="s">
        <v>17459</v>
      </c>
      <c r="WQS1" s="16" t="s">
        <v>17460</v>
      </c>
      <c r="WQT1" s="16" t="s">
        <v>17461</v>
      </c>
      <c r="WQU1" s="16" t="s">
        <v>17462</v>
      </c>
      <c r="WQV1" s="16" t="s">
        <v>17463</v>
      </c>
      <c r="WQW1" s="16" t="s">
        <v>17464</v>
      </c>
      <c r="WQX1" s="16" t="s">
        <v>17465</v>
      </c>
      <c r="WQY1" s="16" t="s">
        <v>17466</v>
      </c>
      <c r="WQZ1" s="16" t="s">
        <v>17467</v>
      </c>
      <c r="WRA1" s="16" t="s">
        <v>17468</v>
      </c>
      <c r="WRB1" s="16" t="s">
        <v>17469</v>
      </c>
      <c r="WRC1" s="16" t="s">
        <v>17470</v>
      </c>
      <c r="WRD1" s="16" t="s">
        <v>17471</v>
      </c>
      <c r="WRE1" s="16" t="s">
        <v>17472</v>
      </c>
      <c r="WRF1" s="16" t="s">
        <v>17473</v>
      </c>
      <c r="WRG1" s="16" t="s">
        <v>17474</v>
      </c>
      <c r="WRH1" s="16" t="s">
        <v>17475</v>
      </c>
      <c r="WRI1" s="16" t="s">
        <v>17476</v>
      </c>
      <c r="WRJ1" s="16" t="s">
        <v>17477</v>
      </c>
      <c r="WRK1" s="16" t="s">
        <v>17478</v>
      </c>
      <c r="WRL1" s="16" t="s">
        <v>17479</v>
      </c>
      <c r="WRM1" s="16" t="s">
        <v>17480</v>
      </c>
      <c r="WRN1" s="16" t="s">
        <v>17481</v>
      </c>
      <c r="WRO1" s="16" t="s">
        <v>17482</v>
      </c>
      <c r="WRP1" s="16" t="s">
        <v>17483</v>
      </c>
      <c r="WRQ1" s="16" t="s">
        <v>17484</v>
      </c>
      <c r="WRR1" s="16" t="s">
        <v>17485</v>
      </c>
      <c r="WRS1" s="16" t="s">
        <v>17486</v>
      </c>
      <c r="WRT1" s="16" t="s">
        <v>17487</v>
      </c>
      <c r="WRU1" s="16" t="s">
        <v>17488</v>
      </c>
      <c r="WRV1" s="16" t="s">
        <v>17489</v>
      </c>
      <c r="WRW1" s="16" t="s">
        <v>17490</v>
      </c>
      <c r="WRX1" s="16" t="s">
        <v>17491</v>
      </c>
      <c r="WRY1" s="16" t="s">
        <v>17492</v>
      </c>
      <c r="WRZ1" s="16" t="s">
        <v>17493</v>
      </c>
      <c r="WSA1" s="16" t="s">
        <v>17494</v>
      </c>
      <c r="WSB1" s="16" t="s">
        <v>17495</v>
      </c>
      <c r="WSC1" s="16" t="s">
        <v>17496</v>
      </c>
      <c r="WSD1" s="16" t="s">
        <v>17497</v>
      </c>
      <c r="WSE1" s="16" t="s">
        <v>17498</v>
      </c>
      <c r="WSF1" s="16" t="s">
        <v>17499</v>
      </c>
      <c r="WSG1" s="16" t="s">
        <v>17500</v>
      </c>
      <c r="WSH1" s="16" t="s">
        <v>17501</v>
      </c>
      <c r="WSI1" s="16" t="s">
        <v>17502</v>
      </c>
      <c r="WSJ1" s="16" t="s">
        <v>17503</v>
      </c>
      <c r="WSK1" s="16" t="s">
        <v>17504</v>
      </c>
      <c r="WSL1" s="16" t="s">
        <v>17505</v>
      </c>
      <c r="WSM1" s="16" t="s">
        <v>17506</v>
      </c>
      <c r="WSN1" s="16" t="s">
        <v>17507</v>
      </c>
      <c r="WSO1" s="16" t="s">
        <v>17508</v>
      </c>
      <c r="WSP1" s="16" t="s">
        <v>17509</v>
      </c>
      <c r="WSQ1" s="16" t="s">
        <v>17510</v>
      </c>
      <c r="WSR1" s="16" t="s">
        <v>17511</v>
      </c>
      <c r="WSS1" s="16" t="s">
        <v>17512</v>
      </c>
      <c r="WST1" s="16" t="s">
        <v>17513</v>
      </c>
      <c r="WSU1" s="16" t="s">
        <v>17514</v>
      </c>
      <c r="WSV1" s="16" t="s">
        <v>17515</v>
      </c>
      <c r="WSW1" s="16" t="s">
        <v>17516</v>
      </c>
      <c r="WSX1" s="16" t="s">
        <v>17517</v>
      </c>
      <c r="WSY1" s="16" t="s">
        <v>17518</v>
      </c>
      <c r="WSZ1" s="16" t="s">
        <v>17519</v>
      </c>
      <c r="WTA1" s="16" t="s">
        <v>17520</v>
      </c>
      <c r="WTB1" s="16" t="s">
        <v>17521</v>
      </c>
      <c r="WTC1" s="16" t="s">
        <v>17522</v>
      </c>
      <c r="WTD1" s="16" t="s">
        <v>17523</v>
      </c>
      <c r="WTE1" s="16" t="s">
        <v>17524</v>
      </c>
      <c r="WTF1" s="16" t="s">
        <v>17525</v>
      </c>
      <c r="WTG1" s="16" t="s">
        <v>17526</v>
      </c>
      <c r="WTH1" s="16" t="s">
        <v>17527</v>
      </c>
      <c r="WTI1" s="16" t="s">
        <v>17528</v>
      </c>
      <c r="WTJ1" s="16" t="s">
        <v>17529</v>
      </c>
      <c r="WTK1" s="16" t="s">
        <v>17530</v>
      </c>
      <c r="WTL1" s="16" t="s">
        <v>17531</v>
      </c>
      <c r="WTM1" s="16" t="s">
        <v>17532</v>
      </c>
      <c r="WTN1" s="16" t="s">
        <v>17533</v>
      </c>
      <c r="WTO1" s="16" t="s">
        <v>17534</v>
      </c>
      <c r="WTP1" s="16" t="s">
        <v>17535</v>
      </c>
      <c r="WTQ1" s="16" t="s">
        <v>17536</v>
      </c>
      <c r="WTR1" s="16" t="s">
        <v>17537</v>
      </c>
      <c r="WTS1" s="16" t="s">
        <v>17538</v>
      </c>
      <c r="WTT1" s="16" t="s">
        <v>17539</v>
      </c>
      <c r="WTU1" s="16" t="s">
        <v>17540</v>
      </c>
      <c r="WTV1" s="16" t="s">
        <v>17541</v>
      </c>
      <c r="WTW1" s="16" t="s">
        <v>17542</v>
      </c>
      <c r="WTX1" s="16" t="s">
        <v>17543</v>
      </c>
      <c r="WTY1" s="16" t="s">
        <v>17544</v>
      </c>
      <c r="WTZ1" s="16" t="s">
        <v>17545</v>
      </c>
      <c r="WUA1" s="16" t="s">
        <v>17546</v>
      </c>
      <c r="WUB1" s="16" t="s">
        <v>17547</v>
      </c>
      <c r="WUC1" s="16" t="s">
        <v>17548</v>
      </c>
      <c r="WUD1" s="16" t="s">
        <v>17549</v>
      </c>
      <c r="WUE1" s="16" t="s">
        <v>17550</v>
      </c>
      <c r="WUF1" s="16" t="s">
        <v>17551</v>
      </c>
      <c r="WUG1" s="16" t="s">
        <v>17552</v>
      </c>
      <c r="WUH1" s="16" t="s">
        <v>17553</v>
      </c>
      <c r="WUI1" s="16" t="s">
        <v>17554</v>
      </c>
      <c r="WUJ1" s="16" t="s">
        <v>17555</v>
      </c>
      <c r="WUK1" s="16" t="s">
        <v>17556</v>
      </c>
      <c r="WUL1" s="16" t="s">
        <v>17557</v>
      </c>
      <c r="WUM1" s="16" t="s">
        <v>17558</v>
      </c>
      <c r="WUN1" s="16" t="s">
        <v>17559</v>
      </c>
      <c r="WUO1" s="16" t="s">
        <v>17560</v>
      </c>
      <c r="WUP1" s="16" t="s">
        <v>17561</v>
      </c>
      <c r="WUQ1" s="16" t="s">
        <v>17562</v>
      </c>
      <c r="WUR1" s="16" t="s">
        <v>17563</v>
      </c>
      <c r="WUS1" s="16" t="s">
        <v>17564</v>
      </c>
      <c r="WUT1" s="16" t="s">
        <v>17565</v>
      </c>
      <c r="WUU1" s="16" t="s">
        <v>17566</v>
      </c>
      <c r="WUV1" s="16" t="s">
        <v>17567</v>
      </c>
      <c r="WUW1" s="16" t="s">
        <v>17568</v>
      </c>
      <c r="WUX1" s="16" t="s">
        <v>17569</v>
      </c>
      <c r="WUY1" s="16" t="s">
        <v>17570</v>
      </c>
      <c r="WUZ1" s="16" t="s">
        <v>17571</v>
      </c>
      <c r="WVA1" s="16" t="s">
        <v>17572</v>
      </c>
      <c r="WVB1" s="16" t="s">
        <v>17573</v>
      </c>
      <c r="WVC1" s="16" t="s">
        <v>17574</v>
      </c>
      <c r="WVD1" s="16" t="s">
        <v>17575</v>
      </c>
      <c r="WVE1" s="16" t="s">
        <v>17576</v>
      </c>
      <c r="WVF1" s="16" t="s">
        <v>17577</v>
      </c>
      <c r="WVG1" s="16" t="s">
        <v>17578</v>
      </c>
      <c r="WVH1" s="16" t="s">
        <v>17579</v>
      </c>
      <c r="WVI1" s="16" t="s">
        <v>17580</v>
      </c>
      <c r="WVJ1" s="16" t="s">
        <v>17581</v>
      </c>
      <c r="WVK1" s="16" t="s">
        <v>17582</v>
      </c>
      <c r="WVL1" s="16" t="s">
        <v>17583</v>
      </c>
      <c r="WVM1" s="16" t="s">
        <v>17584</v>
      </c>
      <c r="WVN1" s="16" t="s">
        <v>17585</v>
      </c>
      <c r="WVO1" s="16" t="s">
        <v>17586</v>
      </c>
      <c r="WVP1" s="16" t="s">
        <v>17587</v>
      </c>
      <c r="WVQ1" s="16" t="s">
        <v>17588</v>
      </c>
      <c r="WVR1" s="16" t="s">
        <v>17589</v>
      </c>
      <c r="WVS1" s="16" t="s">
        <v>17590</v>
      </c>
      <c r="WVT1" s="16" t="s">
        <v>17591</v>
      </c>
      <c r="WVU1" s="16" t="s">
        <v>17592</v>
      </c>
      <c r="WVV1" s="16" t="s">
        <v>17593</v>
      </c>
      <c r="WVW1" s="16" t="s">
        <v>17594</v>
      </c>
      <c r="WVX1" s="16" t="s">
        <v>17595</v>
      </c>
      <c r="WVY1" s="16" t="s">
        <v>17596</v>
      </c>
      <c r="WVZ1" s="16" t="s">
        <v>17597</v>
      </c>
      <c r="WWA1" s="16" t="s">
        <v>17598</v>
      </c>
      <c r="WWB1" s="16" t="s">
        <v>17599</v>
      </c>
      <c r="WWC1" s="16" t="s">
        <v>17600</v>
      </c>
      <c r="WWD1" s="16" t="s">
        <v>17601</v>
      </c>
      <c r="WWE1" s="16" t="s">
        <v>17602</v>
      </c>
      <c r="WWF1" s="16" t="s">
        <v>17603</v>
      </c>
      <c r="WWG1" s="16" t="s">
        <v>17604</v>
      </c>
      <c r="WWH1" s="16" t="s">
        <v>17605</v>
      </c>
      <c r="WWI1" s="16" t="s">
        <v>17606</v>
      </c>
      <c r="WWJ1" s="16" t="s">
        <v>17607</v>
      </c>
      <c r="WWK1" s="16" t="s">
        <v>17608</v>
      </c>
      <c r="WWL1" s="16" t="s">
        <v>17609</v>
      </c>
      <c r="WWM1" s="16" t="s">
        <v>17610</v>
      </c>
      <c r="WWN1" s="16" t="s">
        <v>17611</v>
      </c>
      <c r="WWO1" s="16" t="s">
        <v>17612</v>
      </c>
      <c r="WWP1" s="16" t="s">
        <v>17613</v>
      </c>
      <c r="WWQ1" s="16" t="s">
        <v>17614</v>
      </c>
      <c r="WWR1" s="16" t="s">
        <v>17615</v>
      </c>
      <c r="WWS1" s="16" t="s">
        <v>17616</v>
      </c>
      <c r="WWT1" s="16" t="s">
        <v>17617</v>
      </c>
      <c r="WWU1" s="16" t="s">
        <v>17618</v>
      </c>
      <c r="WWV1" s="16" t="s">
        <v>17619</v>
      </c>
      <c r="WWW1" s="16" t="s">
        <v>17620</v>
      </c>
      <c r="WWX1" s="16" t="s">
        <v>17621</v>
      </c>
      <c r="WWY1" s="16" t="s">
        <v>17622</v>
      </c>
      <c r="WWZ1" s="16" t="s">
        <v>17623</v>
      </c>
      <c r="WXA1" s="16" t="s">
        <v>17624</v>
      </c>
      <c r="WXB1" s="16" t="s">
        <v>17625</v>
      </c>
      <c r="WXC1" s="16" t="s">
        <v>17626</v>
      </c>
      <c r="WXD1" s="16" t="s">
        <v>17627</v>
      </c>
      <c r="WXE1" s="16" t="s">
        <v>17628</v>
      </c>
      <c r="WXF1" s="16" t="s">
        <v>17629</v>
      </c>
      <c r="WXG1" s="16" t="s">
        <v>17630</v>
      </c>
      <c r="WXH1" s="16" t="s">
        <v>17631</v>
      </c>
      <c r="WXI1" s="16" t="s">
        <v>17632</v>
      </c>
      <c r="WXJ1" s="16" t="s">
        <v>17633</v>
      </c>
      <c r="WXK1" s="16" t="s">
        <v>17634</v>
      </c>
      <c r="WXL1" s="16" t="s">
        <v>17635</v>
      </c>
      <c r="WXM1" s="16" t="s">
        <v>17636</v>
      </c>
      <c r="WXN1" s="16" t="s">
        <v>17637</v>
      </c>
      <c r="WXO1" s="16" t="s">
        <v>17638</v>
      </c>
      <c r="WXP1" s="16" t="s">
        <v>17639</v>
      </c>
      <c r="WXQ1" s="16" t="s">
        <v>17640</v>
      </c>
      <c r="WXR1" s="16" t="s">
        <v>17641</v>
      </c>
      <c r="WXS1" s="16" t="s">
        <v>17642</v>
      </c>
      <c r="WXT1" s="16" t="s">
        <v>17643</v>
      </c>
      <c r="WXU1" s="16" t="s">
        <v>17644</v>
      </c>
      <c r="WXV1" s="16" t="s">
        <v>17645</v>
      </c>
      <c r="WXW1" s="16" t="s">
        <v>17646</v>
      </c>
      <c r="WXX1" s="16" t="s">
        <v>17647</v>
      </c>
      <c r="WXY1" s="16" t="s">
        <v>17648</v>
      </c>
      <c r="WXZ1" s="16" t="s">
        <v>17649</v>
      </c>
      <c r="WYA1" s="16" t="s">
        <v>17650</v>
      </c>
      <c r="WYB1" s="16" t="s">
        <v>17651</v>
      </c>
      <c r="WYC1" s="16" t="s">
        <v>17652</v>
      </c>
      <c r="WYD1" s="16" t="s">
        <v>17653</v>
      </c>
      <c r="WYE1" s="16" t="s">
        <v>17654</v>
      </c>
      <c r="WYF1" s="16" t="s">
        <v>17655</v>
      </c>
      <c r="WYG1" s="16" t="s">
        <v>17656</v>
      </c>
      <c r="WYH1" s="16" t="s">
        <v>17657</v>
      </c>
      <c r="WYI1" s="16" t="s">
        <v>17658</v>
      </c>
      <c r="WYJ1" s="16" t="s">
        <v>17659</v>
      </c>
      <c r="WYK1" s="16" t="s">
        <v>17660</v>
      </c>
      <c r="WYL1" s="16" t="s">
        <v>17661</v>
      </c>
      <c r="WYM1" s="16" t="s">
        <v>17662</v>
      </c>
      <c r="WYN1" s="16" t="s">
        <v>17663</v>
      </c>
      <c r="WYO1" s="16" t="s">
        <v>17664</v>
      </c>
      <c r="WYP1" s="16" t="s">
        <v>17665</v>
      </c>
      <c r="WYQ1" s="16" t="s">
        <v>17666</v>
      </c>
      <c r="WYR1" s="16" t="s">
        <v>17667</v>
      </c>
      <c r="WYS1" s="16" t="s">
        <v>17668</v>
      </c>
      <c r="WYT1" s="16" t="s">
        <v>17669</v>
      </c>
      <c r="WYU1" s="16" t="s">
        <v>17670</v>
      </c>
      <c r="WYV1" s="16" t="s">
        <v>17671</v>
      </c>
      <c r="WYW1" s="16" t="s">
        <v>17672</v>
      </c>
      <c r="WYX1" s="16" t="s">
        <v>17673</v>
      </c>
      <c r="WYY1" s="16" t="s">
        <v>17674</v>
      </c>
      <c r="WYZ1" s="16" t="s">
        <v>17675</v>
      </c>
      <c r="WZA1" s="16" t="s">
        <v>17676</v>
      </c>
      <c r="WZB1" s="16" t="s">
        <v>17677</v>
      </c>
      <c r="WZC1" s="16" t="s">
        <v>17678</v>
      </c>
      <c r="WZD1" s="16" t="s">
        <v>17679</v>
      </c>
      <c r="WZE1" s="16" t="s">
        <v>17680</v>
      </c>
      <c r="WZF1" s="16" t="s">
        <v>17681</v>
      </c>
      <c r="WZG1" s="16" t="s">
        <v>17682</v>
      </c>
      <c r="WZH1" s="16" t="s">
        <v>17683</v>
      </c>
      <c r="WZI1" s="16" t="s">
        <v>17684</v>
      </c>
      <c r="WZJ1" s="16" t="s">
        <v>17685</v>
      </c>
      <c r="WZK1" s="16" t="s">
        <v>17686</v>
      </c>
      <c r="WZL1" s="16" t="s">
        <v>17687</v>
      </c>
      <c r="WZM1" s="16" t="s">
        <v>17688</v>
      </c>
      <c r="WZN1" s="16" t="s">
        <v>17689</v>
      </c>
      <c r="WZO1" s="16" t="s">
        <v>17690</v>
      </c>
      <c r="WZP1" s="16" t="s">
        <v>17691</v>
      </c>
      <c r="WZQ1" s="16" t="s">
        <v>17692</v>
      </c>
      <c r="WZR1" s="16" t="s">
        <v>17693</v>
      </c>
      <c r="WZS1" s="16" t="s">
        <v>17694</v>
      </c>
      <c r="WZT1" s="16" t="s">
        <v>17695</v>
      </c>
      <c r="WZU1" s="16" t="s">
        <v>17696</v>
      </c>
      <c r="WZV1" s="16" t="s">
        <v>17697</v>
      </c>
      <c r="WZW1" s="16" t="s">
        <v>17698</v>
      </c>
      <c r="WZX1" s="16" t="s">
        <v>17699</v>
      </c>
      <c r="WZY1" s="16" t="s">
        <v>17700</v>
      </c>
      <c r="WZZ1" s="16" t="s">
        <v>17701</v>
      </c>
      <c r="XAA1" s="16" t="s">
        <v>17702</v>
      </c>
      <c r="XAB1" s="16" t="s">
        <v>17703</v>
      </c>
      <c r="XAC1" s="16" t="s">
        <v>17704</v>
      </c>
      <c r="XAD1" s="16" t="s">
        <v>17705</v>
      </c>
      <c r="XAE1" s="16" t="s">
        <v>17706</v>
      </c>
      <c r="XAF1" s="16" t="s">
        <v>17707</v>
      </c>
      <c r="XAG1" s="16" t="s">
        <v>17708</v>
      </c>
      <c r="XAH1" s="16" t="s">
        <v>17709</v>
      </c>
      <c r="XAI1" s="16" t="s">
        <v>17710</v>
      </c>
      <c r="XAJ1" s="16" t="s">
        <v>17711</v>
      </c>
      <c r="XAK1" s="16" t="s">
        <v>17712</v>
      </c>
      <c r="XAL1" s="16" t="s">
        <v>17713</v>
      </c>
      <c r="XAM1" s="16" t="s">
        <v>17714</v>
      </c>
      <c r="XAN1" s="16" t="s">
        <v>17715</v>
      </c>
      <c r="XAO1" s="16" t="s">
        <v>17716</v>
      </c>
      <c r="XAP1" s="16" t="s">
        <v>17717</v>
      </c>
      <c r="XAQ1" s="16" t="s">
        <v>17718</v>
      </c>
      <c r="XAR1" s="16" t="s">
        <v>17719</v>
      </c>
      <c r="XAS1" s="16" t="s">
        <v>17720</v>
      </c>
      <c r="XAT1" s="16" t="s">
        <v>17721</v>
      </c>
      <c r="XAU1" s="16" t="s">
        <v>17722</v>
      </c>
      <c r="XAV1" s="16" t="s">
        <v>17723</v>
      </c>
      <c r="XAW1" s="16" t="s">
        <v>17724</v>
      </c>
      <c r="XAX1" s="16" t="s">
        <v>17725</v>
      </c>
      <c r="XAY1" s="16" t="s">
        <v>17726</v>
      </c>
      <c r="XAZ1" s="16" t="s">
        <v>17727</v>
      </c>
      <c r="XBA1" s="16" t="s">
        <v>17728</v>
      </c>
      <c r="XBB1" s="16" t="s">
        <v>17729</v>
      </c>
      <c r="XBC1" s="16" t="s">
        <v>17730</v>
      </c>
      <c r="XBD1" s="16" t="s">
        <v>17731</v>
      </c>
      <c r="XBE1" s="16" t="s">
        <v>17732</v>
      </c>
      <c r="XBF1" s="16" t="s">
        <v>17733</v>
      </c>
      <c r="XBG1" s="16" t="s">
        <v>17734</v>
      </c>
      <c r="XBH1" s="16" t="s">
        <v>17735</v>
      </c>
      <c r="XBI1" s="16" t="s">
        <v>17736</v>
      </c>
      <c r="XBJ1" s="16" t="s">
        <v>17737</v>
      </c>
      <c r="XBK1" s="16" t="s">
        <v>17738</v>
      </c>
      <c r="XBL1" s="16" t="s">
        <v>17739</v>
      </c>
      <c r="XBM1" s="16" t="s">
        <v>17740</v>
      </c>
      <c r="XBN1" s="16" t="s">
        <v>17741</v>
      </c>
      <c r="XBO1" s="16" t="s">
        <v>17742</v>
      </c>
      <c r="XBP1" s="16" t="s">
        <v>17743</v>
      </c>
      <c r="XBQ1" s="16" t="s">
        <v>17744</v>
      </c>
      <c r="XBR1" s="16" t="s">
        <v>17745</v>
      </c>
      <c r="XBS1" s="16" t="s">
        <v>17746</v>
      </c>
      <c r="XBT1" s="16" t="s">
        <v>17747</v>
      </c>
      <c r="XBU1" s="16" t="s">
        <v>17748</v>
      </c>
      <c r="XBV1" s="16" t="s">
        <v>17749</v>
      </c>
      <c r="XBW1" s="16" t="s">
        <v>17750</v>
      </c>
      <c r="XBX1" s="16" t="s">
        <v>17751</v>
      </c>
      <c r="XBY1" s="16" t="s">
        <v>17752</v>
      </c>
      <c r="XBZ1" s="16" t="s">
        <v>17753</v>
      </c>
      <c r="XCA1" s="16" t="s">
        <v>17754</v>
      </c>
      <c r="XCB1" s="16" t="s">
        <v>17755</v>
      </c>
      <c r="XCC1" s="16" t="s">
        <v>17756</v>
      </c>
      <c r="XCD1" s="16" t="s">
        <v>17757</v>
      </c>
      <c r="XCE1" s="16" t="s">
        <v>17758</v>
      </c>
      <c r="XCF1" s="16" t="s">
        <v>17759</v>
      </c>
      <c r="XCG1" s="16" t="s">
        <v>17760</v>
      </c>
      <c r="XCH1" s="16" t="s">
        <v>17761</v>
      </c>
      <c r="XCI1" s="16" t="s">
        <v>17762</v>
      </c>
      <c r="XCJ1" s="16" t="s">
        <v>17763</v>
      </c>
      <c r="XCK1" s="16" t="s">
        <v>17764</v>
      </c>
      <c r="XCL1" s="16" t="s">
        <v>17765</v>
      </c>
      <c r="XCM1" s="16" t="s">
        <v>17766</v>
      </c>
      <c r="XCN1" s="16" t="s">
        <v>17767</v>
      </c>
      <c r="XCO1" s="16" t="s">
        <v>17768</v>
      </c>
      <c r="XCP1" s="16" t="s">
        <v>17769</v>
      </c>
      <c r="XCQ1" s="16" t="s">
        <v>17770</v>
      </c>
      <c r="XCR1" s="16" t="s">
        <v>17771</v>
      </c>
      <c r="XCS1" s="16" t="s">
        <v>17772</v>
      </c>
      <c r="XCT1" s="16" t="s">
        <v>17773</v>
      </c>
      <c r="XCU1" s="16" t="s">
        <v>17774</v>
      </c>
      <c r="XCV1" s="16" t="s">
        <v>17775</v>
      </c>
      <c r="XCW1" s="16" t="s">
        <v>17776</v>
      </c>
      <c r="XCX1" s="16" t="s">
        <v>17777</v>
      </c>
      <c r="XCY1" s="16" t="s">
        <v>17778</v>
      </c>
      <c r="XCZ1" s="16" t="s">
        <v>17779</v>
      </c>
      <c r="XDA1" s="16" t="s">
        <v>17780</v>
      </c>
      <c r="XDB1" s="16" t="s">
        <v>17781</v>
      </c>
      <c r="XDC1" s="16" t="s">
        <v>17782</v>
      </c>
      <c r="XDD1" s="16" t="s">
        <v>17783</v>
      </c>
      <c r="XDE1" s="16" t="s">
        <v>17784</v>
      </c>
      <c r="XDF1" s="16" t="s">
        <v>17785</v>
      </c>
      <c r="XDG1" s="16" t="s">
        <v>17786</v>
      </c>
      <c r="XDH1" s="16" t="s">
        <v>17787</v>
      </c>
      <c r="XDI1" s="16" t="s">
        <v>17788</v>
      </c>
      <c r="XDJ1" s="16" t="s">
        <v>17789</v>
      </c>
      <c r="XDK1" s="16" t="s">
        <v>17790</v>
      </c>
      <c r="XDL1" s="16" t="s">
        <v>17791</v>
      </c>
      <c r="XDM1" s="16" t="s">
        <v>17792</v>
      </c>
      <c r="XDN1" s="16" t="s">
        <v>17793</v>
      </c>
      <c r="XDO1" s="16" t="s">
        <v>17794</v>
      </c>
      <c r="XDP1" s="16" t="s">
        <v>17795</v>
      </c>
      <c r="XDQ1" s="16" t="s">
        <v>17796</v>
      </c>
      <c r="XDR1" s="16" t="s">
        <v>17797</v>
      </c>
      <c r="XDS1" s="16" t="s">
        <v>17798</v>
      </c>
      <c r="XDT1" s="16" t="s">
        <v>17799</v>
      </c>
      <c r="XDU1" s="16" t="s">
        <v>17800</v>
      </c>
      <c r="XDV1" s="16" t="s">
        <v>17801</v>
      </c>
      <c r="XDW1" s="16" t="s">
        <v>17802</v>
      </c>
      <c r="XDX1" s="16" t="s">
        <v>17803</v>
      </c>
      <c r="XDY1" s="16" t="s">
        <v>17804</v>
      </c>
      <c r="XDZ1" s="16" t="s">
        <v>17805</v>
      </c>
      <c r="XEA1" s="16" t="s">
        <v>17806</v>
      </c>
      <c r="XEB1" s="16" t="s">
        <v>17807</v>
      </c>
      <c r="XEC1" s="16" t="s">
        <v>17808</v>
      </c>
      <c r="XED1" s="16" t="s">
        <v>17809</v>
      </c>
      <c r="XEE1" s="16" t="s">
        <v>17810</v>
      </c>
      <c r="XEF1" s="16" t="s">
        <v>17811</v>
      </c>
      <c r="XEG1" s="16" t="s">
        <v>17812</v>
      </c>
      <c r="XEH1" s="16" t="s">
        <v>17813</v>
      </c>
      <c r="XEI1" s="16" t="s">
        <v>17814</v>
      </c>
      <c r="XEJ1" s="16" t="s">
        <v>17815</v>
      </c>
      <c r="XEK1" s="16" t="s">
        <v>17816</v>
      </c>
      <c r="XEL1" s="16" t="s">
        <v>17817</v>
      </c>
      <c r="XEM1" s="16" t="s">
        <v>17818</v>
      </c>
      <c r="XEN1" s="16" t="s">
        <v>17819</v>
      </c>
      <c r="XEO1" s="16" t="s">
        <v>17820</v>
      </c>
      <c r="XEP1" s="16" t="s">
        <v>17821</v>
      </c>
      <c r="XEQ1" s="16" t="s">
        <v>17822</v>
      </c>
      <c r="XER1" s="16" t="s">
        <v>17823</v>
      </c>
      <c r="XES1" s="16" t="s">
        <v>17824</v>
      </c>
      <c r="XET1" s="16" t="s">
        <v>17825</v>
      </c>
      <c r="XEU1" s="16" t="s">
        <v>17826</v>
      </c>
      <c r="XEV1" s="16" t="s">
        <v>17827</v>
      </c>
      <c r="XEW1" s="16" t="s">
        <v>17828</v>
      </c>
      <c r="XEX1" s="16" t="s">
        <v>17829</v>
      </c>
      <c r="XEY1" s="16" t="s">
        <v>17830</v>
      </c>
      <c r="XEZ1" s="16" t="s">
        <v>17831</v>
      </c>
      <c r="XFA1" s="16" t="s">
        <v>17832</v>
      </c>
      <c r="XFB1" s="16" t="s">
        <v>17833</v>
      </c>
    </row>
    <row r="2" spans="1:16382" x14ac:dyDescent="0.3">
      <c r="A2" t="s">
        <v>49</v>
      </c>
      <c r="B2" s="1">
        <v>45566</v>
      </c>
      <c r="C2" t="s">
        <v>50</v>
      </c>
      <c r="D2" t="s">
        <v>25</v>
      </c>
      <c r="E2" t="s">
        <v>52</v>
      </c>
      <c r="F2" t="s">
        <v>53</v>
      </c>
      <c r="G2" t="s">
        <v>54</v>
      </c>
      <c r="H2">
        <v>1899</v>
      </c>
      <c r="I2">
        <v>1</v>
      </c>
      <c r="J2">
        <v>1899</v>
      </c>
      <c r="L2">
        <v>0</v>
      </c>
      <c r="M2" t="s">
        <v>55</v>
      </c>
      <c r="N2" t="s">
        <v>30</v>
      </c>
      <c r="O2" t="s">
        <v>56</v>
      </c>
      <c r="P2" t="s">
        <v>57</v>
      </c>
      <c r="Q2" t="s">
        <v>56</v>
      </c>
      <c r="R2" s="1">
        <v>45571</v>
      </c>
      <c r="S2" t="s">
        <v>33</v>
      </c>
      <c r="T2" t="s">
        <v>34</v>
      </c>
      <c r="W2" t="s">
        <v>35</v>
      </c>
      <c r="X2" t="str">
        <f>IF(OR(orders_Q4[[#This Row],[Qty]]&gt;5,orders_Q4[[#This Row],[Qty]]&lt;0),"Invalid Quantity","OK")</f>
        <v>OK</v>
      </c>
      <c r="Y2" t="b">
        <f>OR(orders_Q4[[#This Row],[Unit Price]]&gt;20000,orders_Q4[[#This Row],[Unit Price]]&lt;0,orders_Q4[[#This Row],[Unit Price]]=0)</f>
        <v>0</v>
      </c>
      <c r="Z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">
        <f>orders_Q4[[#This Row],[Unit Price]] * orders_Q4[[#This Row],[Qty]] * (1 - orders_Q4[[#This Row],[Disc %]]/100)</f>
        <v>1899</v>
      </c>
      <c r="AB2" t="str">
        <f>IF(ABS(orders_Q4[[#This Row],[Total]] - orders_Q4[[#This Row],[Calculated_order_total]]) &gt; 1, "Mismatch", "OK")</f>
        <v>OK</v>
      </c>
      <c r="AC2">
        <f>COUNTIF(C:C,orders_Q4[[#This Row],[Customer ID]])</f>
        <v>1</v>
      </c>
      <c r="AD2" t="str">
        <f>IF(AND(orders_Q4[[#This Row],[Type]]="New",orders_Q4[[#This Row],[Customer_id_count]]&gt;1),"Existing customer","OK")</f>
        <v>OK</v>
      </c>
      <c r="AE2">
        <f>orders_Q4[[#This Row],[Del Date]]-orders_Q4[[#This Row],[Order Date]]</f>
        <v>5</v>
      </c>
      <c r="AF2" t="str">
        <f>IF(OR(orders_Q4[[#This Row],[Delivery_time]]&gt;30,orders_Q4[[#This Row],[Delivery_time]]&lt;0),"Invalid_delivery_time","OK")</f>
        <v>OK</v>
      </c>
      <c r="AG2" s="20">
        <f>IF(
   AND(NOT(ISBLANK(orders_Q4[[#This Row],[return_received]])), NOT(ISBLANK(orders_Q4[[#This Row],[Del Date]]))),
   orders_Q4[[#This Row],[return_received]] - orders_Q4[[#This Row],[Del Date]],0)</f>
        <v>0</v>
      </c>
      <c r="AH2" t="str">
        <f>TEXT(orders_Q4[[#This Row],[Order Date]],"mmm-yyyy")</f>
        <v>Oct-2024</v>
      </c>
      <c r="AI2" s="1" t="str">
        <f>TEXT(orders_Q4[[#This Row],[Order Date]],"yyyy") &amp; "-" &amp; WEEKNUM(orders_Q4[[#This Row],[Order Date]])</f>
        <v>2024-40</v>
      </c>
      <c r="AJ2" t="str">
        <f>IF(orders_Q4[[#This Row],[Payment]]="COD","COD","Prepaid")</f>
        <v>COD</v>
      </c>
    </row>
    <row r="3" spans="1:16382" s="10" customFormat="1" x14ac:dyDescent="0.3">
      <c r="A3" s="10" t="s">
        <v>23</v>
      </c>
      <c r="B3" s="11">
        <v>45566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0">
        <v>1299</v>
      </c>
      <c r="I3" s="10">
        <v>2</v>
      </c>
      <c r="J3" s="10">
        <v>2598</v>
      </c>
      <c r="L3" s="10">
        <v>0</v>
      </c>
      <c r="M3" s="10" t="s">
        <v>29</v>
      </c>
      <c r="N3" s="10" t="s">
        <v>30</v>
      </c>
      <c r="O3" s="10" t="s">
        <v>31</v>
      </c>
      <c r="P3" s="10" t="s">
        <v>32</v>
      </c>
      <c r="Q3" s="10" t="s">
        <v>31</v>
      </c>
      <c r="R3" s="11">
        <v>45570</v>
      </c>
      <c r="S3" s="10" t="s">
        <v>33</v>
      </c>
      <c r="T3" s="10" t="s">
        <v>34</v>
      </c>
      <c r="W3" s="10" t="s">
        <v>35</v>
      </c>
      <c r="X3" s="10" t="str">
        <f>IF(OR(orders_Q4[[#This Row],[Qty]]&gt;5,orders_Q4[[#This Row],[Qty]]&lt;0),"Invalid Quantity","OK")</f>
        <v>OK</v>
      </c>
      <c r="Y3" s="10" t="b">
        <f>OR(orders_Q4[[#This Row],[Unit Price]]&gt;20000,orders_Q4[[#This Row],[Unit Price]]&lt;0,orders_Q4[[#This Row],[Unit Price]]=0)</f>
        <v>0</v>
      </c>
      <c r="Z3" s="1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" s="10">
        <f>orders_Q4[[#This Row],[Unit Price]] * orders_Q4[[#This Row],[Qty]] * (1 - orders_Q4[[#This Row],[Disc %]]/100)</f>
        <v>2598</v>
      </c>
      <c r="AB3" s="10" t="str">
        <f>IF(ABS(orders_Q4[[#This Row],[Total]] - orders_Q4[[#This Row],[Calculated_order_total]]) &gt; 1, "Mismatch", "OK")</f>
        <v>OK</v>
      </c>
      <c r="AC3" s="10">
        <f>COUNTIF(C:C,orders_Q4[[#This Row],[Customer ID]])</f>
        <v>2</v>
      </c>
      <c r="AD3" s="10" t="str">
        <f>IF(AND(orders_Q4[[#This Row],[Type]]="New",orders_Q4[[#This Row],[Customer_id_count]]&gt;1),"Existing customer","OK")</f>
        <v>Existing customer</v>
      </c>
      <c r="AE3" s="10">
        <f>orders_Q4[[#This Row],[Del Date]]-orders_Q4[[#This Row],[Order Date]]</f>
        <v>4</v>
      </c>
      <c r="AF3" s="10" t="str">
        <f>IF(OR(orders_Q4[[#This Row],[Delivery_time]]&gt;30,orders_Q4[[#This Row],[Delivery_time]]&lt;0),"Invalid_delivery_time","OK")</f>
        <v>OK</v>
      </c>
      <c r="AG3" s="21">
        <f>IF(
   AND(NOT(ISBLANK(orders_Q4[[#This Row],[return_received]])), NOT(ISBLANK(orders_Q4[[#This Row],[Del Date]]))),
   orders_Q4[[#This Row],[return_received]] - orders_Q4[[#This Row],[Del Date]],0)</f>
        <v>0</v>
      </c>
      <c r="AH3" t="str">
        <f>TEXT(orders_Q4[[#This Row],[Order Date]],"mmm-yyyy")</f>
        <v>Oct-2024</v>
      </c>
      <c r="AI3" s="1" t="str">
        <f>TEXT(orders_Q4[[#This Row],[Order Date]],"yyyy") &amp; "-" &amp; WEEKNUM(orders_Q4[[#This Row],[Order Date]])</f>
        <v>2024-40</v>
      </c>
      <c r="AJ3" t="str">
        <f>IF(orders_Q4[[#This Row],[Payment]]="COD","COD","Prepaid")</f>
        <v>Prepaid</v>
      </c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</row>
    <row r="4" spans="1:16382" x14ac:dyDescent="0.3">
      <c r="A4" t="s">
        <v>36</v>
      </c>
      <c r="B4" s="1">
        <v>45566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2499</v>
      </c>
      <c r="I4">
        <v>1</v>
      </c>
      <c r="J4">
        <v>2499</v>
      </c>
      <c r="K4" t="s">
        <v>42</v>
      </c>
      <c r="L4">
        <v>20</v>
      </c>
      <c r="M4" t="s">
        <v>43</v>
      </c>
      <c r="N4" t="s">
        <v>44</v>
      </c>
      <c r="O4" t="s">
        <v>45</v>
      </c>
      <c r="P4" t="s">
        <v>45</v>
      </c>
      <c r="Q4" t="s">
        <v>45</v>
      </c>
      <c r="R4" s="1">
        <v>45569</v>
      </c>
      <c r="S4" t="s">
        <v>33</v>
      </c>
      <c r="T4" t="s">
        <v>46</v>
      </c>
      <c r="U4" t="s">
        <v>47</v>
      </c>
      <c r="V4" s="1">
        <v>45580</v>
      </c>
      <c r="W4" t="s">
        <v>48</v>
      </c>
      <c r="X4" t="str">
        <f>IF(OR(orders_Q4[[#This Row],[Qty]]&gt;5,orders_Q4[[#This Row],[Qty]]&lt;0),"Invalid Quantity","OK")</f>
        <v>OK</v>
      </c>
      <c r="Y4" t="b">
        <f>OR(orders_Q4[[#This Row],[Unit Price]]&gt;20000,orders_Q4[[#This Row],[Unit Price]]&lt;0,orders_Q4[[#This Row],[Unit Price]]=0)</f>
        <v>0</v>
      </c>
      <c r="Z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4">
        <f>orders_Q4[[#This Row],[Unit Price]] * orders_Q4[[#This Row],[Qty]] * (1 - orders_Q4[[#This Row],[Disc %]]/100)</f>
        <v>1999.2</v>
      </c>
      <c r="AB4" t="str">
        <f>IF(ABS(orders_Q4[[#This Row],[Total]] - orders_Q4[[#This Row],[Calculated_order_total]]) &gt; 1, "Mismatch", "OK")</f>
        <v>Mismatch</v>
      </c>
      <c r="AC4">
        <f>COUNTIF(C:C,orders_Q4[[#This Row],[Customer ID]])</f>
        <v>1</v>
      </c>
      <c r="AD4" t="str">
        <f>IF(AND(orders_Q4[[#This Row],[Type]]="New",orders_Q4[[#This Row],[Customer_id_count]]&gt;1),"Existing customer","OK")</f>
        <v>OK</v>
      </c>
      <c r="AE4">
        <f>orders_Q4[[#This Row],[Del Date]]-orders_Q4[[#This Row],[Order Date]]</f>
        <v>3</v>
      </c>
      <c r="AF4" t="str">
        <f>IF(OR(orders_Q4[[#This Row],[Delivery_time]]&gt;30,orders_Q4[[#This Row],[Delivery_time]]&lt;0),"Invalid_delivery_time","OK")</f>
        <v>OK</v>
      </c>
      <c r="AG4" s="20">
        <f>IF(
   AND(NOT(ISBLANK(orders_Q4[[#This Row],[return_received]])), NOT(ISBLANK(orders_Q4[[#This Row],[Del Date]]))),
   orders_Q4[[#This Row],[return_received]] - orders_Q4[[#This Row],[Del Date]],0)</f>
        <v>11</v>
      </c>
      <c r="AH4" t="str">
        <f>TEXT(orders_Q4[[#This Row],[Order Date]],"mmm-yyyy")</f>
        <v>Oct-2024</v>
      </c>
      <c r="AI4" s="1" t="str">
        <f>TEXT(orders_Q4[[#This Row],[Order Date]],"yyyy") &amp; "-" &amp; WEEKNUM(orders_Q4[[#This Row],[Order Date]])</f>
        <v>2024-40</v>
      </c>
      <c r="AJ4" t="str">
        <f>IF(orders_Q4[[#This Row],[Payment]]="COD","COD","Prepaid")</f>
        <v>Prepaid</v>
      </c>
    </row>
    <row r="5" spans="1:16382" x14ac:dyDescent="0.3">
      <c r="A5" t="s">
        <v>58</v>
      </c>
      <c r="B5" s="1">
        <v>45566</v>
      </c>
      <c r="C5" t="s">
        <v>59</v>
      </c>
      <c r="D5" t="s">
        <v>25</v>
      </c>
      <c r="E5" t="s">
        <v>60</v>
      </c>
      <c r="F5" t="s">
        <v>61</v>
      </c>
      <c r="G5" t="s">
        <v>62</v>
      </c>
      <c r="H5">
        <v>3499</v>
      </c>
      <c r="I5">
        <v>1</v>
      </c>
      <c r="J5">
        <v>3499</v>
      </c>
      <c r="K5" t="s">
        <v>63</v>
      </c>
      <c r="L5">
        <v>15</v>
      </c>
      <c r="M5" t="s">
        <v>64</v>
      </c>
      <c r="N5" t="s">
        <v>65</v>
      </c>
      <c r="O5" t="s">
        <v>66</v>
      </c>
      <c r="P5" t="s">
        <v>67</v>
      </c>
      <c r="Q5" t="s">
        <v>31</v>
      </c>
      <c r="R5" s="1">
        <v>45573</v>
      </c>
      <c r="S5" t="s">
        <v>33</v>
      </c>
      <c r="T5" t="s">
        <v>46</v>
      </c>
      <c r="U5" t="s">
        <v>68</v>
      </c>
      <c r="V5" s="1">
        <v>45585</v>
      </c>
      <c r="W5" t="s">
        <v>48</v>
      </c>
      <c r="X5" t="str">
        <f>IF(OR(orders_Q4[[#This Row],[Qty]]&gt;5,orders_Q4[[#This Row],[Qty]]&lt;0),"Invalid Quantity","OK")</f>
        <v>OK</v>
      </c>
      <c r="Y5" t="b">
        <f>OR(orders_Q4[[#This Row],[Unit Price]]&gt;20000,orders_Q4[[#This Row],[Unit Price]]&lt;0,orders_Q4[[#This Row],[Unit Price]]=0)</f>
        <v>0</v>
      </c>
      <c r="Z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5">
        <f>orders_Q4[[#This Row],[Unit Price]] * orders_Q4[[#This Row],[Qty]] * (1 - orders_Q4[[#This Row],[Disc %]]/100)</f>
        <v>2974.15</v>
      </c>
      <c r="AB5" t="str">
        <f>IF(ABS(orders_Q4[[#This Row],[Total]] - orders_Q4[[#This Row],[Calculated_order_total]]) &gt; 1, "Mismatch", "OK")</f>
        <v>Mismatch</v>
      </c>
      <c r="AC5">
        <f>COUNTIF(C:C,orders_Q4[[#This Row],[Customer ID]])</f>
        <v>1</v>
      </c>
      <c r="AD5" t="str">
        <f>IF(AND(orders_Q4[[#This Row],[Type]]="New",orders_Q4[[#This Row],[Customer_id_count]]&gt;1),"Existing customer","OK")</f>
        <v>OK</v>
      </c>
      <c r="AE5">
        <f>orders_Q4[[#This Row],[Del Date]]-orders_Q4[[#This Row],[Order Date]]</f>
        <v>7</v>
      </c>
      <c r="AF5" t="str">
        <f>IF(OR(orders_Q4[[#This Row],[Delivery_time]]&gt;30,orders_Q4[[#This Row],[Delivery_time]]&lt;0),"Invalid_delivery_time","OK")</f>
        <v>OK</v>
      </c>
      <c r="AG5" s="20">
        <f>IF(
   AND(NOT(ISBLANK(orders_Q4[[#This Row],[return_received]])), NOT(ISBLANK(orders_Q4[[#This Row],[Del Date]]))),
   orders_Q4[[#This Row],[return_received]] - orders_Q4[[#This Row],[Del Date]],0)</f>
        <v>12</v>
      </c>
      <c r="AH5" t="str">
        <f>TEXT(orders_Q4[[#This Row],[Order Date]],"mmm-yyyy")</f>
        <v>Oct-2024</v>
      </c>
      <c r="AI5" s="1" t="str">
        <f>TEXT(orders_Q4[[#This Row],[Order Date]],"yyyy") &amp; "-" &amp; WEEKNUM(orders_Q4[[#This Row],[Order Date]])</f>
        <v>2024-40</v>
      </c>
      <c r="AJ5" t="str">
        <f>IF(orders_Q4[[#This Row],[Payment]]="COD","COD","Prepaid")</f>
        <v>Prepaid</v>
      </c>
    </row>
    <row r="6" spans="1:16382" s="10" customFormat="1" x14ac:dyDescent="0.3">
      <c r="A6" s="10" t="s">
        <v>69</v>
      </c>
      <c r="B6" s="11">
        <v>45566</v>
      </c>
      <c r="C6" s="10" t="s">
        <v>24</v>
      </c>
      <c r="D6" s="10" t="s">
        <v>25</v>
      </c>
      <c r="E6" s="10" t="s">
        <v>70</v>
      </c>
      <c r="F6" s="10" t="s">
        <v>71</v>
      </c>
      <c r="G6" s="10" t="s">
        <v>72</v>
      </c>
      <c r="H6" s="10">
        <v>799</v>
      </c>
      <c r="I6" s="10">
        <v>3</v>
      </c>
      <c r="J6" s="10">
        <v>2397</v>
      </c>
      <c r="L6" s="10">
        <v>0</v>
      </c>
      <c r="M6" s="10" t="s">
        <v>29</v>
      </c>
      <c r="N6" s="10" t="s">
        <v>30</v>
      </c>
      <c r="O6" s="10" t="s">
        <v>31</v>
      </c>
      <c r="P6" s="10" t="s">
        <v>32</v>
      </c>
      <c r="Q6" s="10" t="s">
        <v>31</v>
      </c>
      <c r="R6" s="11">
        <v>45571</v>
      </c>
      <c r="S6" s="10" t="s">
        <v>33</v>
      </c>
      <c r="T6" s="10" t="s">
        <v>34</v>
      </c>
      <c r="W6" s="10" t="s">
        <v>35</v>
      </c>
      <c r="X6" s="10" t="str">
        <f>IF(OR(orders_Q4[[#This Row],[Qty]]&gt;5,orders_Q4[[#This Row],[Qty]]&lt;0),"Invalid Quantity","OK")</f>
        <v>OK</v>
      </c>
      <c r="Y6" s="10" t="b">
        <f>OR(orders_Q4[[#This Row],[Unit Price]]&gt;20000,orders_Q4[[#This Row],[Unit Price]]&lt;0,orders_Q4[[#This Row],[Unit Price]]=0)</f>
        <v>0</v>
      </c>
      <c r="Z6" s="1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6" s="10">
        <f>orders_Q4[[#This Row],[Unit Price]] * orders_Q4[[#This Row],[Qty]] * (1 - orders_Q4[[#This Row],[Disc %]]/100)</f>
        <v>2397</v>
      </c>
      <c r="AB6" s="10" t="str">
        <f>IF(ABS(orders_Q4[[#This Row],[Total]] - orders_Q4[[#This Row],[Calculated_order_total]]) &gt; 1, "Mismatch", "OK")</f>
        <v>OK</v>
      </c>
      <c r="AC6" s="10">
        <f>COUNTIF(C:C,orders_Q4[[#This Row],[Customer ID]])</f>
        <v>2</v>
      </c>
      <c r="AD6" s="10" t="str">
        <f>IF(AND(orders_Q4[[#This Row],[Type]]="New",orders_Q4[[#This Row],[Customer_id_count]]&gt;1),"Existing customer","OK")</f>
        <v>Existing customer</v>
      </c>
      <c r="AE6" s="10">
        <f>orders_Q4[[#This Row],[Del Date]]-orders_Q4[[#This Row],[Order Date]]</f>
        <v>5</v>
      </c>
      <c r="AF6" s="10" t="str">
        <f>IF(OR(orders_Q4[[#This Row],[Delivery_time]]&gt;30,orders_Q4[[#This Row],[Delivery_time]]&lt;0),"Invalid_delivery_time","OK")</f>
        <v>OK</v>
      </c>
      <c r="AG6" s="21">
        <f>IF(
   AND(NOT(ISBLANK(orders_Q4[[#This Row],[return_received]])), NOT(ISBLANK(orders_Q4[[#This Row],[Del Date]]))),
   orders_Q4[[#This Row],[return_received]] - orders_Q4[[#This Row],[Del Date]],0)</f>
        <v>0</v>
      </c>
      <c r="AH6" t="str">
        <f>TEXT(orders_Q4[[#This Row],[Order Date]],"mmm-yyyy")</f>
        <v>Oct-2024</v>
      </c>
      <c r="AI6" s="1" t="str">
        <f>TEXT(orders_Q4[[#This Row],[Order Date]],"yyyy") &amp; "-" &amp; WEEKNUM(orders_Q4[[#This Row],[Order Date]])</f>
        <v>2024-40</v>
      </c>
      <c r="AJ6" t="str">
        <f>IF(orders_Q4[[#This Row],[Payment]]="COD","COD","Prepaid")</f>
        <v>Prepaid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</row>
    <row r="7" spans="1:16382" x14ac:dyDescent="0.3">
      <c r="A7" t="s">
        <v>73</v>
      </c>
      <c r="B7" s="1">
        <v>45567</v>
      </c>
      <c r="C7" t="s">
        <v>74</v>
      </c>
      <c r="D7" t="s">
        <v>38</v>
      </c>
      <c r="E7" t="s">
        <v>75</v>
      </c>
      <c r="F7" t="s">
        <v>27</v>
      </c>
      <c r="G7" t="s">
        <v>76</v>
      </c>
      <c r="H7">
        <v>1599</v>
      </c>
      <c r="I7">
        <v>2</v>
      </c>
      <c r="J7">
        <v>3198</v>
      </c>
      <c r="L7">
        <v>0</v>
      </c>
      <c r="M7" t="s">
        <v>43</v>
      </c>
      <c r="N7" t="s">
        <v>44</v>
      </c>
      <c r="O7" t="s">
        <v>77</v>
      </c>
      <c r="P7" t="s">
        <v>78</v>
      </c>
      <c r="Q7" t="s">
        <v>56</v>
      </c>
      <c r="R7" s="1">
        <v>45572</v>
      </c>
      <c r="S7" t="s">
        <v>33</v>
      </c>
      <c r="T7" t="s">
        <v>46</v>
      </c>
      <c r="U7" t="s">
        <v>79</v>
      </c>
      <c r="V7" s="1">
        <v>45583</v>
      </c>
      <c r="W7" t="s">
        <v>48</v>
      </c>
      <c r="X7" t="str">
        <f>IF(OR(orders_Q4[[#This Row],[Qty]]&gt;5,orders_Q4[[#This Row],[Qty]]&lt;0),"Invalid Quantity","OK")</f>
        <v>OK</v>
      </c>
      <c r="Y7" t="b">
        <f>OR(orders_Q4[[#This Row],[Unit Price]]&gt;20000,orders_Q4[[#This Row],[Unit Price]]&lt;0,orders_Q4[[#This Row],[Unit Price]]=0)</f>
        <v>0</v>
      </c>
      <c r="Z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7">
        <f>orders_Q4[[#This Row],[Unit Price]] * orders_Q4[[#This Row],[Qty]] * (1 - orders_Q4[[#This Row],[Disc %]]/100)</f>
        <v>3198</v>
      </c>
      <c r="AB7" t="str">
        <f>IF(ABS(orders_Q4[[#This Row],[Total]] - orders_Q4[[#This Row],[Calculated_order_total]]) &gt; 1, "Mismatch", "OK")</f>
        <v>OK</v>
      </c>
      <c r="AC7">
        <f>COUNTIF(C:C,orders_Q4[[#This Row],[Customer ID]])</f>
        <v>1</v>
      </c>
      <c r="AD7" t="str">
        <f>IF(AND(orders_Q4[[#This Row],[Type]]="New",orders_Q4[[#This Row],[Customer_id_count]]&gt;1),"Existing customer","OK")</f>
        <v>OK</v>
      </c>
      <c r="AE7">
        <f>orders_Q4[[#This Row],[Del Date]]-orders_Q4[[#This Row],[Order Date]]</f>
        <v>5</v>
      </c>
      <c r="AF7" t="str">
        <f>IF(OR(orders_Q4[[#This Row],[Delivery_time]]&gt;30,orders_Q4[[#This Row],[Delivery_time]]&lt;0),"Invalid_delivery_time","OK")</f>
        <v>OK</v>
      </c>
      <c r="AG7" s="20">
        <f>IF(
   AND(NOT(ISBLANK(orders_Q4[[#This Row],[return_received]])), NOT(ISBLANK(orders_Q4[[#This Row],[Del Date]]))),
   orders_Q4[[#This Row],[return_received]] - orders_Q4[[#This Row],[Del Date]],0)</f>
        <v>11</v>
      </c>
      <c r="AH7" t="str">
        <f>TEXT(orders_Q4[[#This Row],[Order Date]],"mmm-yyyy")</f>
        <v>Oct-2024</v>
      </c>
      <c r="AI7" s="1" t="str">
        <f>TEXT(orders_Q4[[#This Row],[Order Date]],"yyyy") &amp; "-" &amp; WEEKNUM(orders_Q4[[#This Row],[Order Date]])</f>
        <v>2024-40</v>
      </c>
      <c r="AJ7" t="str">
        <f>IF(orders_Q4[[#This Row],[Payment]]="COD","COD","Prepaid")</f>
        <v>Prepaid</v>
      </c>
    </row>
    <row r="8" spans="1:16382" x14ac:dyDescent="0.3">
      <c r="A8" t="s">
        <v>80</v>
      </c>
      <c r="B8" s="1">
        <v>45567</v>
      </c>
      <c r="C8" t="s">
        <v>81</v>
      </c>
      <c r="D8" t="s">
        <v>25</v>
      </c>
      <c r="E8" t="s">
        <v>82</v>
      </c>
      <c r="F8" t="s">
        <v>40</v>
      </c>
      <c r="G8" t="s">
        <v>83</v>
      </c>
      <c r="H8">
        <v>2199</v>
      </c>
      <c r="I8">
        <v>1</v>
      </c>
      <c r="J8">
        <v>2199</v>
      </c>
      <c r="K8" t="s">
        <v>42</v>
      </c>
      <c r="L8">
        <v>20</v>
      </c>
      <c r="M8" t="s">
        <v>55</v>
      </c>
      <c r="N8" t="s">
        <v>30</v>
      </c>
      <c r="O8" t="s">
        <v>84</v>
      </c>
      <c r="P8" t="s">
        <v>32</v>
      </c>
      <c r="Q8" t="s">
        <v>31</v>
      </c>
      <c r="S8" t="s">
        <v>85</v>
      </c>
      <c r="T8" t="s">
        <v>34</v>
      </c>
      <c r="W8" t="s">
        <v>35</v>
      </c>
      <c r="X8" t="str">
        <f>IF(OR(orders_Q4[[#This Row],[Qty]]&gt;5,orders_Q4[[#This Row],[Qty]]&lt;0),"Invalid Quantity","OK")</f>
        <v>OK</v>
      </c>
      <c r="Y8" t="b">
        <f>OR(orders_Q4[[#This Row],[Unit Price]]&gt;20000,orders_Q4[[#This Row],[Unit Price]]&lt;0,orders_Q4[[#This Row],[Unit Price]]=0)</f>
        <v>0</v>
      </c>
      <c r="Z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8">
        <f>orders_Q4[[#This Row],[Unit Price]] * orders_Q4[[#This Row],[Qty]] * (1 - orders_Q4[[#This Row],[Disc %]]/100)</f>
        <v>1759.2</v>
      </c>
      <c r="AB8" t="str">
        <f>IF(ABS(orders_Q4[[#This Row],[Total]] - orders_Q4[[#This Row],[Calculated_order_total]]) &gt; 1, "Mismatch", "OK")</f>
        <v>Mismatch</v>
      </c>
      <c r="AC8">
        <f>COUNTIF(C:C,orders_Q4[[#This Row],[Customer ID]])</f>
        <v>1</v>
      </c>
      <c r="AD8" t="str">
        <f>IF(AND(orders_Q4[[#This Row],[Type]]="New",orders_Q4[[#This Row],[Customer_id_count]]&gt;1),"Existing customer","OK")</f>
        <v>OK</v>
      </c>
      <c r="AE8">
        <f>orders_Q4[[#This Row],[Del Date]]-orders_Q4[[#This Row],[Order Date]]</f>
        <v>-45567</v>
      </c>
      <c r="AF8" t="str">
        <f>IF(OR(orders_Q4[[#This Row],[Delivery_time]]&gt;30,orders_Q4[[#This Row],[Delivery_time]]&lt;0),"Invalid_delivery_time","OK")</f>
        <v>Invalid_delivery_time</v>
      </c>
      <c r="AG8" s="20">
        <f>IF(
   AND(NOT(ISBLANK(orders_Q4[[#This Row],[return_received]])), NOT(ISBLANK(orders_Q4[[#This Row],[Del Date]]))),
   orders_Q4[[#This Row],[return_received]] - orders_Q4[[#This Row],[Del Date]],0)</f>
        <v>0</v>
      </c>
      <c r="AH8" t="str">
        <f>TEXT(orders_Q4[[#This Row],[Order Date]],"mmm-yyyy")</f>
        <v>Oct-2024</v>
      </c>
      <c r="AI8" s="1" t="str">
        <f>TEXT(orders_Q4[[#This Row],[Order Date]],"yyyy") &amp; "-" &amp; WEEKNUM(orders_Q4[[#This Row],[Order Date]])</f>
        <v>2024-40</v>
      </c>
      <c r="AJ8" t="str">
        <f>IF(orders_Q4[[#This Row],[Payment]]="COD","COD","Prepaid")</f>
        <v>COD</v>
      </c>
    </row>
    <row r="9" spans="1:16382" x14ac:dyDescent="0.3">
      <c r="A9" t="s">
        <v>86</v>
      </c>
      <c r="B9" s="1">
        <v>45567</v>
      </c>
      <c r="C9" t="s">
        <v>87</v>
      </c>
      <c r="D9" t="s">
        <v>25</v>
      </c>
      <c r="E9" t="s">
        <v>88</v>
      </c>
      <c r="F9" t="s">
        <v>53</v>
      </c>
      <c r="G9" t="s">
        <v>89</v>
      </c>
      <c r="H9">
        <v>2299</v>
      </c>
      <c r="I9">
        <v>1</v>
      </c>
      <c r="J9">
        <v>2299</v>
      </c>
      <c r="L9">
        <v>0</v>
      </c>
      <c r="M9" t="s">
        <v>29</v>
      </c>
      <c r="N9" t="s">
        <v>44</v>
      </c>
      <c r="O9" t="s">
        <v>90</v>
      </c>
      <c r="P9" t="s">
        <v>91</v>
      </c>
      <c r="Q9" t="s">
        <v>45</v>
      </c>
      <c r="R9" s="1">
        <v>45575</v>
      </c>
      <c r="S9" t="s">
        <v>33</v>
      </c>
      <c r="T9" t="s">
        <v>34</v>
      </c>
      <c r="W9" t="s">
        <v>35</v>
      </c>
      <c r="X9" t="str">
        <f>IF(OR(orders_Q4[[#This Row],[Qty]]&gt;5,orders_Q4[[#This Row],[Qty]]&lt;0),"Invalid Quantity","OK")</f>
        <v>OK</v>
      </c>
      <c r="Y9" t="b">
        <f>OR(orders_Q4[[#This Row],[Unit Price]]&gt;20000,orders_Q4[[#This Row],[Unit Price]]&lt;0,orders_Q4[[#This Row],[Unit Price]]=0)</f>
        <v>0</v>
      </c>
      <c r="Z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9">
        <f>orders_Q4[[#This Row],[Unit Price]] * orders_Q4[[#This Row],[Qty]] * (1 - orders_Q4[[#This Row],[Disc %]]/100)</f>
        <v>2299</v>
      </c>
      <c r="AB9" t="str">
        <f>IF(ABS(orders_Q4[[#This Row],[Total]] - orders_Q4[[#This Row],[Calculated_order_total]]) &gt; 1, "Mismatch", "OK")</f>
        <v>OK</v>
      </c>
      <c r="AC9">
        <f>COUNTIF(C:C,orders_Q4[[#This Row],[Customer ID]])</f>
        <v>1</v>
      </c>
      <c r="AD9" t="str">
        <f>IF(AND(orders_Q4[[#This Row],[Type]]="New",orders_Q4[[#This Row],[Customer_id_count]]&gt;1),"Existing customer","OK")</f>
        <v>OK</v>
      </c>
      <c r="AE9">
        <f>orders_Q4[[#This Row],[Del Date]]-orders_Q4[[#This Row],[Order Date]]</f>
        <v>8</v>
      </c>
      <c r="AF9" t="str">
        <f>IF(OR(orders_Q4[[#This Row],[Delivery_time]]&gt;30,orders_Q4[[#This Row],[Delivery_time]]&lt;0),"Invalid_delivery_time","OK")</f>
        <v>OK</v>
      </c>
      <c r="AG9" s="20">
        <f>IF(
   AND(NOT(ISBLANK(orders_Q4[[#This Row],[return_received]])), NOT(ISBLANK(orders_Q4[[#This Row],[Del Date]]))),
   orders_Q4[[#This Row],[return_received]] - orders_Q4[[#This Row],[Del Date]],0)</f>
        <v>0</v>
      </c>
      <c r="AH9" t="str">
        <f>TEXT(orders_Q4[[#This Row],[Order Date]],"mmm-yyyy")</f>
        <v>Oct-2024</v>
      </c>
      <c r="AI9" s="1" t="str">
        <f>TEXT(orders_Q4[[#This Row],[Order Date]],"yyyy") &amp; "-" &amp; WEEKNUM(orders_Q4[[#This Row],[Order Date]])</f>
        <v>2024-40</v>
      </c>
      <c r="AJ9" t="str">
        <f>IF(orders_Q4[[#This Row],[Payment]]="COD","COD","Prepaid")</f>
        <v>Prepaid</v>
      </c>
    </row>
    <row r="10" spans="1:16382" x14ac:dyDescent="0.3">
      <c r="A10" t="s">
        <v>92</v>
      </c>
      <c r="B10" s="1">
        <v>45567</v>
      </c>
      <c r="C10" t="s">
        <v>93</v>
      </c>
      <c r="D10" t="s">
        <v>38</v>
      </c>
      <c r="E10" t="s">
        <v>94</v>
      </c>
      <c r="F10" t="s">
        <v>27</v>
      </c>
      <c r="G10" t="s">
        <v>95</v>
      </c>
      <c r="H10">
        <v>1399</v>
      </c>
      <c r="I10">
        <v>5</v>
      </c>
      <c r="J10">
        <v>6995</v>
      </c>
      <c r="L10">
        <v>0</v>
      </c>
      <c r="M10" t="s">
        <v>43</v>
      </c>
      <c r="N10" t="s">
        <v>30</v>
      </c>
      <c r="O10" t="s">
        <v>96</v>
      </c>
      <c r="P10" t="s">
        <v>97</v>
      </c>
      <c r="Q10" t="s">
        <v>31</v>
      </c>
      <c r="R10" s="1">
        <v>45574</v>
      </c>
      <c r="S10" t="s">
        <v>33</v>
      </c>
      <c r="T10" t="s">
        <v>46</v>
      </c>
      <c r="U10" t="s">
        <v>47</v>
      </c>
      <c r="V10" s="1">
        <v>45587</v>
      </c>
      <c r="W10" t="s">
        <v>48</v>
      </c>
      <c r="X10" t="str">
        <f>IF(OR(orders_Q4[[#This Row],[Qty]]&gt;5,orders_Q4[[#This Row],[Qty]]&lt;0),"Invalid Quantity","OK")</f>
        <v>OK</v>
      </c>
      <c r="Y10" t="b">
        <f>OR(orders_Q4[[#This Row],[Unit Price]]&gt;20000,orders_Q4[[#This Row],[Unit Price]]&lt;0,orders_Q4[[#This Row],[Unit Price]]=0)</f>
        <v>0</v>
      </c>
      <c r="Z1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0">
        <f>orders_Q4[[#This Row],[Unit Price]] * orders_Q4[[#This Row],[Qty]] * (1 - orders_Q4[[#This Row],[Disc %]]/100)</f>
        <v>6995</v>
      </c>
      <c r="AB10" t="str">
        <f>IF(ABS(orders_Q4[[#This Row],[Total]] - orders_Q4[[#This Row],[Calculated_order_total]]) &gt; 1, "Mismatch", "OK")</f>
        <v>OK</v>
      </c>
      <c r="AC10">
        <f>COUNTIF(C:C,orders_Q4[[#This Row],[Customer ID]])</f>
        <v>1</v>
      </c>
      <c r="AD10" t="str">
        <f>IF(AND(orders_Q4[[#This Row],[Type]]="New",orders_Q4[[#This Row],[Customer_id_count]]&gt;1),"Existing customer","OK")</f>
        <v>OK</v>
      </c>
      <c r="AE10">
        <f>orders_Q4[[#This Row],[Del Date]]-orders_Q4[[#This Row],[Order Date]]</f>
        <v>7</v>
      </c>
      <c r="AF10" t="str">
        <f>IF(OR(orders_Q4[[#This Row],[Delivery_time]]&gt;30,orders_Q4[[#This Row],[Delivery_time]]&lt;0),"Invalid_delivery_time","OK")</f>
        <v>OK</v>
      </c>
      <c r="AG10" s="20">
        <f>IF(
   AND(NOT(ISBLANK(orders_Q4[[#This Row],[return_received]])), NOT(ISBLANK(orders_Q4[[#This Row],[Del Date]]))),
   orders_Q4[[#This Row],[return_received]] - orders_Q4[[#This Row],[Del Date]],0)</f>
        <v>13</v>
      </c>
      <c r="AH10" t="str">
        <f>TEXT(orders_Q4[[#This Row],[Order Date]],"mmm-yyyy")</f>
        <v>Oct-2024</v>
      </c>
      <c r="AI10" s="1" t="str">
        <f>TEXT(orders_Q4[[#This Row],[Order Date]],"yyyy") &amp; "-" &amp; WEEKNUM(orders_Q4[[#This Row],[Order Date]])</f>
        <v>2024-40</v>
      </c>
      <c r="AJ10" t="str">
        <f>IF(orders_Q4[[#This Row],[Payment]]="COD","COD","Prepaid")</f>
        <v>Prepaid</v>
      </c>
    </row>
    <row r="11" spans="1:16382" x14ac:dyDescent="0.3">
      <c r="A11" s="6" t="s">
        <v>98</v>
      </c>
      <c r="B11" s="7">
        <v>45567</v>
      </c>
      <c r="C11" s="6" t="s">
        <v>99</v>
      </c>
      <c r="D11" s="6" t="s">
        <v>25</v>
      </c>
      <c r="E11" s="6" t="s">
        <v>100</v>
      </c>
      <c r="F11" s="6" t="s">
        <v>61</v>
      </c>
      <c r="G11" s="6" t="s">
        <v>101</v>
      </c>
      <c r="H11" s="6">
        <v>4999</v>
      </c>
      <c r="I11" s="6">
        <v>-1</v>
      </c>
      <c r="J11" s="6">
        <v>4999</v>
      </c>
      <c r="K11" s="6"/>
      <c r="L11" s="6">
        <v>0</v>
      </c>
      <c r="M11" s="6" t="s">
        <v>64</v>
      </c>
      <c r="N11" s="6" t="s">
        <v>65</v>
      </c>
      <c r="O11" s="6" t="s">
        <v>102</v>
      </c>
      <c r="P11" s="6" t="s">
        <v>103</v>
      </c>
      <c r="Q11" s="6" t="s">
        <v>45</v>
      </c>
      <c r="R11" s="7">
        <v>45576</v>
      </c>
      <c r="S11" s="6" t="s">
        <v>33</v>
      </c>
      <c r="T11" s="6" t="s">
        <v>46</v>
      </c>
      <c r="U11" s="6" t="s">
        <v>104</v>
      </c>
      <c r="V11" s="7">
        <v>45590</v>
      </c>
      <c r="W11" s="6" t="s">
        <v>105</v>
      </c>
      <c r="X11" s="6" t="str">
        <f>IF(OR(orders_Q4[[#This Row],[Qty]]&gt;5,orders_Q4[[#This Row],[Qty]]&lt;0),"Invalid Quantity","OK")</f>
        <v>Invalid Quantity</v>
      </c>
      <c r="Y11" s="6" t="b">
        <f>OR(orders_Q4[[#This Row],[Unit Price]]&gt;20000,orders_Q4[[#This Row],[Unit Price]]&lt;0,orders_Q4[[#This Row],[Unit Price]]=0)</f>
        <v>0</v>
      </c>
      <c r="Z11" s="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1" s="6">
        <f>orders_Q4[[#This Row],[Unit Price]] * orders_Q4[[#This Row],[Qty]] * (1 - orders_Q4[[#This Row],[Disc %]]/100)</f>
        <v>-4999</v>
      </c>
      <c r="AB11" s="6" t="str">
        <f>IF(ABS(orders_Q4[[#This Row],[Total]] - orders_Q4[[#This Row],[Calculated_order_total]]) &gt; 1, "Mismatch", "OK")</f>
        <v>Mismatch</v>
      </c>
      <c r="AC11" s="6">
        <f>COUNTIF(C:C,orders_Q4[[#This Row],[Customer ID]])</f>
        <v>1</v>
      </c>
      <c r="AD11" s="6" t="str">
        <f>IF(AND(orders_Q4[[#This Row],[Type]]="New",orders_Q4[[#This Row],[Customer_id_count]]&gt;1),"Existing customer","OK")</f>
        <v>OK</v>
      </c>
      <c r="AE11" s="6">
        <f>orders_Q4[[#This Row],[Del Date]]-orders_Q4[[#This Row],[Order Date]]</f>
        <v>9</v>
      </c>
      <c r="AF11" s="6" t="str">
        <f>IF(OR(orders_Q4[[#This Row],[Delivery_time]]&gt;30,orders_Q4[[#This Row],[Delivery_time]]&lt;0),"Invalid_delivery_time","OK")</f>
        <v>OK</v>
      </c>
      <c r="AG11" s="22">
        <f>IF(
   AND(NOT(ISBLANK(orders_Q4[[#This Row],[return_received]])), NOT(ISBLANK(orders_Q4[[#This Row],[Del Date]]))),
   orders_Q4[[#This Row],[return_received]] - orders_Q4[[#This Row],[Del Date]],0)</f>
        <v>14</v>
      </c>
      <c r="AH11" t="str">
        <f>TEXT(orders_Q4[[#This Row],[Order Date]],"mmm-yyyy")</f>
        <v>Oct-2024</v>
      </c>
      <c r="AI11" s="1" t="str">
        <f>TEXT(orders_Q4[[#This Row],[Order Date]],"yyyy") &amp; "-" &amp; WEEKNUM(orders_Q4[[#This Row],[Order Date]])</f>
        <v>2024-40</v>
      </c>
      <c r="AJ11" t="str">
        <f>IF(orders_Q4[[#This Row],[Payment]]="COD","COD","Prepaid")</f>
        <v>Prepaid</v>
      </c>
    </row>
    <row r="12" spans="1:16382" x14ac:dyDescent="0.3">
      <c r="A12" t="s">
        <v>106</v>
      </c>
      <c r="B12" s="1">
        <v>45568</v>
      </c>
      <c r="C12" t="s">
        <v>107</v>
      </c>
      <c r="D12" t="s">
        <v>25</v>
      </c>
      <c r="E12" t="s">
        <v>108</v>
      </c>
      <c r="F12" t="s">
        <v>71</v>
      </c>
      <c r="G12" t="s">
        <v>109</v>
      </c>
      <c r="H12">
        <v>1299</v>
      </c>
      <c r="I12">
        <v>2</v>
      </c>
      <c r="J12">
        <v>2598</v>
      </c>
      <c r="K12" t="s">
        <v>110</v>
      </c>
      <c r="L12">
        <v>10</v>
      </c>
      <c r="M12" t="s">
        <v>111</v>
      </c>
      <c r="N12" t="s">
        <v>30</v>
      </c>
      <c r="O12" t="s">
        <v>112</v>
      </c>
      <c r="P12" t="s">
        <v>113</v>
      </c>
      <c r="Q12" t="s">
        <v>45</v>
      </c>
      <c r="R12" s="1">
        <v>45575</v>
      </c>
      <c r="S12" t="s">
        <v>33</v>
      </c>
      <c r="T12" t="s">
        <v>34</v>
      </c>
      <c r="W12" t="s">
        <v>35</v>
      </c>
      <c r="X12" t="str">
        <f>IF(OR(orders_Q4[[#This Row],[Qty]]&gt;5,orders_Q4[[#This Row],[Qty]]&lt;0),"Invalid Quantity","OK")</f>
        <v>OK</v>
      </c>
      <c r="Y12" t="b">
        <f>OR(orders_Q4[[#This Row],[Unit Price]]&gt;20000,orders_Q4[[#This Row],[Unit Price]]&lt;0,orders_Q4[[#This Row],[Unit Price]]=0)</f>
        <v>0</v>
      </c>
      <c r="Z1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">
        <f>orders_Q4[[#This Row],[Unit Price]] * orders_Q4[[#This Row],[Qty]] * (1 - orders_Q4[[#This Row],[Disc %]]/100)</f>
        <v>2338.2000000000003</v>
      </c>
      <c r="AB12" t="str">
        <f>IF(ABS(orders_Q4[[#This Row],[Total]] - orders_Q4[[#This Row],[Calculated_order_total]]) &gt; 1, "Mismatch", "OK")</f>
        <v>Mismatch</v>
      </c>
      <c r="AC12">
        <f>COUNTIF(C:C,orders_Q4[[#This Row],[Customer ID]])</f>
        <v>1</v>
      </c>
      <c r="AD12" t="str">
        <f>IF(AND(orders_Q4[[#This Row],[Type]]="New",orders_Q4[[#This Row],[Customer_id_count]]&gt;1),"Existing customer","OK")</f>
        <v>OK</v>
      </c>
      <c r="AE12">
        <f>orders_Q4[[#This Row],[Del Date]]-orders_Q4[[#This Row],[Order Date]]</f>
        <v>7</v>
      </c>
      <c r="AF12" t="str">
        <f>IF(OR(orders_Q4[[#This Row],[Delivery_time]]&gt;30,orders_Q4[[#This Row],[Delivery_time]]&lt;0),"Invalid_delivery_time","OK")</f>
        <v>OK</v>
      </c>
      <c r="AG12" s="20">
        <f>IF(
   AND(NOT(ISBLANK(orders_Q4[[#This Row],[return_received]])), NOT(ISBLANK(orders_Q4[[#This Row],[Del Date]]))),
   orders_Q4[[#This Row],[return_received]] - orders_Q4[[#This Row],[Del Date]],0)</f>
        <v>0</v>
      </c>
      <c r="AH12" t="str">
        <f>TEXT(orders_Q4[[#This Row],[Order Date]],"mmm-yyyy")</f>
        <v>Oct-2024</v>
      </c>
      <c r="AI12" s="1" t="str">
        <f>TEXT(orders_Q4[[#This Row],[Order Date]],"yyyy") &amp; "-" &amp; WEEKNUM(orders_Q4[[#This Row],[Order Date]])</f>
        <v>2024-40</v>
      </c>
      <c r="AJ12" t="str">
        <f>IF(orders_Q4[[#This Row],[Payment]]="COD","COD","Prepaid")</f>
        <v>Prepaid</v>
      </c>
    </row>
    <row r="13" spans="1:16382" x14ac:dyDescent="0.3">
      <c r="A13" t="s">
        <v>114</v>
      </c>
      <c r="B13" s="1">
        <v>45568</v>
      </c>
      <c r="C13" t="s">
        <v>115</v>
      </c>
      <c r="D13" t="s">
        <v>25</v>
      </c>
      <c r="E13" t="s">
        <v>116</v>
      </c>
      <c r="F13" t="s">
        <v>40</v>
      </c>
      <c r="G13" t="s">
        <v>117</v>
      </c>
      <c r="H13">
        <v>3299</v>
      </c>
      <c r="I13">
        <v>1</v>
      </c>
      <c r="J13">
        <v>3299</v>
      </c>
      <c r="L13">
        <v>0</v>
      </c>
      <c r="M13" t="s">
        <v>55</v>
      </c>
      <c r="N13" t="s">
        <v>44</v>
      </c>
      <c r="O13" t="s">
        <v>118</v>
      </c>
      <c r="P13" t="s">
        <v>119</v>
      </c>
      <c r="Q13" t="s">
        <v>45</v>
      </c>
      <c r="S13" t="s">
        <v>120</v>
      </c>
      <c r="T13" t="s">
        <v>34</v>
      </c>
      <c r="W13" t="s">
        <v>35</v>
      </c>
      <c r="X13" t="str">
        <f>IF(OR(orders_Q4[[#This Row],[Qty]]&gt;5,orders_Q4[[#This Row],[Qty]]&lt;0),"Invalid Quantity","OK")</f>
        <v>OK</v>
      </c>
      <c r="Y13" t="b">
        <f>OR(orders_Q4[[#This Row],[Unit Price]]&gt;20000,orders_Q4[[#This Row],[Unit Price]]&lt;0,orders_Q4[[#This Row],[Unit Price]]=0)</f>
        <v>0</v>
      </c>
      <c r="Z1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3">
        <f>orders_Q4[[#This Row],[Unit Price]] * orders_Q4[[#This Row],[Qty]] * (1 - orders_Q4[[#This Row],[Disc %]]/100)</f>
        <v>3299</v>
      </c>
      <c r="AB13" t="str">
        <f>IF(ABS(orders_Q4[[#This Row],[Total]] - orders_Q4[[#This Row],[Calculated_order_total]]) &gt; 1, "Mismatch", "OK")</f>
        <v>OK</v>
      </c>
      <c r="AC13">
        <f>COUNTIF(C:C,orders_Q4[[#This Row],[Customer ID]])</f>
        <v>1</v>
      </c>
      <c r="AD13" t="str">
        <f>IF(AND(orders_Q4[[#This Row],[Type]]="New",orders_Q4[[#This Row],[Customer_id_count]]&gt;1),"Existing customer","OK")</f>
        <v>OK</v>
      </c>
      <c r="AE13">
        <f>orders_Q4[[#This Row],[Del Date]]-orders_Q4[[#This Row],[Order Date]]</f>
        <v>-45568</v>
      </c>
      <c r="AF13" t="str">
        <f>IF(OR(orders_Q4[[#This Row],[Delivery_time]]&gt;30,orders_Q4[[#This Row],[Delivery_time]]&lt;0),"Invalid_delivery_time","OK")</f>
        <v>Invalid_delivery_time</v>
      </c>
      <c r="AG13" s="20">
        <f>IF(
   AND(NOT(ISBLANK(orders_Q4[[#This Row],[return_received]])), NOT(ISBLANK(orders_Q4[[#This Row],[Del Date]]))),
   orders_Q4[[#This Row],[return_received]] - orders_Q4[[#This Row],[Del Date]],0)</f>
        <v>0</v>
      </c>
      <c r="AH13" t="str">
        <f>TEXT(orders_Q4[[#This Row],[Order Date]],"mmm-yyyy")</f>
        <v>Oct-2024</v>
      </c>
      <c r="AI13" s="1" t="str">
        <f>TEXT(orders_Q4[[#This Row],[Order Date]],"yyyy") &amp; "-" &amp; WEEKNUM(orders_Q4[[#This Row],[Order Date]])</f>
        <v>2024-40</v>
      </c>
      <c r="AJ13" t="str">
        <f>IF(orders_Q4[[#This Row],[Payment]]="COD","COD","Prepaid")</f>
        <v>COD</v>
      </c>
    </row>
    <row r="14" spans="1:16382" x14ac:dyDescent="0.3">
      <c r="A14" t="s">
        <v>121</v>
      </c>
      <c r="B14" s="1">
        <v>45568</v>
      </c>
      <c r="C14" t="s">
        <v>122</v>
      </c>
      <c r="D14" t="s">
        <v>38</v>
      </c>
      <c r="E14" t="s">
        <v>123</v>
      </c>
      <c r="F14" t="s">
        <v>27</v>
      </c>
      <c r="G14" t="s">
        <v>124</v>
      </c>
      <c r="H14">
        <v>2499</v>
      </c>
      <c r="I14">
        <v>1</v>
      </c>
      <c r="J14">
        <v>2499</v>
      </c>
      <c r="L14">
        <v>0</v>
      </c>
      <c r="M14" t="s">
        <v>43</v>
      </c>
      <c r="N14" t="s">
        <v>30</v>
      </c>
      <c r="O14" t="s">
        <v>31</v>
      </c>
      <c r="P14" t="s">
        <v>32</v>
      </c>
      <c r="Q14" t="s">
        <v>31</v>
      </c>
      <c r="R14" s="1">
        <v>45574</v>
      </c>
      <c r="S14" t="s">
        <v>33</v>
      </c>
      <c r="T14" t="s">
        <v>34</v>
      </c>
      <c r="W14" t="s">
        <v>35</v>
      </c>
      <c r="X14" t="str">
        <f>IF(OR(orders_Q4[[#This Row],[Qty]]&gt;5,orders_Q4[[#This Row],[Qty]]&lt;0),"Invalid Quantity","OK")</f>
        <v>OK</v>
      </c>
      <c r="Y14" t="b">
        <f>OR(orders_Q4[[#This Row],[Unit Price]]&gt;20000,orders_Q4[[#This Row],[Unit Price]]&lt;0,orders_Q4[[#This Row],[Unit Price]]=0)</f>
        <v>0</v>
      </c>
      <c r="Z1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4">
        <f>orders_Q4[[#This Row],[Unit Price]] * orders_Q4[[#This Row],[Qty]] * (1 - orders_Q4[[#This Row],[Disc %]]/100)</f>
        <v>2499</v>
      </c>
      <c r="AB14" t="str">
        <f>IF(ABS(orders_Q4[[#This Row],[Total]] - orders_Q4[[#This Row],[Calculated_order_total]]) &gt; 1, "Mismatch", "OK")</f>
        <v>OK</v>
      </c>
      <c r="AC14">
        <f>COUNTIF(C:C,orders_Q4[[#This Row],[Customer ID]])</f>
        <v>1</v>
      </c>
      <c r="AD14" t="str">
        <f>IF(AND(orders_Q4[[#This Row],[Type]]="New",orders_Q4[[#This Row],[Customer_id_count]]&gt;1),"Existing customer","OK")</f>
        <v>OK</v>
      </c>
      <c r="AE14">
        <f>orders_Q4[[#This Row],[Del Date]]-orders_Q4[[#This Row],[Order Date]]</f>
        <v>6</v>
      </c>
      <c r="AF14" t="str">
        <f>IF(OR(orders_Q4[[#This Row],[Delivery_time]]&gt;30,orders_Q4[[#This Row],[Delivery_time]]&lt;0),"Invalid_delivery_time","OK")</f>
        <v>OK</v>
      </c>
      <c r="AG14" s="20">
        <f>IF(
   AND(NOT(ISBLANK(orders_Q4[[#This Row],[return_received]])), NOT(ISBLANK(orders_Q4[[#This Row],[Del Date]]))),
   orders_Q4[[#This Row],[return_received]] - orders_Q4[[#This Row],[Del Date]],0)</f>
        <v>0</v>
      </c>
      <c r="AH14" t="str">
        <f>TEXT(orders_Q4[[#This Row],[Order Date]],"mmm-yyyy")</f>
        <v>Oct-2024</v>
      </c>
      <c r="AI14" s="1" t="str">
        <f>TEXT(orders_Q4[[#This Row],[Order Date]],"yyyy") &amp; "-" &amp; WEEKNUM(orders_Q4[[#This Row],[Order Date]])</f>
        <v>2024-40</v>
      </c>
      <c r="AJ14" t="str">
        <f>IF(orders_Q4[[#This Row],[Payment]]="COD","COD","Prepaid")</f>
        <v>Prepaid</v>
      </c>
    </row>
    <row r="15" spans="1:16382" x14ac:dyDescent="0.3">
      <c r="A15" t="s">
        <v>125</v>
      </c>
      <c r="B15" s="1">
        <v>45568</v>
      </c>
      <c r="C15" t="s">
        <v>126</v>
      </c>
      <c r="D15" t="s">
        <v>25</v>
      </c>
      <c r="E15" t="s">
        <v>127</v>
      </c>
      <c r="F15" t="s">
        <v>53</v>
      </c>
      <c r="G15" t="s">
        <v>128</v>
      </c>
      <c r="H15">
        <v>1799</v>
      </c>
      <c r="I15">
        <v>2</v>
      </c>
      <c r="J15">
        <v>3598</v>
      </c>
      <c r="K15" t="s">
        <v>42</v>
      </c>
      <c r="L15">
        <v>20</v>
      </c>
      <c r="M15" t="s">
        <v>29</v>
      </c>
      <c r="N15" t="s">
        <v>65</v>
      </c>
      <c r="O15" t="s">
        <v>45</v>
      </c>
      <c r="P15" t="s">
        <v>45</v>
      </c>
      <c r="Q15" t="s">
        <v>45</v>
      </c>
      <c r="R15" s="1">
        <v>45576</v>
      </c>
      <c r="S15" t="s">
        <v>33</v>
      </c>
      <c r="T15" t="s">
        <v>46</v>
      </c>
      <c r="U15" t="s">
        <v>47</v>
      </c>
      <c r="V15" s="1">
        <v>45593</v>
      </c>
      <c r="W15" t="s">
        <v>48</v>
      </c>
      <c r="X15" t="str">
        <f>IF(OR(orders_Q4[[#This Row],[Qty]]&gt;5,orders_Q4[[#This Row],[Qty]]&lt;0),"Invalid Quantity","OK")</f>
        <v>OK</v>
      </c>
      <c r="Y15" t="b">
        <f>OR(orders_Q4[[#This Row],[Unit Price]]&gt;20000,orders_Q4[[#This Row],[Unit Price]]&lt;0,orders_Q4[[#This Row],[Unit Price]]=0)</f>
        <v>0</v>
      </c>
      <c r="Z1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5">
        <f>orders_Q4[[#This Row],[Unit Price]] * orders_Q4[[#This Row],[Qty]] * (1 - orders_Q4[[#This Row],[Disc %]]/100)</f>
        <v>2878.4</v>
      </c>
      <c r="AB15" t="str">
        <f>IF(ABS(orders_Q4[[#This Row],[Total]] - orders_Q4[[#This Row],[Calculated_order_total]]) &gt; 1, "Mismatch", "OK")</f>
        <v>Mismatch</v>
      </c>
      <c r="AC15">
        <f>COUNTIF(C:C,orders_Q4[[#This Row],[Customer ID]])</f>
        <v>1</v>
      </c>
      <c r="AD15" t="str">
        <f>IF(AND(orders_Q4[[#This Row],[Type]]="New",orders_Q4[[#This Row],[Customer_id_count]]&gt;1),"Existing customer","OK")</f>
        <v>OK</v>
      </c>
      <c r="AE15">
        <f>orders_Q4[[#This Row],[Del Date]]-orders_Q4[[#This Row],[Order Date]]</f>
        <v>8</v>
      </c>
      <c r="AF15" t="str">
        <f>IF(OR(orders_Q4[[#This Row],[Delivery_time]]&gt;30,orders_Q4[[#This Row],[Delivery_time]]&lt;0),"Invalid_delivery_time","OK")</f>
        <v>OK</v>
      </c>
      <c r="AG15" s="20">
        <f>IF(
   AND(NOT(ISBLANK(orders_Q4[[#This Row],[return_received]])), NOT(ISBLANK(orders_Q4[[#This Row],[Del Date]]))),
   orders_Q4[[#This Row],[return_received]] - orders_Q4[[#This Row],[Del Date]],0)</f>
        <v>17</v>
      </c>
      <c r="AH15" t="str">
        <f>TEXT(orders_Q4[[#This Row],[Order Date]],"mmm-yyyy")</f>
        <v>Oct-2024</v>
      </c>
      <c r="AI15" s="1" t="str">
        <f>TEXT(orders_Q4[[#This Row],[Order Date]],"yyyy") &amp; "-" &amp; WEEKNUM(orders_Q4[[#This Row],[Order Date]])</f>
        <v>2024-40</v>
      </c>
      <c r="AJ15" t="str">
        <f>IF(orders_Q4[[#This Row],[Payment]]="COD","COD","Prepaid")</f>
        <v>Prepaid</v>
      </c>
    </row>
    <row r="16" spans="1:16382" x14ac:dyDescent="0.3">
      <c r="A16" t="s">
        <v>129</v>
      </c>
      <c r="B16" s="1">
        <v>45568</v>
      </c>
      <c r="C16" t="s">
        <v>130</v>
      </c>
      <c r="D16" t="s">
        <v>25</v>
      </c>
      <c r="E16" t="s">
        <v>131</v>
      </c>
      <c r="F16" t="s">
        <v>61</v>
      </c>
      <c r="G16" t="s">
        <v>132</v>
      </c>
      <c r="H16">
        <v>2799</v>
      </c>
      <c r="I16">
        <v>1</v>
      </c>
      <c r="J16">
        <v>2799</v>
      </c>
      <c r="L16">
        <v>0</v>
      </c>
      <c r="M16" t="s">
        <v>64</v>
      </c>
      <c r="N16" t="s">
        <v>44</v>
      </c>
      <c r="O16" t="s">
        <v>56</v>
      </c>
      <c r="P16" t="s">
        <v>57</v>
      </c>
      <c r="Q16" t="s">
        <v>56</v>
      </c>
      <c r="R16" s="1">
        <v>45577</v>
      </c>
      <c r="S16" t="s">
        <v>33</v>
      </c>
      <c r="T16" t="s">
        <v>34</v>
      </c>
      <c r="W16" t="s">
        <v>35</v>
      </c>
      <c r="X16" t="str">
        <f>IF(OR(orders_Q4[[#This Row],[Qty]]&gt;5,orders_Q4[[#This Row],[Qty]]&lt;0),"Invalid Quantity","OK")</f>
        <v>OK</v>
      </c>
      <c r="Y16" t="b">
        <f>OR(orders_Q4[[#This Row],[Unit Price]]&gt;20000,orders_Q4[[#This Row],[Unit Price]]&lt;0,orders_Q4[[#This Row],[Unit Price]]=0)</f>
        <v>0</v>
      </c>
      <c r="Z1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6">
        <f>orders_Q4[[#This Row],[Unit Price]] * orders_Q4[[#This Row],[Qty]] * (1 - orders_Q4[[#This Row],[Disc %]]/100)</f>
        <v>2799</v>
      </c>
      <c r="AB16" t="str">
        <f>IF(ABS(orders_Q4[[#This Row],[Total]] - orders_Q4[[#This Row],[Calculated_order_total]]) &gt; 1, "Mismatch", "OK")</f>
        <v>OK</v>
      </c>
      <c r="AC16">
        <f>COUNTIF(C:C,orders_Q4[[#This Row],[Customer ID]])</f>
        <v>1</v>
      </c>
      <c r="AD16" t="str">
        <f>IF(AND(orders_Q4[[#This Row],[Type]]="New",orders_Q4[[#This Row],[Customer_id_count]]&gt;1),"Existing customer","OK")</f>
        <v>OK</v>
      </c>
      <c r="AE16">
        <f>orders_Q4[[#This Row],[Del Date]]-orders_Q4[[#This Row],[Order Date]]</f>
        <v>9</v>
      </c>
      <c r="AF16" t="str">
        <f>IF(OR(orders_Q4[[#This Row],[Delivery_time]]&gt;30,orders_Q4[[#This Row],[Delivery_time]]&lt;0),"Invalid_delivery_time","OK")</f>
        <v>OK</v>
      </c>
      <c r="AG16" s="20">
        <f>IF(
   AND(NOT(ISBLANK(orders_Q4[[#This Row],[return_received]])), NOT(ISBLANK(orders_Q4[[#This Row],[Del Date]]))),
   orders_Q4[[#This Row],[return_received]] - orders_Q4[[#This Row],[Del Date]],0)</f>
        <v>0</v>
      </c>
      <c r="AH16" t="str">
        <f>TEXT(orders_Q4[[#This Row],[Order Date]],"mmm-yyyy")</f>
        <v>Oct-2024</v>
      </c>
      <c r="AI16" s="1" t="str">
        <f>TEXT(orders_Q4[[#This Row],[Order Date]],"yyyy") &amp; "-" &amp; WEEKNUM(orders_Q4[[#This Row],[Order Date]])</f>
        <v>2024-40</v>
      </c>
      <c r="AJ16" t="str">
        <f>IF(orders_Q4[[#This Row],[Payment]]="COD","COD","Prepaid")</f>
        <v>Prepaid</v>
      </c>
    </row>
    <row r="17" spans="1:36" x14ac:dyDescent="0.3">
      <c r="A17" t="s">
        <v>133</v>
      </c>
      <c r="B17" s="1">
        <v>45569</v>
      </c>
      <c r="C17" t="s">
        <v>134</v>
      </c>
      <c r="D17" t="s">
        <v>38</v>
      </c>
      <c r="E17" t="s">
        <v>135</v>
      </c>
      <c r="F17" t="s">
        <v>71</v>
      </c>
      <c r="G17" t="s">
        <v>136</v>
      </c>
      <c r="H17">
        <v>599</v>
      </c>
      <c r="I17">
        <v>4</v>
      </c>
      <c r="J17">
        <v>2396</v>
      </c>
      <c r="L17">
        <v>0</v>
      </c>
      <c r="M17" t="s">
        <v>55</v>
      </c>
      <c r="N17" t="s">
        <v>30</v>
      </c>
      <c r="O17" t="s">
        <v>137</v>
      </c>
      <c r="P17" t="s">
        <v>113</v>
      </c>
      <c r="Q17" t="s">
        <v>45</v>
      </c>
      <c r="R17" s="1">
        <v>45579</v>
      </c>
      <c r="S17" t="s">
        <v>33</v>
      </c>
      <c r="T17" t="s">
        <v>46</v>
      </c>
      <c r="U17" t="s">
        <v>138</v>
      </c>
      <c r="V17" s="1">
        <v>45591</v>
      </c>
      <c r="W17" t="s">
        <v>48</v>
      </c>
      <c r="X17" t="str">
        <f>IF(OR(orders_Q4[[#This Row],[Qty]]&gt;5,orders_Q4[[#This Row],[Qty]]&lt;0),"Invalid Quantity","OK")</f>
        <v>OK</v>
      </c>
      <c r="Y17" t="b">
        <f>OR(orders_Q4[[#This Row],[Unit Price]]&gt;20000,orders_Q4[[#This Row],[Unit Price]]&lt;0,orders_Q4[[#This Row],[Unit Price]]=0)</f>
        <v>0</v>
      </c>
      <c r="Z1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7">
        <f>orders_Q4[[#This Row],[Unit Price]] * orders_Q4[[#This Row],[Qty]] * (1 - orders_Q4[[#This Row],[Disc %]]/100)</f>
        <v>2396</v>
      </c>
      <c r="AB17" t="str">
        <f>IF(ABS(orders_Q4[[#This Row],[Total]] - orders_Q4[[#This Row],[Calculated_order_total]]) &gt; 1, "Mismatch", "OK")</f>
        <v>OK</v>
      </c>
      <c r="AC17">
        <f>COUNTIF(C:C,orders_Q4[[#This Row],[Customer ID]])</f>
        <v>1</v>
      </c>
      <c r="AD17" t="str">
        <f>IF(AND(orders_Q4[[#This Row],[Type]]="New",orders_Q4[[#This Row],[Customer_id_count]]&gt;1),"Existing customer","OK")</f>
        <v>OK</v>
      </c>
      <c r="AE17">
        <f>orders_Q4[[#This Row],[Del Date]]-orders_Q4[[#This Row],[Order Date]]</f>
        <v>10</v>
      </c>
      <c r="AF17" t="str">
        <f>IF(OR(orders_Q4[[#This Row],[Delivery_time]]&gt;30,orders_Q4[[#This Row],[Delivery_time]]&lt;0),"Invalid_delivery_time","OK")</f>
        <v>OK</v>
      </c>
      <c r="AG17" s="20">
        <f>IF(
   AND(NOT(ISBLANK(orders_Q4[[#This Row],[return_received]])), NOT(ISBLANK(orders_Q4[[#This Row],[Del Date]]))),
   orders_Q4[[#This Row],[return_received]] - orders_Q4[[#This Row],[Del Date]],0)</f>
        <v>12</v>
      </c>
      <c r="AH17" t="str">
        <f>TEXT(orders_Q4[[#This Row],[Order Date]],"mmm-yyyy")</f>
        <v>Oct-2024</v>
      </c>
      <c r="AI17" s="1" t="str">
        <f>TEXT(orders_Q4[[#This Row],[Order Date]],"yyyy") &amp; "-" &amp; WEEKNUM(orders_Q4[[#This Row],[Order Date]])</f>
        <v>2024-40</v>
      </c>
      <c r="AJ17" t="str">
        <f>IF(orders_Q4[[#This Row],[Payment]]="COD","COD","Prepaid")</f>
        <v>COD</v>
      </c>
    </row>
    <row r="18" spans="1:36" x14ac:dyDescent="0.3">
      <c r="A18" t="s">
        <v>139</v>
      </c>
      <c r="B18" s="1">
        <v>45569</v>
      </c>
      <c r="C18" t="s">
        <v>140</v>
      </c>
      <c r="D18" t="s">
        <v>25</v>
      </c>
      <c r="E18" t="s">
        <v>141</v>
      </c>
      <c r="F18" t="s">
        <v>27</v>
      </c>
      <c r="G18" t="s">
        <v>142</v>
      </c>
      <c r="H18">
        <v>999</v>
      </c>
      <c r="I18">
        <v>1</v>
      </c>
      <c r="J18">
        <v>999</v>
      </c>
      <c r="K18" t="s">
        <v>63</v>
      </c>
      <c r="L18">
        <v>15</v>
      </c>
      <c r="M18" t="s">
        <v>29</v>
      </c>
      <c r="N18" t="s">
        <v>44</v>
      </c>
      <c r="O18" t="s">
        <v>143</v>
      </c>
      <c r="P18" t="s">
        <v>144</v>
      </c>
      <c r="Q18" t="s">
        <v>45</v>
      </c>
      <c r="R18" s="1">
        <v>45577</v>
      </c>
      <c r="S18" t="s">
        <v>33</v>
      </c>
      <c r="T18" t="s">
        <v>34</v>
      </c>
      <c r="W18" t="s">
        <v>35</v>
      </c>
      <c r="X18" t="str">
        <f>IF(OR(orders_Q4[[#This Row],[Qty]]&gt;5,orders_Q4[[#This Row],[Qty]]&lt;0),"Invalid Quantity","OK")</f>
        <v>OK</v>
      </c>
      <c r="Y18" t="b">
        <f>OR(orders_Q4[[#This Row],[Unit Price]]&gt;20000,orders_Q4[[#This Row],[Unit Price]]&lt;0,orders_Q4[[#This Row],[Unit Price]]=0)</f>
        <v>0</v>
      </c>
      <c r="Z1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8">
        <f>orders_Q4[[#This Row],[Unit Price]] * orders_Q4[[#This Row],[Qty]] * (1 - orders_Q4[[#This Row],[Disc %]]/100)</f>
        <v>849.15</v>
      </c>
      <c r="AB18" t="str">
        <f>IF(ABS(orders_Q4[[#This Row],[Total]] - orders_Q4[[#This Row],[Calculated_order_total]]) &gt; 1, "Mismatch", "OK")</f>
        <v>Mismatch</v>
      </c>
      <c r="AC18">
        <f>COUNTIF(C:C,orders_Q4[[#This Row],[Customer ID]])</f>
        <v>1</v>
      </c>
      <c r="AD18" t="str">
        <f>IF(AND(orders_Q4[[#This Row],[Type]]="New",orders_Q4[[#This Row],[Customer_id_count]]&gt;1),"Existing customer","OK")</f>
        <v>OK</v>
      </c>
      <c r="AE18">
        <f>orders_Q4[[#This Row],[Del Date]]-orders_Q4[[#This Row],[Order Date]]</f>
        <v>8</v>
      </c>
      <c r="AF18" t="str">
        <f>IF(OR(orders_Q4[[#This Row],[Delivery_time]]&gt;30,orders_Q4[[#This Row],[Delivery_time]]&lt;0),"Invalid_delivery_time","OK")</f>
        <v>OK</v>
      </c>
      <c r="AG18" s="20">
        <f>IF(
   AND(NOT(ISBLANK(orders_Q4[[#This Row],[return_received]])), NOT(ISBLANK(orders_Q4[[#This Row],[Del Date]]))),
   orders_Q4[[#This Row],[return_received]] - orders_Q4[[#This Row],[Del Date]],0)</f>
        <v>0</v>
      </c>
      <c r="AH18" t="str">
        <f>TEXT(orders_Q4[[#This Row],[Order Date]],"mmm-yyyy")</f>
        <v>Oct-2024</v>
      </c>
      <c r="AI18" s="1" t="str">
        <f>TEXT(orders_Q4[[#This Row],[Order Date]],"yyyy") &amp; "-" &amp; WEEKNUM(orders_Q4[[#This Row],[Order Date]])</f>
        <v>2024-40</v>
      </c>
      <c r="AJ18" t="str">
        <f>IF(orders_Q4[[#This Row],[Payment]]="COD","COD","Prepaid")</f>
        <v>Prepaid</v>
      </c>
    </row>
    <row r="19" spans="1:36" x14ac:dyDescent="0.3">
      <c r="A19" t="s">
        <v>146</v>
      </c>
      <c r="B19" s="1">
        <v>45569</v>
      </c>
      <c r="C19" t="s">
        <v>147</v>
      </c>
      <c r="D19" t="s">
        <v>25</v>
      </c>
      <c r="E19" t="s">
        <v>148</v>
      </c>
      <c r="F19" t="s">
        <v>40</v>
      </c>
      <c r="G19" t="s">
        <v>149</v>
      </c>
      <c r="H19">
        <v>2899</v>
      </c>
      <c r="I19">
        <v>1</v>
      </c>
      <c r="J19">
        <v>2899</v>
      </c>
      <c r="L19">
        <v>0</v>
      </c>
      <c r="M19" t="s">
        <v>43</v>
      </c>
      <c r="N19" t="s">
        <v>30</v>
      </c>
      <c r="O19" t="s">
        <v>150</v>
      </c>
      <c r="P19" t="s">
        <v>151</v>
      </c>
      <c r="Q19" t="s">
        <v>31</v>
      </c>
      <c r="R19" s="1">
        <v>45579</v>
      </c>
      <c r="S19" t="s">
        <v>33</v>
      </c>
      <c r="T19" t="s">
        <v>34</v>
      </c>
      <c r="W19" t="s">
        <v>35</v>
      </c>
      <c r="X19" t="str">
        <f>IF(OR(orders_Q4[[#This Row],[Qty]]&gt;5,orders_Q4[[#This Row],[Qty]]&lt;0),"Invalid Quantity","OK")</f>
        <v>OK</v>
      </c>
      <c r="Y19" t="b">
        <f>OR(orders_Q4[[#This Row],[Unit Price]]&gt;20000,orders_Q4[[#This Row],[Unit Price]]&lt;0,orders_Q4[[#This Row],[Unit Price]]=0)</f>
        <v>0</v>
      </c>
      <c r="Z1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9">
        <f>orders_Q4[[#This Row],[Unit Price]] * orders_Q4[[#This Row],[Qty]] * (1 - orders_Q4[[#This Row],[Disc %]]/100)</f>
        <v>2899</v>
      </c>
      <c r="AB19" t="str">
        <f>IF(ABS(orders_Q4[[#This Row],[Total]] - orders_Q4[[#This Row],[Calculated_order_total]]) &gt; 1, "Mismatch", "OK")</f>
        <v>OK</v>
      </c>
      <c r="AC19">
        <f>COUNTIF(C:C,orders_Q4[[#This Row],[Customer ID]])</f>
        <v>1</v>
      </c>
      <c r="AD19" t="str">
        <f>IF(AND(orders_Q4[[#This Row],[Type]]="New",orders_Q4[[#This Row],[Customer_id_count]]&gt;1),"Existing customer","OK")</f>
        <v>OK</v>
      </c>
      <c r="AE19">
        <f>orders_Q4[[#This Row],[Del Date]]-orders_Q4[[#This Row],[Order Date]]</f>
        <v>10</v>
      </c>
      <c r="AF19" t="str">
        <f>IF(OR(orders_Q4[[#This Row],[Delivery_time]]&gt;30,orders_Q4[[#This Row],[Delivery_time]]&lt;0),"Invalid_delivery_time","OK")</f>
        <v>OK</v>
      </c>
      <c r="AG19" s="20">
        <f>IF(
   AND(NOT(ISBLANK(orders_Q4[[#This Row],[return_received]])), NOT(ISBLANK(orders_Q4[[#This Row],[Del Date]]))),
   orders_Q4[[#This Row],[return_received]] - orders_Q4[[#This Row],[Del Date]],0)</f>
        <v>0</v>
      </c>
      <c r="AH19" t="str">
        <f>TEXT(orders_Q4[[#This Row],[Order Date]],"mmm-yyyy")</f>
        <v>Oct-2024</v>
      </c>
      <c r="AI19" s="1" t="str">
        <f>TEXT(orders_Q4[[#This Row],[Order Date]],"yyyy") &amp; "-" &amp; WEEKNUM(orders_Q4[[#This Row],[Order Date]])</f>
        <v>2024-40</v>
      </c>
      <c r="AJ19" t="str">
        <f>IF(orders_Q4[[#This Row],[Payment]]="COD","COD","Prepaid")</f>
        <v>Prepaid</v>
      </c>
    </row>
    <row r="20" spans="1:36" x14ac:dyDescent="0.3">
      <c r="A20" t="s">
        <v>152</v>
      </c>
      <c r="B20" s="1">
        <v>45569</v>
      </c>
      <c r="C20" t="s">
        <v>153</v>
      </c>
      <c r="D20" t="s">
        <v>38</v>
      </c>
      <c r="E20" t="s">
        <v>154</v>
      </c>
      <c r="F20" t="s">
        <v>53</v>
      </c>
      <c r="G20" t="s">
        <v>155</v>
      </c>
      <c r="H20">
        <v>1499</v>
      </c>
      <c r="I20">
        <v>2</v>
      </c>
      <c r="J20">
        <v>2998</v>
      </c>
      <c r="L20">
        <v>0</v>
      </c>
      <c r="M20" t="s">
        <v>111</v>
      </c>
      <c r="N20" t="s">
        <v>65</v>
      </c>
      <c r="O20" t="s">
        <v>156</v>
      </c>
      <c r="P20" t="s">
        <v>97</v>
      </c>
      <c r="Q20" t="s">
        <v>31</v>
      </c>
      <c r="R20" s="1">
        <v>45578</v>
      </c>
      <c r="S20" t="s">
        <v>33</v>
      </c>
      <c r="T20" t="s">
        <v>46</v>
      </c>
      <c r="U20" t="s">
        <v>47</v>
      </c>
      <c r="V20" s="1">
        <v>45595</v>
      </c>
      <c r="W20" t="s">
        <v>48</v>
      </c>
      <c r="X20" t="str">
        <f>IF(OR(orders_Q4[[#This Row],[Qty]]&gt;5,orders_Q4[[#This Row],[Qty]]&lt;0),"Invalid Quantity","OK")</f>
        <v>OK</v>
      </c>
      <c r="Y20" t="b">
        <f>OR(orders_Q4[[#This Row],[Unit Price]]&gt;20000,orders_Q4[[#This Row],[Unit Price]]&lt;0,orders_Q4[[#This Row],[Unit Price]]=0)</f>
        <v>0</v>
      </c>
      <c r="Z2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">
        <f>orders_Q4[[#This Row],[Unit Price]] * orders_Q4[[#This Row],[Qty]] * (1 - orders_Q4[[#This Row],[Disc %]]/100)</f>
        <v>2998</v>
      </c>
      <c r="AB20" t="str">
        <f>IF(ABS(orders_Q4[[#This Row],[Total]] - orders_Q4[[#This Row],[Calculated_order_total]]) &gt; 1, "Mismatch", "OK")</f>
        <v>OK</v>
      </c>
      <c r="AC20">
        <f>COUNTIF(C:C,orders_Q4[[#This Row],[Customer ID]])</f>
        <v>1</v>
      </c>
      <c r="AD20" t="str">
        <f>IF(AND(orders_Q4[[#This Row],[Type]]="New",orders_Q4[[#This Row],[Customer_id_count]]&gt;1),"Existing customer","OK")</f>
        <v>OK</v>
      </c>
      <c r="AE20">
        <f>orders_Q4[[#This Row],[Del Date]]-orders_Q4[[#This Row],[Order Date]]</f>
        <v>9</v>
      </c>
      <c r="AF20" t="str">
        <f>IF(OR(orders_Q4[[#This Row],[Delivery_time]]&gt;30,orders_Q4[[#This Row],[Delivery_time]]&lt;0),"Invalid_delivery_time","OK")</f>
        <v>OK</v>
      </c>
      <c r="AG20" s="20">
        <f>IF(
   AND(NOT(ISBLANK(orders_Q4[[#This Row],[return_received]])), NOT(ISBLANK(orders_Q4[[#This Row],[Del Date]]))),
   orders_Q4[[#This Row],[return_received]] - orders_Q4[[#This Row],[Del Date]],0)</f>
        <v>17</v>
      </c>
      <c r="AH20" t="str">
        <f>TEXT(orders_Q4[[#This Row],[Order Date]],"mmm-yyyy")</f>
        <v>Oct-2024</v>
      </c>
      <c r="AI20" s="1" t="str">
        <f>TEXT(orders_Q4[[#This Row],[Order Date]],"yyyy") &amp; "-" &amp; WEEKNUM(orders_Q4[[#This Row],[Order Date]])</f>
        <v>2024-40</v>
      </c>
      <c r="AJ20" t="str">
        <f>IF(orders_Q4[[#This Row],[Payment]]="COD","COD","Prepaid")</f>
        <v>Prepaid</v>
      </c>
    </row>
    <row r="21" spans="1:36" x14ac:dyDescent="0.3">
      <c r="A21" t="s">
        <v>157</v>
      </c>
      <c r="B21" s="1">
        <v>45570</v>
      </c>
      <c r="C21" t="s">
        <v>158</v>
      </c>
      <c r="D21" t="s">
        <v>25</v>
      </c>
      <c r="E21" t="s">
        <v>159</v>
      </c>
      <c r="F21" t="s">
        <v>61</v>
      </c>
      <c r="G21" t="s">
        <v>160</v>
      </c>
      <c r="H21">
        <v>3999</v>
      </c>
      <c r="I21">
        <v>1</v>
      </c>
      <c r="J21">
        <v>3999</v>
      </c>
      <c r="K21" t="s">
        <v>42</v>
      </c>
      <c r="L21">
        <v>20</v>
      </c>
      <c r="M21" t="s">
        <v>55</v>
      </c>
      <c r="N21" t="s">
        <v>30</v>
      </c>
      <c r="O21" t="s">
        <v>161</v>
      </c>
      <c r="P21" t="s">
        <v>162</v>
      </c>
      <c r="Q21" t="s">
        <v>45</v>
      </c>
      <c r="S21" t="s">
        <v>120</v>
      </c>
      <c r="T21" t="s">
        <v>34</v>
      </c>
      <c r="W21" t="s">
        <v>35</v>
      </c>
      <c r="X21" t="str">
        <f>IF(OR(orders_Q4[[#This Row],[Qty]]&gt;5,orders_Q4[[#This Row],[Qty]]&lt;0),"Invalid Quantity","OK")</f>
        <v>OK</v>
      </c>
      <c r="Y21" t="b">
        <f>OR(orders_Q4[[#This Row],[Unit Price]]&gt;20000,orders_Q4[[#This Row],[Unit Price]]&lt;0,orders_Q4[[#This Row],[Unit Price]]=0)</f>
        <v>0</v>
      </c>
      <c r="Z2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1">
        <f>orders_Q4[[#This Row],[Unit Price]] * orders_Q4[[#This Row],[Qty]] * (1 - orders_Q4[[#This Row],[Disc %]]/100)</f>
        <v>3199.2000000000003</v>
      </c>
      <c r="AB21" t="str">
        <f>IF(ABS(orders_Q4[[#This Row],[Total]] - orders_Q4[[#This Row],[Calculated_order_total]]) &gt; 1, "Mismatch", "OK")</f>
        <v>Mismatch</v>
      </c>
      <c r="AC21">
        <f>COUNTIF(C:C,orders_Q4[[#This Row],[Customer ID]])</f>
        <v>1</v>
      </c>
      <c r="AD21" t="str">
        <f>IF(AND(orders_Q4[[#This Row],[Type]]="New",orders_Q4[[#This Row],[Customer_id_count]]&gt;1),"Existing customer","OK")</f>
        <v>OK</v>
      </c>
      <c r="AE21">
        <f>orders_Q4[[#This Row],[Del Date]]-orders_Q4[[#This Row],[Order Date]]</f>
        <v>-45570</v>
      </c>
      <c r="AF21" t="str">
        <f>IF(OR(orders_Q4[[#This Row],[Delivery_time]]&gt;30,orders_Q4[[#This Row],[Delivery_time]]&lt;0),"Invalid_delivery_time","OK")</f>
        <v>Invalid_delivery_time</v>
      </c>
      <c r="AG21" s="20">
        <f>IF(
   AND(NOT(ISBLANK(orders_Q4[[#This Row],[return_received]])), NOT(ISBLANK(orders_Q4[[#This Row],[Del Date]]))),
   orders_Q4[[#This Row],[return_received]] - orders_Q4[[#This Row],[Del Date]],0)</f>
        <v>0</v>
      </c>
      <c r="AH21" t="str">
        <f>TEXT(orders_Q4[[#This Row],[Order Date]],"mmm-yyyy")</f>
        <v>Oct-2024</v>
      </c>
      <c r="AI21" s="1" t="str">
        <f>TEXT(orders_Q4[[#This Row],[Order Date]],"yyyy") &amp; "-" &amp; WEEKNUM(orders_Q4[[#This Row],[Order Date]])</f>
        <v>2024-40</v>
      </c>
      <c r="AJ21" t="str">
        <f>IF(orders_Q4[[#This Row],[Payment]]="COD","COD","Prepaid")</f>
        <v>COD</v>
      </c>
    </row>
    <row r="22" spans="1:36" x14ac:dyDescent="0.3">
      <c r="A22" t="s">
        <v>163</v>
      </c>
      <c r="B22" s="1">
        <v>45570</v>
      </c>
      <c r="C22" t="s">
        <v>164</v>
      </c>
      <c r="D22" t="s">
        <v>25</v>
      </c>
      <c r="E22" t="s">
        <v>165</v>
      </c>
      <c r="F22" t="s">
        <v>27</v>
      </c>
      <c r="G22" t="s">
        <v>166</v>
      </c>
      <c r="H22">
        <v>1699</v>
      </c>
      <c r="I22">
        <v>1</v>
      </c>
      <c r="J22">
        <v>1699</v>
      </c>
      <c r="L22">
        <v>0</v>
      </c>
      <c r="M22" t="s">
        <v>29</v>
      </c>
      <c r="N22" t="s">
        <v>44</v>
      </c>
      <c r="O22" t="s">
        <v>167</v>
      </c>
      <c r="P22" t="s">
        <v>151</v>
      </c>
      <c r="Q22" t="s">
        <v>31</v>
      </c>
      <c r="R22" s="1">
        <v>45580</v>
      </c>
      <c r="S22" t="s">
        <v>33</v>
      </c>
      <c r="T22" t="s">
        <v>34</v>
      </c>
      <c r="W22" t="s">
        <v>35</v>
      </c>
      <c r="X22" t="str">
        <f>IF(OR(orders_Q4[[#This Row],[Qty]]&gt;5,orders_Q4[[#This Row],[Qty]]&lt;0),"Invalid Quantity","OK")</f>
        <v>OK</v>
      </c>
      <c r="Y22" t="b">
        <f>OR(orders_Q4[[#This Row],[Unit Price]]&gt;20000,orders_Q4[[#This Row],[Unit Price]]&lt;0,orders_Q4[[#This Row],[Unit Price]]=0)</f>
        <v>0</v>
      </c>
      <c r="Z2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2">
        <f>orders_Q4[[#This Row],[Unit Price]] * orders_Q4[[#This Row],[Qty]] * (1 - orders_Q4[[#This Row],[Disc %]]/100)</f>
        <v>1699</v>
      </c>
      <c r="AB22" t="str">
        <f>IF(ABS(orders_Q4[[#This Row],[Total]] - orders_Q4[[#This Row],[Calculated_order_total]]) &gt; 1, "Mismatch", "OK")</f>
        <v>OK</v>
      </c>
      <c r="AC22">
        <f>COUNTIF(C:C,orders_Q4[[#This Row],[Customer ID]])</f>
        <v>1</v>
      </c>
      <c r="AD22" t="str">
        <f>IF(AND(orders_Q4[[#This Row],[Type]]="New",orders_Q4[[#This Row],[Customer_id_count]]&gt;1),"Existing customer","OK")</f>
        <v>OK</v>
      </c>
      <c r="AE22">
        <f>orders_Q4[[#This Row],[Del Date]]-orders_Q4[[#This Row],[Order Date]]</f>
        <v>10</v>
      </c>
      <c r="AF22" t="str">
        <f>IF(OR(orders_Q4[[#This Row],[Delivery_time]]&gt;30,orders_Q4[[#This Row],[Delivery_time]]&lt;0),"Invalid_delivery_time","OK")</f>
        <v>OK</v>
      </c>
      <c r="AG22" s="20">
        <f>IF(
   AND(NOT(ISBLANK(orders_Q4[[#This Row],[return_received]])), NOT(ISBLANK(orders_Q4[[#This Row],[Del Date]]))),
   orders_Q4[[#This Row],[return_received]] - orders_Q4[[#This Row],[Del Date]],0)</f>
        <v>0</v>
      </c>
      <c r="AH22" t="str">
        <f>TEXT(orders_Q4[[#This Row],[Order Date]],"mmm-yyyy")</f>
        <v>Oct-2024</v>
      </c>
      <c r="AI22" s="1" t="str">
        <f>TEXT(orders_Q4[[#This Row],[Order Date]],"yyyy") &amp; "-" &amp; WEEKNUM(orders_Q4[[#This Row],[Order Date]])</f>
        <v>2024-40</v>
      </c>
      <c r="AJ22" t="str">
        <f>IF(orders_Q4[[#This Row],[Payment]]="COD","COD","Prepaid")</f>
        <v>Prepaid</v>
      </c>
    </row>
    <row r="23" spans="1:36" x14ac:dyDescent="0.3">
      <c r="A23" t="s">
        <v>168</v>
      </c>
      <c r="B23" s="1">
        <v>45570</v>
      </c>
      <c r="C23" t="s">
        <v>169</v>
      </c>
      <c r="D23" t="s">
        <v>38</v>
      </c>
      <c r="E23" t="s">
        <v>170</v>
      </c>
      <c r="F23" t="s">
        <v>40</v>
      </c>
      <c r="G23" t="s">
        <v>171</v>
      </c>
      <c r="H23">
        <v>2399</v>
      </c>
      <c r="I23">
        <v>1</v>
      </c>
      <c r="J23">
        <v>2399</v>
      </c>
      <c r="L23">
        <v>0</v>
      </c>
      <c r="M23" t="s">
        <v>43</v>
      </c>
      <c r="N23" t="s">
        <v>30</v>
      </c>
      <c r="O23" t="s">
        <v>172</v>
      </c>
      <c r="P23" t="s">
        <v>32</v>
      </c>
      <c r="Q23" t="s">
        <v>31</v>
      </c>
      <c r="R23" s="1">
        <v>45581</v>
      </c>
      <c r="S23" t="s">
        <v>33</v>
      </c>
      <c r="T23" t="s">
        <v>46</v>
      </c>
      <c r="U23" t="s">
        <v>68</v>
      </c>
      <c r="V23" s="1">
        <v>45598</v>
      </c>
      <c r="W23" t="s">
        <v>48</v>
      </c>
      <c r="X23" t="str">
        <f>IF(OR(orders_Q4[[#This Row],[Qty]]&gt;5,orders_Q4[[#This Row],[Qty]]&lt;0),"Invalid Quantity","OK")</f>
        <v>OK</v>
      </c>
      <c r="Y23" t="b">
        <f>OR(orders_Q4[[#This Row],[Unit Price]]&gt;20000,orders_Q4[[#This Row],[Unit Price]]&lt;0,orders_Q4[[#This Row],[Unit Price]]=0)</f>
        <v>0</v>
      </c>
      <c r="Z2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3">
        <f>orders_Q4[[#This Row],[Unit Price]] * orders_Q4[[#This Row],[Qty]] * (1 - orders_Q4[[#This Row],[Disc %]]/100)</f>
        <v>2399</v>
      </c>
      <c r="AB23" t="str">
        <f>IF(ABS(orders_Q4[[#This Row],[Total]] - orders_Q4[[#This Row],[Calculated_order_total]]) &gt; 1, "Mismatch", "OK")</f>
        <v>OK</v>
      </c>
      <c r="AC23">
        <f>COUNTIF(C:C,orders_Q4[[#This Row],[Customer ID]])</f>
        <v>1</v>
      </c>
      <c r="AD23" t="str">
        <f>IF(AND(orders_Q4[[#This Row],[Type]]="New",orders_Q4[[#This Row],[Customer_id_count]]&gt;1),"Existing customer","OK")</f>
        <v>OK</v>
      </c>
      <c r="AE23">
        <f>orders_Q4[[#This Row],[Del Date]]-orders_Q4[[#This Row],[Order Date]]</f>
        <v>11</v>
      </c>
      <c r="AF23" t="str">
        <f>IF(OR(orders_Q4[[#This Row],[Delivery_time]]&gt;30,orders_Q4[[#This Row],[Delivery_time]]&lt;0),"Invalid_delivery_time","OK")</f>
        <v>OK</v>
      </c>
      <c r="AG23" s="20">
        <f>IF(
   AND(NOT(ISBLANK(orders_Q4[[#This Row],[return_received]])), NOT(ISBLANK(orders_Q4[[#This Row],[Del Date]]))),
   orders_Q4[[#This Row],[return_received]] - orders_Q4[[#This Row],[Del Date]],0)</f>
        <v>17</v>
      </c>
      <c r="AH23" t="str">
        <f>TEXT(orders_Q4[[#This Row],[Order Date]],"mmm-yyyy")</f>
        <v>Oct-2024</v>
      </c>
      <c r="AI23" s="1" t="str">
        <f>TEXT(orders_Q4[[#This Row],[Order Date]],"yyyy") &amp; "-" &amp; WEEKNUM(orders_Q4[[#This Row],[Order Date]])</f>
        <v>2024-40</v>
      </c>
      <c r="AJ23" t="str">
        <f>IF(orders_Q4[[#This Row],[Payment]]="COD","COD","Prepaid")</f>
        <v>Prepaid</v>
      </c>
    </row>
    <row r="24" spans="1:36" x14ac:dyDescent="0.3">
      <c r="A24" t="s">
        <v>173</v>
      </c>
      <c r="B24" s="1">
        <v>45570</v>
      </c>
      <c r="C24" t="s">
        <v>174</v>
      </c>
      <c r="D24" t="s">
        <v>25</v>
      </c>
      <c r="E24" t="s">
        <v>175</v>
      </c>
      <c r="F24" t="s">
        <v>71</v>
      </c>
      <c r="G24" t="s">
        <v>176</v>
      </c>
      <c r="H24">
        <v>899</v>
      </c>
      <c r="I24">
        <v>1</v>
      </c>
      <c r="J24">
        <v>899</v>
      </c>
      <c r="K24" t="s">
        <v>110</v>
      </c>
      <c r="L24">
        <v>10</v>
      </c>
      <c r="M24" t="s">
        <v>64</v>
      </c>
      <c r="N24" t="s">
        <v>44</v>
      </c>
      <c r="O24" t="s">
        <v>177</v>
      </c>
      <c r="P24" t="s">
        <v>67</v>
      </c>
      <c r="Q24" t="s">
        <v>56</v>
      </c>
      <c r="R24" s="1">
        <v>45582</v>
      </c>
      <c r="S24" t="s">
        <v>33</v>
      </c>
      <c r="T24" t="s">
        <v>34</v>
      </c>
      <c r="W24" t="s">
        <v>35</v>
      </c>
      <c r="X24" t="str">
        <f>IF(OR(orders_Q4[[#This Row],[Qty]]&gt;5,orders_Q4[[#This Row],[Qty]]&lt;0),"Invalid Quantity","OK")</f>
        <v>OK</v>
      </c>
      <c r="Y24" t="b">
        <f>OR(orders_Q4[[#This Row],[Unit Price]]&gt;20000,orders_Q4[[#This Row],[Unit Price]]&lt;0,orders_Q4[[#This Row],[Unit Price]]=0)</f>
        <v>0</v>
      </c>
      <c r="Z2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4">
        <f>orders_Q4[[#This Row],[Unit Price]] * orders_Q4[[#This Row],[Qty]] * (1 - orders_Q4[[#This Row],[Disc %]]/100)</f>
        <v>809.1</v>
      </c>
      <c r="AB24" t="str">
        <f>IF(ABS(orders_Q4[[#This Row],[Total]] - orders_Q4[[#This Row],[Calculated_order_total]]) &gt; 1, "Mismatch", "OK")</f>
        <v>Mismatch</v>
      </c>
      <c r="AC24">
        <f>COUNTIF(C:C,orders_Q4[[#This Row],[Customer ID]])</f>
        <v>1</v>
      </c>
      <c r="AD24" t="str">
        <f>IF(AND(orders_Q4[[#This Row],[Type]]="New",orders_Q4[[#This Row],[Customer_id_count]]&gt;1),"Existing customer","OK")</f>
        <v>OK</v>
      </c>
      <c r="AE24">
        <f>orders_Q4[[#This Row],[Del Date]]-orders_Q4[[#This Row],[Order Date]]</f>
        <v>12</v>
      </c>
      <c r="AF24" t="str">
        <f>IF(OR(orders_Q4[[#This Row],[Delivery_time]]&gt;30,orders_Q4[[#This Row],[Delivery_time]]&lt;0),"Invalid_delivery_time","OK")</f>
        <v>OK</v>
      </c>
      <c r="AG24" s="20">
        <f>IF(
   AND(NOT(ISBLANK(orders_Q4[[#This Row],[return_received]])), NOT(ISBLANK(orders_Q4[[#This Row],[Del Date]]))),
   orders_Q4[[#This Row],[return_received]] - orders_Q4[[#This Row],[Del Date]],0)</f>
        <v>0</v>
      </c>
      <c r="AH24" t="str">
        <f>TEXT(orders_Q4[[#This Row],[Order Date]],"mmm-yyyy")</f>
        <v>Oct-2024</v>
      </c>
      <c r="AI24" s="1" t="str">
        <f>TEXT(orders_Q4[[#This Row],[Order Date]],"yyyy") &amp; "-" &amp; WEEKNUM(orders_Q4[[#This Row],[Order Date]])</f>
        <v>2024-40</v>
      </c>
      <c r="AJ24" t="str">
        <f>IF(orders_Q4[[#This Row],[Payment]]="COD","COD","Prepaid")</f>
        <v>Prepaid</v>
      </c>
    </row>
    <row r="25" spans="1:36" x14ac:dyDescent="0.3">
      <c r="A25" t="s">
        <v>178</v>
      </c>
      <c r="B25" s="1">
        <v>45571</v>
      </c>
      <c r="C25" t="s">
        <v>179</v>
      </c>
      <c r="D25" t="s">
        <v>25</v>
      </c>
      <c r="E25" t="s">
        <v>180</v>
      </c>
      <c r="F25" t="s">
        <v>53</v>
      </c>
      <c r="G25" t="s">
        <v>181</v>
      </c>
      <c r="H25">
        <v>1199</v>
      </c>
      <c r="I25">
        <v>3</v>
      </c>
      <c r="J25">
        <v>3597</v>
      </c>
      <c r="L25">
        <v>0</v>
      </c>
      <c r="M25" t="s">
        <v>55</v>
      </c>
      <c r="N25" t="s">
        <v>65</v>
      </c>
      <c r="O25" t="s">
        <v>182</v>
      </c>
      <c r="P25" t="s">
        <v>183</v>
      </c>
      <c r="Q25" t="s">
        <v>56</v>
      </c>
      <c r="R25" s="1">
        <v>45583</v>
      </c>
      <c r="S25" t="s">
        <v>33</v>
      </c>
      <c r="T25" t="s">
        <v>46</v>
      </c>
      <c r="U25" t="s">
        <v>79</v>
      </c>
      <c r="V25" s="1">
        <v>45601</v>
      </c>
      <c r="W25" t="s">
        <v>48</v>
      </c>
      <c r="X25" t="str">
        <f>IF(OR(orders_Q4[[#This Row],[Qty]]&gt;5,orders_Q4[[#This Row],[Qty]]&lt;0),"Invalid Quantity","OK")</f>
        <v>OK</v>
      </c>
      <c r="Y25" t="b">
        <f>OR(orders_Q4[[#This Row],[Unit Price]]&gt;20000,orders_Q4[[#This Row],[Unit Price]]&lt;0,orders_Q4[[#This Row],[Unit Price]]=0)</f>
        <v>0</v>
      </c>
      <c r="Z2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5">
        <f>orders_Q4[[#This Row],[Unit Price]] * orders_Q4[[#This Row],[Qty]] * (1 - orders_Q4[[#This Row],[Disc %]]/100)</f>
        <v>3597</v>
      </c>
      <c r="AB25" t="str">
        <f>IF(ABS(orders_Q4[[#This Row],[Total]] - orders_Q4[[#This Row],[Calculated_order_total]]) &gt; 1, "Mismatch", "OK")</f>
        <v>OK</v>
      </c>
      <c r="AC25">
        <f>COUNTIF(C:C,orders_Q4[[#This Row],[Customer ID]])</f>
        <v>1</v>
      </c>
      <c r="AD25" t="str">
        <f>IF(AND(orders_Q4[[#This Row],[Type]]="New",orders_Q4[[#This Row],[Customer_id_count]]&gt;1),"Existing customer","OK")</f>
        <v>OK</v>
      </c>
      <c r="AE25">
        <f>orders_Q4[[#This Row],[Del Date]]-orders_Q4[[#This Row],[Order Date]]</f>
        <v>12</v>
      </c>
      <c r="AF25" t="str">
        <f>IF(OR(orders_Q4[[#This Row],[Delivery_time]]&gt;30,orders_Q4[[#This Row],[Delivery_time]]&lt;0),"Invalid_delivery_time","OK")</f>
        <v>OK</v>
      </c>
      <c r="AG25" s="20">
        <f>IF(
   AND(NOT(ISBLANK(orders_Q4[[#This Row],[return_received]])), NOT(ISBLANK(orders_Q4[[#This Row],[Del Date]]))),
   orders_Q4[[#This Row],[return_received]] - orders_Q4[[#This Row],[Del Date]],0)</f>
        <v>18</v>
      </c>
      <c r="AH25" t="str">
        <f>TEXT(orders_Q4[[#This Row],[Order Date]],"mmm-yyyy")</f>
        <v>Oct-2024</v>
      </c>
      <c r="AI25" s="1" t="str">
        <f>TEXT(orders_Q4[[#This Row],[Order Date]],"yyyy") &amp; "-" &amp; WEEKNUM(orders_Q4[[#This Row],[Order Date]])</f>
        <v>2024-41</v>
      </c>
      <c r="AJ25" t="str">
        <f>IF(orders_Q4[[#This Row],[Payment]]="COD","COD","Prepaid")</f>
        <v>COD</v>
      </c>
    </row>
    <row r="26" spans="1:36" x14ac:dyDescent="0.3">
      <c r="A26" t="s">
        <v>184</v>
      </c>
      <c r="B26" s="1">
        <v>45571</v>
      </c>
      <c r="C26" t="s">
        <v>185</v>
      </c>
      <c r="D26" t="s">
        <v>25</v>
      </c>
      <c r="E26" t="s">
        <v>186</v>
      </c>
      <c r="F26" t="s">
        <v>27</v>
      </c>
      <c r="G26" t="s">
        <v>187</v>
      </c>
      <c r="H26">
        <v>1799</v>
      </c>
      <c r="I26">
        <v>2</v>
      </c>
      <c r="J26">
        <v>3598</v>
      </c>
      <c r="L26">
        <v>0</v>
      </c>
      <c r="M26" t="s">
        <v>29</v>
      </c>
      <c r="N26" t="s">
        <v>30</v>
      </c>
      <c r="O26" t="s">
        <v>188</v>
      </c>
      <c r="P26" t="s">
        <v>189</v>
      </c>
      <c r="Q26" t="s">
        <v>56</v>
      </c>
      <c r="R26" s="1">
        <v>45582</v>
      </c>
      <c r="S26" t="s">
        <v>33</v>
      </c>
      <c r="T26" t="s">
        <v>34</v>
      </c>
      <c r="W26" t="s">
        <v>35</v>
      </c>
      <c r="X26" t="str">
        <f>IF(OR(orders_Q4[[#This Row],[Qty]]&gt;5,orders_Q4[[#This Row],[Qty]]&lt;0),"Invalid Quantity","OK")</f>
        <v>OK</v>
      </c>
      <c r="Y26" t="b">
        <f>OR(orders_Q4[[#This Row],[Unit Price]]&gt;20000,orders_Q4[[#This Row],[Unit Price]]&lt;0,orders_Q4[[#This Row],[Unit Price]]=0)</f>
        <v>0</v>
      </c>
      <c r="Z2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6">
        <f>orders_Q4[[#This Row],[Unit Price]] * orders_Q4[[#This Row],[Qty]] * (1 - orders_Q4[[#This Row],[Disc %]]/100)</f>
        <v>3598</v>
      </c>
      <c r="AB26" t="str">
        <f>IF(ABS(orders_Q4[[#This Row],[Total]] - orders_Q4[[#This Row],[Calculated_order_total]]) &gt; 1, "Mismatch", "OK")</f>
        <v>OK</v>
      </c>
      <c r="AC26">
        <f>COUNTIF(C:C,orders_Q4[[#This Row],[Customer ID]])</f>
        <v>1</v>
      </c>
      <c r="AD26" t="str">
        <f>IF(AND(orders_Q4[[#This Row],[Type]]="New",orders_Q4[[#This Row],[Customer_id_count]]&gt;1),"Existing customer","OK")</f>
        <v>OK</v>
      </c>
      <c r="AE26">
        <f>orders_Q4[[#This Row],[Del Date]]-orders_Q4[[#This Row],[Order Date]]</f>
        <v>11</v>
      </c>
      <c r="AF26" t="str">
        <f>IF(OR(orders_Q4[[#This Row],[Delivery_time]]&gt;30,orders_Q4[[#This Row],[Delivery_time]]&lt;0),"Invalid_delivery_time","OK")</f>
        <v>OK</v>
      </c>
      <c r="AG26" s="20">
        <f>IF(
   AND(NOT(ISBLANK(orders_Q4[[#This Row],[return_received]])), NOT(ISBLANK(orders_Q4[[#This Row],[Del Date]]))),
   orders_Q4[[#This Row],[return_received]] - orders_Q4[[#This Row],[Del Date]],0)</f>
        <v>0</v>
      </c>
      <c r="AH26" t="str">
        <f>TEXT(orders_Q4[[#This Row],[Order Date]],"mmm-yyyy")</f>
        <v>Oct-2024</v>
      </c>
      <c r="AI26" s="1" t="str">
        <f>TEXT(orders_Q4[[#This Row],[Order Date]],"yyyy") &amp; "-" &amp; WEEKNUM(orders_Q4[[#This Row],[Order Date]])</f>
        <v>2024-41</v>
      </c>
      <c r="AJ26" t="str">
        <f>IF(orders_Q4[[#This Row],[Payment]]="COD","COD","Prepaid")</f>
        <v>Prepaid</v>
      </c>
    </row>
    <row r="27" spans="1:36" x14ac:dyDescent="0.3">
      <c r="A27" t="s">
        <v>190</v>
      </c>
      <c r="B27" s="1">
        <v>45571</v>
      </c>
      <c r="C27" t="s">
        <v>191</v>
      </c>
      <c r="D27" t="s">
        <v>25</v>
      </c>
      <c r="E27" t="s">
        <v>192</v>
      </c>
      <c r="F27" t="s">
        <v>40</v>
      </c>
      <c r="G27" t="s">
        <v>193</v>
      </c>
      <c r="H27">
        <v>2699</v>
      </c>
      <c r="I27">
        <v>1</v>
      </c>
      <c r="J27">
        <v>2699</v>
      </c>
      <c r="L27">
        <v>0</v>
      </c>
      <c r="M27" t="s">
        <v>43</v>
      </c>
      <c r="N27" t="s">
        <v>44</v>
      </c>
      <c r="O27" t="s">
        <v>194</v>
      </c>
      <c r="P27" t="s">
        <v>183</v>
      </c>
      <c r="Q27" t="s">
        <v>56</v>
      </c>
      <c r="R27" s="1">
        <v>45583</v>
      </c>
      <c r="S27" t="s">
        <v>33</v>
      </c>
      <c r="T27" t="s">
        <v>34</v>
      </c>
      <c r="W27" t="s">
        <v>35</v>
      </c>
      <c r="X27" t="str">
        <f>IF(OR(orders_Q4[[#This Row],[Qty]]&gt;5,orders_Q4[[#This Row],[Qty]]&lt;0),"Invalid Quantity","OK")</f>
        <v>OK</v>
      </c>
      <c r="Y27" t="b">
        <f>OR(orders_Q4[[#This Row],[Unit Price]]&gt;20000,orders_Q4[[#This Row],[Unit Price]]&lt;0,orders_Q4[[#This Row],[Unit Price]]=0)</f>
        <v>0</v>
      </c>
      <c r="Z2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7">
        <f>orders_Q4[[#This Row],[Unit Price]] * orders_Q4[[#This Row],[Qty]] * (1 - orders_Q4[[#This Row],[Disc %]]/100)</f>
        <v>2699</v>
      </c>
      <c r="AB27" t="str">
        <f>IF(ABS(orders_Q4[[#This Row],[Total]] - orders_Q4[[#This Row],[Calculated_order_total]]) &gt; 1, "Mismatch", "OK")</f>
        <v>OK</v>
      </c>
      <c r="AC27">
        <f>COUNTIF(C:C,orders_Q4[[#This Row],[Customer ID]])</f>
        <v>1</v>
      </c>
      <c r="AD27" t="str">
        <f>IF(AND(orders_Q4[[#This Row],[Type]]="New",orders_Q4[[#This Row],[Customer_id_count]]&gt;1),"Existing customer","OK")</f>
        <v>OK</v>
      </c>
      <c r="AE27">
        <f>orders_Q4[[#This Row],[Del Date]]-orders_Q4[[#This Row],[Order Date]]</f>
        <v>12</v>
      </c>
      <c r="AF27" t="str">
        <f>IF(OR(orders_Q4[[#This Row],[Delivery_time]]&gt;30,orders_Q4[[#This Row],[Delivery_time]]&lt;0),"Invalid_delivery_time","OK")</f>
        <v>OK</v>
      </c>
      <c r="AG27" s="20">
        <f>IF(
   AND(NOT(ISBLANK(orders_Q4[[#This Row],[return_received]])), NOT(ISBLANK(orders_Q4[[#This Row],[Del Date]]))),
   orders_Q4[[#This Row],[return_received]] - orders_Q4[[#This Row],[Del Date]],0)</f>
        <v>0</v>
      </c>
      <c r="AH27" t="str">
        <f>TEXT(orders_Q4[[#This Row],[Order Date]],"mmm-yyyy")</f>
        <v>Oct-2024</v>
      </c>
      <c r="AI27" s="1" t="str">
        <f>TEXT(orders_Q4[[#This Row],[Order Date]],"yyyy") &amp; "-" &amp; WEEKNUM(orders_Q4[[#This Row],[Order Date]])</f>
        <v>2024-41</v>
      </c>
      <c r="AJ27" t="str">
        <f>IF(orders_Q4[[#This Row],[Payment]]="COD","COD","Prepaid")</f>
        <v>Prepaid</v>
      </c>
    </row>
    <row r="28" spans="1:36" x14ac:dyDescent="0.3">
      <c r="A28" t="s">
        <v>195</v>
      </c>
      <c r="B28" s="1">
        <v>45571</v>
      </c>
      <c r="C28" t="s">
        <v>196</v>
      </c>
      <c r="D28" t="s">
        <v>38</v>
      </c>
      <c r="E28" t="s">
        <v>197</v>
      </c>
      <c r="F28" t="s">
        <v>61</v>
      </c>
      <c r="G28" t="s">
        <v>198</v>
      </c>
      <c r="H28">
        <v>4599</v>
      </c>
      <c r="I28">
        <v>1</v>
      </c>
      <c r="J28">
        <v>4599</v>
      </c>
      <c r="K28" t="s">
        <v>110</v>
      </c>
      <c r="L28">
        <v>10</v>
      </c>
      <c r="M28" t="s">
        <v>64</v>
      </c>
      <c r="N28" t="s">
        <v>30</v>
      </c>
      <c r="O28" t="s">
        <v>199</v>
      </c>
      <c r="P28" t="s">
        <v>57</v>
      </c>
      <c r="Q28" t="s">
        <v>56</v>
      </c>
      <c r="R28" s="1">
        <v>45584</v>
      </c>
      <c r="S28" t="s">
        <v>33</v>
      </c>
      <c r="T28" t="s">
        <v>46</v>
      </c>
      <c r="U28" t="s">
        <v>47</v>
      </c>
      <c r="V28" s="1">
        <v>45604</v>
      </c>
      <c r="W28" t="s">
        <v>48</v>
      </c>
      <c r="X28" t="str">
        <f>IF(OR(orders_Q4[[#This Row],[Qty]]&gt;5,orders_Q4[[#This Row],[Qty]]&lt;0),"Invalid Quantity","OK")</f>
        <v>OK</v>
      </c>
      <c r="Y28" t="b">
        <f>OR(orders_Q4[[#This Row],[Unit Price]]&gt;20000,orders_Q4[[#This Row],[Unit Price]]&lt;0,orders_Q4[[#This Row],[Unit Price]]=0)</f>
        <v>0</v>
      </c>
      <c r="Z2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8">
        <f>orders_Q4[[#This Row],[Unit Price]] * orders_Q4[[#This Row],[Qty]] * (1 - orders_Q4[[#This Row],[Disc %]]/100)</f>
        <v>4139.1000000000004</v>
      </c>
      <c r="AB28" t="str">
        <f>IF(ABS(orders_Q4[[#This Row],[Total]] - orders_Q4[[#This Row],[Calculated_order_total]]) &gt; 1, "Mismatch", "OK")</f>
        <v>Mismatch</v>
      </c>
      <c r="AC28">
        <f>COUNTIF(C:C,orders_Q4[[#This Row],[Customer ID]])</f>
        <v>1</v>
      </c>
      <c r="AD28" t="str">
        <f>IF(AND(orders_Q4[[#This Row],[Type]]="New",orders_Q4[[#This Row],[Customer_id_count]]&gt;1),"Existing customer","OK")</f>
        <v>OK</v>
      </c>
      <c r="AE28">
        <f>orders_Q4[[#This Row],[Del Date]]-orders_Q4[[#This Row],[Order Date]]</f>
        <v>13</v>
      </c>
      <c r="AF28" t="str">
        <f>IF(OR(orders_Q4[[#This Row],[Delivery_time]]&gt;30,orders_Q4[[#This Row],[Delivery_time]]&lt;0),"Invalid_delivery_time","OK")</f>
        <v>OK</v>
      </c>
      <c r="AG28" s="20">
        <f>IF(
   AND(NOT(ISBLANK(orders_Q4[[#This Row],[return_received]])), NOT(ISBLANK(orders_Q4[[#This Row],[Del Date]]))),
   orders_Q4[[#This Row],[return_received]] - orders_Q4[[#This Row],[Del Date]],0)</f>
        <v>20</v>
      </c>
      <c r="AH28" t="str">
        <f>TEXT(orders_Q4[[#This Row],[Order Date]],"mmm-yyyy")</f>
        <v>Oct-2024</v>
      </c>
      <c r="AI28" s="1" t="str">
        <f>TEXT(orders_Q4[[#This Row],[Order Date]],"yyyy") &amp; "-" &amp; WEEKNUM(orders_Q4[[#This Row],[Order Date]])</f>
        <v>2024-41</v>
      </c>
      <c r="AJ28" t="str">
        <f>IF(orders_Q4[[#This Row],[Payment]]="COD","COD","Prepaid")</f>
        <v>Prepaid</v>
      </c>
    </row>
    <row r="29" spans="1:36" x14ac:dyDescent="0.3">
      <c r="A29" t="s">
        <v>200</v>
      </c>
      <c r="B29" s="1">
        <v>45572</v>
      </c>
      <c r="C29" t="s">
        <v>201</v>
      </c>
      <c r="D29" t="s">
        <v>25</v>
      </c>
      <c r="E29" t="s">
        <v>202</v>
      </c>
      <c r="F29" t="s">
        <v>71</v>
      </c>
      <c r="G29" t="s">
        <v>203</v>
      </c>
      <c r="H29">
        <v>1099</v>
      </c>
      <c r="I29">
        <v>1</v>
      </c>
      <c r="J29">
        <v>1099</v>
      </c>
      <c r="L29">
        <v>0</v>
      </c>
      <c r="M29" t="s">
        <v>29</v>
      </c>
      <c r="N29" t="s">
        <v>65</v>
      </c>
      <c r="O29" t="s">
        <v>204</v>
      </c>
      <c r="P29" t="s">
        <v>97</v>
      </c>
      <c r="Q29" t="s">
        <v>31</v>
      </c>
      <c r="R29" s="1">
        <v>45585</v>
      </c>
      <c r="S29" t="s">
        <v>33</v>
      </c>
      <c r="T29" t="s">
        <v>34</v>
      </c>
      <c r="W29" t="s">
        <v>35</v>
      </c>
      <c r="X29" t="str">
        <f>IF(OR(orders_Q4[[#This Row],[Qty]]&gt;5,orders_Q4[[#This Row],[Qty]]&lt;0),"Invalid Quantity","OK")</f>
        <v>OK</v>
      </c>
      <c r="Y29" t="b">
        <f>OR(orders_Q4[[#This Row],[Unit Price]]&gt;20000,orders_Q4[[#This Row],[Unit Price]]&lt;0,orders_Q4[[#This Row],[Unit Price]]=0)</f>
        <v>0</v>
      </c>
      <c r="Z2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9">
        <f>orders_Q4[[#This Row],[Unit Price]] * orders_Q4[[#This Row],[Qty]] * (1 - orders_Q4[[#This Row],[Disc %]]/100)</f>
        <v>1099</v>
      </c>
      <c r="AB29" t="str">
        <f>IF(ABS(orders_Q4[[#This Row],[Total]] - orders_Q4[[#This Row],[Calculated_order_total]]) &gt; 1, "Mismatch", "OK")</f>
        <v>OK</v>
      </c>
      <c r="AC29">
        <f>COUNTIF(C:C,orders_Q4[[#This Row],[Customer ID]])</f>
        <v>1</v>
      </c>
      <c r="AD29" t="str">
        <f>IF(AND(orders_Q4[[#This Row],[Type]]="New",orders_Q4[[#This Row],[Customer_id_count]]&gt;1),"Existing customer","OK")</f>
        <v>OK</v>
      </c>
      <c r="AE29">
        <f>orders_Q4[[#This Row],[Del Date]]-orders_Q4[[#This Row],[Order Date]]</f>
        <v>13</v>
      </c>
      <c r="AF29" t="str">
        <f>IF(OR(orders_Q4[[#This Row],[Delivery_time]]&gt;30,orders_Q4[[#This Row],[Delivery_time]]&lt;0),"Invalid_delivery_time","OK")</f>
        <v>OK</v>
      </c>
      <c r="AG29" s="20">
        <f>IF(
   AND(NOT(ISBLANK(orders_Q4[[#This Row],[return_received]])), NOT(ISBLANK(orders_Q4[[#This Row],[Del Date]]))),
   orders_Q4[[#This Row],[return_received]] - orders_Q4[[#This Row],[Del Date]],0)</f>
        <v>0</v>
      </c>
      <c r="AH29" t="str">
        <f>TEXT(orders_Q4[[#This Row],[Order Date]],"mmm-yyyy")</f>
        <v>Oct-2024</v>
      </c>
      <c r="AI29" s="1" t="str">
        <f>TEXT(orders_Q4[[#This Row],[Order Date]],"yyyy") &amp; "-" &amp; WEEKNUM(orders_Q4[[#This Row],[Order Date]])</f>
        <v>2024-41</v>
      </c>
      <c r="AJ29" t="str">
        <f>IF(orders_Q4[[#This Row],[Payment]]="COD","COD","Prepaid")</f>
        <v>Prepaid</v>
      </c>
    </row>
    <row r="30" spans="1:36" x14ac:dyDescent="0.3">
      <c r="A30" t="s">
        <v>205</v>
      </c>
      <c r="B30" s="1">
        <v>45572</v>
      </c>
      <c r="C30" t="s">
        <v>206</v>
      </c>
      <c r="D30" t="s">
        <v>25</v>
      </c>
      <c r="E30" t="s">
        <v>207</v>
      </c>
      <c r="F30" t="s">
        <v>27</v>
      </c>
      <c r="G30" t="s">
        <v>208</v>
      </c>
      <c r="H30">
        <v>1899</v>
      </c>
      <c r="I30">
        <v>1</v>
      </c>
      <c r="J30">
        <v>1899</v>
      </c>
      <c r="L30">
        <v>0</v>
      </c>
      <c r="M30" t="s">
        <v>55</v>
      </c>
      <c r="N30" t="s">
        <v>44</v>
      </c>
      <c r="O30" t="s">
        <v>209</v>
      </c>
      <c r="P30" t="s">
        <v>97</v>
      </c>
      <c r="Q30" t="s">
        <v>31</v>
      </c>
      <c r="S30" t="s">
        <v>120</v>
      </c>
      <c r="T30" t="s">
        <v>34</v>
      </c>
      <c r="W30" t="s">
        <v>35</v>
      </c>
      <c r="X30" t="str">
        <f>IF(OR(orders_Q4[[#This Row],[Qty]]&gt;5,orders_Q4[[#This Row],[Qty]]&lt;0),"Invalid Quantity","OK")</f>
        <v>OK</v>
      </c>
      <c r="Y30" t="b">
        <f>OR(orders_Q4[[#This Row],[Unit Price]]&gt;20000,orders_Q4[[#This Row],[Unit Price]]&lt;0,orders_Q4[[#This Row],[Unit Price]]=0)</f>
        <v>0</v>
      </c>
      <c r="Z3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0">
        <f>orders_Q4[[#This Row],[Unit Price]] * orders_Q4[[#This Row],[Qty]] * (1 - orders_Q4[[#This Row],[Disc %]]/100)</f>
        <v>1899</v>
      </c>
      <c r="AB30" t="str">
        <f>IF(ABS(orders_Q4[[#This Row],[Total]] - orders_Q4[[#This Row],[Calculated_order_total]]) &gt; 1, "Mismatch", "OK")</f>
        <v>OK</v>
      </c>
      <c r="AC30">
        <f>COUNTIF(C:C,orders_Q4[[#This Row],[Customer ID]])</f>
        <v>1</v>
      </c>
      <c r="AD30" t="str">
        <f>IF(AND(orders_Q4[[#This Row],[Type]]="New",orders_Q4[[#This Row],[Customer_id_count]]&gt;1),"Existing customer","OK")</f>
        <v>OK</v>
      </c>
      <c r="AE30">
        <f>orders_Q4[[#This Row],[Del Date]]-orders_Q4[[#This Row],[Order Date]]</f>
        <v>-45572</v>
      </c>
      <c r="AF30" t="str">
        <f>IF(OR(orders_Q4[[#This Row],[Delivery_time]]&gt;30,orders_Q4[[#This Row],[Delivery_time]]&lt;0),"Invalid_delivery_time","OK")</f>
        <v>Invalid_delivery_time</v>
      </c>
      <c r="AG30" s="20">
        <f>IF(
   AND(NOT(ISBLANK(orders_Q4[[#This Row],[return_received]])), NOT(ISBLANK(orders_Q4[[#This Row],[Del Date]]))),
   orders_Q4[[#This Row],[return_received]] - orders_Q4[[#This Row],[Del Date]],0)</f>
        <v>0</v>
      </c>
      <c r="AH30" t="str">
        <f>TEXT(orders_Q4[[#This Row],[Order Date]],"mmm-yyyy")</f>
        <v>Oct-2024</v>
      </c>
      <c r="AI30" s="1" t="str">
        <f>TEXT(orders_Q4[[#This Row],[Order Date]],"yyyy") &amp; "-" &amp; WEEKNUM(orders_Q4[[#This Row],[Order Date]])</f>
        <v>2024-41</v>
      </c>
      <c r="AJ30" t="str">
        <f>IF(orders_Q4[[#This Row],[Payment]]="COD","COD","Prepaid")</f>
        <v>COD</v>
      </c>
    </row>
    <row r="31" spans="1:36" x14ac:dyDescent="0.3">
      <c r="A31" t="s">
        <v>210</v>
      </c>
      <c r="B31" s="1">
        <v>45572</v>
      </c>
      <c r="C31" t="s">
        <v>211</v>
      </c>
      <c r="D31" t="s">
        <v>25</v>
      </c>
      <c r="E31" t="s">
        <v>212</v>
      </c>
      <c r="F31" t="s">
        <v>53</v>
      </c>
      <c r="G31" t="s">
        <v>213</v>
      </c>
      <c r="H31">
        <v>2199</v>
      </c>
      <c r="I31">
        <v>1</v>
      </c>
      <c r="J31">
        <v>2199</v>
      </c>
      <c r="K31" t="s">
        <v>42</v>
      </c>
      <c r="L31">
        <v>20</v>
      </c>
      <c r="M31" t="s">
        <v>43</v>
      </c>
      <c r="N31" t="s">
        <v>30</v>
      </c>
      <c r="O31" t="s">
        <v>214</v>
      </c>
      <c r="P31" t="s">
        <v>113</v>
      </c>
      <c r="Q31" t="s">
        <v>45</v>
      </c>
      <c r="R31" s="1">
        <v>45585</v>
      </c>
      <c r="S31" t="s">
        <v>33</v>
      </c>
      <c r="T31" t="s">
        <v>34</v>
      </c>
      <c r="W31" t="s">
        <v>35</v>
      </c>
      <c r="X31" t="str">
        <f>IF(OR(orders_Q4[[#This Row],[Qty]]&gt;5,orders_Q4[[#This Row],[Qty]]&lt;0),"Invalid Quantity","OK")</f>
        <v>OK</v>
      </c>
      <c r="Y31" t="b">
        <f>OR(orders_Q4[[#This Row],[Unit Price]]&gt;20000,orders_Q4[[#This Row],[Unit Price]]&lt;0,orders_Q4[[#This Row],[Unit Price]]=0)</f>
        <v>0</v>
      </c>
      <c r="Z3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1">
        <f>orders_Q4[[#This Row],[Unit Price]] * orders_Q4[[#This Row],[Qty]] * (1 - orders_Q4[[#This Row],[Disc %]]/100)</f>
        <v>1759.2</v>
      </c>
      <c r="AB31" t="str">
        <f>IF(ABS(orders_Q4[[#This Row],[Total]] - orders_Q4[[#This Row],[Calculated_order_total]]) &gt; 1, "Mismatch", "OK")</f>
        <v>Mismatch</v>
      </c>
      <c r="AC31">
        <f>COUNTIF(C:C,orders_Q4[[#This Row],[Customer ID]])</f>
        <v>1</v>
      </c>
      <c r="AD31" t="str">
        <f>IF(AND(orders_Q4[[#This Row],[Type]]="New",orders_Q4[[#This Row],[Customer_id_count]]&gt;1),"Existing customer","OK")</f>
        <v>OK</v>
      </c>
      <c r="AE31">
        <f>orders_Q4[[#This Row],[Del Date]]-orders_Q4[[#This Row],[Order Date]]</f>
        <v>13</v>
      </c>
      <c r="AF31" t="str">
        <f>IF(OR(orders_Q4[[#This Row],[Delivery_time]]&gt;30,orders_Q4[[#This Row],[Delivery_time]]&lt;0),"Invalid_delivery_time","OK")</f>
        <v>OK</v>
      </c>
      <c r="AG31" s="20">
        <f>IF(
   AND(NOT(ISBLANK(orders_Q4[[#This Row],[return_received]])), NOT(ISBLANK(orders_Q4[[#This Row],[Del Date]]))),
   orders_Q4[[#This Row],[return_received]] - orders_Q4[[#This Row],[Del Date]],0)</f>
        <v>0</v>
      </c>
      <c r="AH31" t="str">
        <f>TEXT(orders_Q4[[#This Row],[Order Date]],"mmm-yyyy")</f>
        <v>Oct-2024</v>
      </c>
      <c r="AI31" s="1" t="str">
        <f>TEXT(orders_Q4[[#This Row],[Order Date]],"yyyy") &amp; "-" &amp; WEEKNUM(orders_Q4[[#This Row],[Order Date]])</f>
        <v>2024-41</v>
      </c>
      <c r="AJ31" t="str">
        <f>IF(orders_Q4[[#This Row],[Payment]]="COD","COD","Prepaid")</f>
        <v>Prepaid</v>
      </c>
    </row>
    <row r="32" spans="1:36" x14ac:dyDescent="0.3">
      <c r="A32" t="s">
        <v>215</v>
      </c>
      <c r="B32" s="1">
        <v>45572</v>
      </c>
      <c r="C32" t="s">
        <v>216</v>
      </c>
      <c r="D32" t="s">
        <v>38</v>
      </c>
      <c r="E32" t="s">
        <v>217</v>
      </c>
      <c r="F32" t="s">
        <v>40</v>
      </c>
      <c r="G32" t="s">
        <v>218</v>
      </c>
      <c r="H32">
        <v>5499</v>
      </c>
      <c r="I32">
        <v>1</v>
      </c>
      <c r="J32">
        <v>5499</v>
      </c>
      <c r="L32">
        <v>0</v>
      </c>
      <c r="M32" t="s">
        <v>43</v>
      </c>
      <c r="N32" t="s">
        <v>44</v>
      </c>
      <c r="O32" t="s">
        <v>31</v>
      </c>
      <c r="P32" t="s">
        <v>32</v>
      </c>
      <c r="Q32" t="s">
        <v>31</v>
      </c>
      <c r="R32" s="1">
        <v>45586</v>
      </c>
      <c r="S32" t="s">
        <v>33</v>
      </c>
      <c r="T32" t="s">
        <v>46</v>
      </c>
      <c r="U32" t="s">
        <v>47</v>
      </c>
      <c r="V32" s="1">
        <v>45606</v>
      </c>
      <c r="W32" t="s">
        <v>48</v>
      </c>
      <c r="X32" t="str">
        <f>IF(OR(orders_Q4[[#This Row],[Qty]]&gt;5,orders_Q4[[#This Row],[Qty]]&lt;0),"Invalid Quantity","OK")</f>
        <v>OK</v>
      </c>
      <c r="Y32" t="b">
        <f>OR(orders_Q4[[#This Row],[Unit Price]]&gt;20000,orders_Q4[[#This Row],[Unit Price]]&lt;0,orders_Q4[[#This Row],[Unit Price]]=0)</f>
        <v>0</v>
      </c>
      <c r="Z3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2">
        <f>orders_Q4[[#This Row],[Unit Price]] * orders_Q4[[#This Row],[Qty]] * (1 - orders_Q4[[#This Row],[Disc %]]/100)</f>
        <v>5499</v>
      </c>
      <c r="AB32" t="str">
        <f>IF(ABS(orders_Q4[[#This Row],[Total]] - orders_Q4[[#This Row],[Calculated_order_total]]) &gt; 1, "Mismatch", "OK")</f>
        <v>OK</v>
      </c>
      <c r="AC32">
        <f>COUNTIF(C:C,orders_Q4[[#This Row],[Customer ID]])</f>
        <v>1</v>
      </c>
      <c r="AD32" t="str">
        <f>IF(AND(orders_Q4[[#This Row],[Type]]="New",orders_Q4[[#This Row],[Customer_id_count]]&gt;1),"Existing customer","OK")</f>
        <v>OK</v>
      </c>
      <c r="AE32">
        <f>orders_Q4[[#This Row],[Del Date]]-orders_Q4[[#This Row],[Order Date]]</f>
        <v>14</v>
      </c>
      <c r="AF32" t="str">
        <f>IF(OR(orders_Q4[[#This Row],[Delivery_time]]&gt;30,orders_Q4[[#This Row],[Delivery_time]]&lt;0),"Invalid_delivery_time","OK")</f>
        <v>OK</v>
      </c>
      <c r="AG32" s="20">
        <f>IF(
   AND(NOT(ISBLANK(orders_Q4[[#This Row],[return_received]])), NOT(ISBLANK(orders_Q4[[#This Row],[Del Date]]))),
   orders_Q4[[#This Row],[return_received]] - orders_Q4[[#This Row],[Del Date]],0)</f>
        <v>20</v>
      </c>
      <c r="AH32" t="str">
        <f>TEXT(orders_Q4[[#This Row],[Order Date]],"mmm-yyyy")</f>
        <v>Oct-2024</v>
      </c>
      <c r="AI32" s="1" t="str">
        <f>TEXT(orders_Q4[[#This Row],[Order Date]],"yyyy") &amp; "-" &amp; WEEKNUM(orders_Q4[[#This Row],[Order Date]])</f>
        <v>2024-41</v>
      </c>
      <c r="AJ32" t="str">
        <f>IF(orders_Q4[[#This Row],[Payment]]="COD","COD","Prepaid")</f>
        <v>Prepaid</v>
      </c>
    </row>
    <row r="33" spans="1:36" x14ac:dyDescent="0.3">
      <c r="A33" t="s">
        <v>219</v>
      </c>
      <c r="B33" s="1">
        <v>45573</v>
      </c>
      <c r="C33" t="s">
        <v>220</v>
      </c>
      <c r="D33" t="s">
        <v>25</v>
      </c>
      <c r="E33" t="s">
        <v>221</v>
      </c>
      <c r="F33" t="s">
        <v>27</v>
      </c>
      <c r="G33" t="s">
        <v>222</v>
      </c>
      <c r="H33">
        <v>899</v>
      </c>
      <c r="I33">
        <v>2</v>
      </c>
      <c r="J33">
        <v>1798</v>
      </c>
      <c r="L33">
        <v>0</v>
      </c>
      <c r="M33" t="s">
        <v>29</v>
      </c>
      <c r="N33" t="s">
        <v>30</v>
      </c>
      <c r="O33" t="s">
        <v>45</v>
      </c>
      <c r="P33" t="s">
        <v>45</v>
      </c>
      <c r="Q33" t="s">
        <v>45</v>
      </c>
      <c r="R33" s="1">
        <v>45579</v>
      </c>
      <c r="S33" t="s">
        <v>33</v>
      </c>
      <c r="T33" t="s">
        <v>34</v>
      </c>
      <c r="W33" t="s">
        <v>35</v>
      </c>
      <c r="X33" t="str">
        <f>IF(OR(orders_Q4[[#This Row],[Qty]]&gt;5,orders_Q4[[#This Row],[Qty]]&lt;0),"Invalid Quantity","OK")</f>
        <v>OK</v>
      </c>
      <c r="Y33" t="b">
        <f>OR(orders_Q4[[#This Row],[Unit Price]]&gt;20000,orders_Q4[[#This Row],[Unit Price]]&lt;0,orders_Q4[[#This Row],[Unit Price]]=0)</f>
        <v>0</v>
      </c>
      <c r="Z3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3">
        <f>orders_Q4[[#This Row],[Unit Price]] * orders_Q4[[#This Row],[Qty]] * (1 - orders_Q4[[#This Row],[Disc %]]/100)</f>
        <v>1798</v>
      </c>
      <c r="AB33" t="str">
        <f>IF(ABS(orders_Q4[[#This Row],[Total]] - orders_Q4[[#This Row],[Calculated_order_total]]) &gt; 1, "Mismatch", "OK")</f>
        <v>OK</v>
      </c>
      <c r="AC33">
        <f>COUNTIF(C:C,orders_Q4[[#This Row],[Customer ID]])</f>
        <v>1</v>
      </c>
      <c r="AD33" t="str">
        <f>IF(AND(orders_Q4[[#This Row],[Type]]="New",orders_Q4[[#This Row],[Customer_id_count]]&gt;1),"Existing customer","OK")</f>
        <v>OK</v>
      </c>
      <c r="AE33">
        <f>orders_Q4[[#This Row],[Del Date]]-orders_Q4[[#This Row],[Order Date]]</f>
        <v>6</v>
      </c>
      <c r="AF33" t="str">
        <f>IF(OR(orders_Q4[[#This Row],[Delivery_time]]&gt;30,orders_Q4[[#This Row],[Delivery_time]]&lt;0),"Invalid_delivery_time","OK")</f>
        <v>OK</v>
      </c>
      <c r="AG33" s="20">
        <f>IF(
   AND(NOT(ISBLANK(orders_Q4[[#This Row],[return_received]])), NOT(ISBLANK(orders_Q4[[#This Row],[Del Date]]))),
   orders_Q4[[#This Row],[return_received]] - orders_Q4[[#This Row],[Del Date]],0)</f>
        <v>0</v>
      </c>
      <c r="AH33" t="str">
        <f>TEXT(orders_Q4[[#This Row],[Order Date]],"mmm-yyyy")</f>
        <v>Oct-2024</v>
      </c>
      <c r="AI33" s="1" t="str">
        <f>TEXT(orders_Q4[[#This Row],[Order Date]],"yyyy") &amp; "-" &amp; WEEKNUM(orders_Q4[[#This Row],[Order Date]])</f>
        <v>2024-41</v>
      </c>
      <c r="AJ33" t="str">
        <f>IF(orders_Q4[[#This Row],[Payment]]="COD","COD","Prepaid")</f>
        <v>Prepaid</v>
      </c>
    </row>
    <row r="34" spans="1:36" x14ac:dyDescent="0.3">
      <c r="A34" t="s">
        <v>223</v>
      </c>
      <c r="B34" s="1">
        <v>45573</v>
      </c>
      <c r="C34" t="s">
        <v>224</v>
      </c>
      <c r="D34" t="s">
        <v>25</v>
      </c>
      <c r="E34" t="s">
        <v>225</v>
      </c>
      <c r="F34" t="s">
        <v>61</v>
      </c>
      <c r="G34" t="s">
        <v>226</v>
      </c>
      <c r="H34">
        <v>6999</v>
      </c>
      <c r="I34">
        <v>1</v>
      </c>
      <c r="J34">
        <v>6999</v>
      </c>
      <c r="K34" t="s">
        <v>63</v>
      </c>
      <c r="L34">
        <v>15</v>
      </c>
      <c r="M34" t="s">
        <v>64</v>
      </c>
      <c r="N34" t="s">
        <v>65</v>
      </c>
      <c r="O34" t="s">
        <v>90</v>
      </c>
      <c r="P34" t="s">
        <v>91</v>
      </c>
      <c r="Q34" t="s">
        <v>45</v>
      </c>
      <c r="R34" s="1">
        <v>45581</v>
      </c>
      <c r="S34" t="s">
        <v>33</v>
      </c>
      <c r="T34" t="s">
        <v>46</v>
      </c>
      <c r="U34" t="s">
        <v>68</v>
      </c>
      <c r="V34" s="1">
        <v>45601</v>
      </c>
      <c r="W34" t="s">
        <v>48</v>
      </c>
      <c r="X34" t="str">
        <f>IF(OR(orders_Q4[[#This Row],[Qty]]&gt;5,orders_Q4[[#This Row],[Qty]]&lt;0),"Invalid Quantity","OK")</f>
        <v>OK</v>
      </c>
      <c r="Y34" t="b">
        <f>OR(orders_Q4[[#This Row],[Unit Price]]&gt;20000,orders_Q4[[#This Row],[Unit Price]]&lt;0,orders_Q4[[#This Row],[Unit Price]]=0)</f>
        <v>0</v>
      </c>
      <c r="Z3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4">
        <f>orders_Q4[[#This Row],[Unit Price]] * orders_Q4[[#This Row],[Qty]] * (1 - orders_Q4[[#This Row],[Disc %]]/100)</f>
        <v>5949.15</v>
      </c>
      <c r="AB34" t="str">
        <f>IF(ABS(orders_Q4[[#This Row],[Total]] - orders_Q4[[#This Row],[Calculated_order_total]]) &gt; 1, "Mismatch", "OK")</f>
        <v>Mismatch</v>
      </c>
      <c r="AC34">
        <f>COUNTIF(C:C,orders_Q4[[#This Row],[Customer ID]])</f>
        <v>1</v>
      </c>
      <c r="AD34" t="str">
        <f>IF(AND(orders_Q4[[#This Row],[Type]]="New",orders_Q4[[#This Row],[Customer_id_count]]&gt;1),"Existing customer","OK")</f>
        <v>OK</v>
      </c>
      <c r="AE34">
        <f>orders_Q4[[#This Row],[Del Date]]-orders_Q4[[#This Row],[Order Date]]</f>
        <v>8</v>
      </c>
      <c r="AF34" t="str">
        <f>IF(OR(orders_Q4[[#This Row],[Delivery_time]]&gt;30,orders_Q4[[#This Row],[Delivery_time]]&lt;0),"Invalid_delivery_time","OK")</f>
        <v>OK</v>
      </c>
      <c r="AG34" s="20">
        <f>IF(
   AND(NOT(ISBLANK(orders_Q4[[#This Row],[return_received]])), NOT(ISBLANK(orders_Q4[[#This Row],[Del Date]]))),
   orders_Q4[[#This Row],[return_received]] - orders_Q4[[#This Row],[Del Date]],0)</f>
        <v>20</v>
      </c>
      <c r="AH34" t="str">
        <f>TEXT(orders_Q4[[#This Row],[Order Date]],"mmm-yyyy")</f>
        <v>Oct-2024</v>
      </c>
      <c r="AI34" s="1" t="str">
        <f>TEXT(orders_Q4[[#This Row],[Order Date]],"yyyy") &amp; "-" &amp; WEEKNUM(orders_Q4[[#This Row],[Order Date]])</f>
        <v>2024-41</v>
      </c>
      <c r="AJ34" t="str">
        <f>IF(orders_Q4[[#This Row],[Payment]]="COD","COD","Prepaid")</f>
        <v>Prepaid</v>
      </c>
    </row>
    <row r="35" spans="1:36" x14ac:dyDescent="0.3">
      <c r="A35" t="s">
        <v>227</v>
      </c>
      <c r="B35" s="1">
        <v>45573</v>
      </c>
      <c r="C35" t="s">
        <v>228</v>
      </c>
      <c r="D35" t="s">
        <v>38</v>
      </c>
      <c r="E35" t="s">
        <v>229</v>
      </c>
      <c r="F35" t="s">
        <v>71</v>
      </c>
      <c r="G35" t="s">
        <v>230</v>
      </c>
      <c r="H35">
        <v>2999</v>
      </c>
      <c r="I35">
        <v>1</v>
      </c>
      <c r="J35">
        <v>2999</v>
      </c>
      <c r="L35">
        <v>0</v>
      </c>
      <c r="M35" t="s">
        <v>43</v>
      </c>
      <c r="N35" t="s">
        <v>44</v>
      </c>
      <c r="O35" t="s">
        <v>66</v>
      </c>
      <c r="P35" t="s">
        <v>67</v>
      </c>
      <c r="Q35" t="s">
        <v>56</v>
      </c>
      <c r="R35" s="1">
        <v>45580</v>
      </c>
      <c r="S35" t="s">
        <v>33</v>
      </c>
      <c r="T35" t="s">
        <v>34</v>
      </c>
      <c r="W35" t="s">
        <v>35</v>
      </c>
      <c r="X35" t="str">
        <f>IF(OR(orders_Q4[[#This Row],[Qty]]&gt;5,orders_Q4[[#This Row],[Qty]]&lt;0),"Invalid Quantity","OK")</f>
        <v>OK</v>
      </c>
      <c r="Y35" t="b">
        <f>OR(orders_Q4[[#This Row],[Unit Price]]&gt;20000,orders_Q4[[#This Row],[Unit Price]]&lt;0,orders_Q4[[#This Row],[Unit Price]]=0)</f>
        <v>0</v>
      </c>
      <c r="Z3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5">
        <f>orders_Q4[[#This Row],[Unit Price]] * orders_Q4[[#This Row],[Qty]] * (1 - orders_Q4[[#This Row],[Disc %]]/100)</f>
        <v>2999</v>
      </c>
      <c r="AB35" t="str">
        <f>IF(ABS(orders_Q4[[#This Row],[Total]] - orders_Q4[[#This Row],[Calculated_order_total]]) &gt; 1, "Mismatch", "OK")</f>
        <v>OK</v>
      </c>
      <c r="AC35">
        <f>COUNTIF(C:C,orders_Q4[[#This Row],[Customer ID]])</f>
        <v>1</v>
      </c>
      <c r="AD35" t="str">
        <f>IF(AND(orders_Q4[[#This Row],[Type]]="New",orders_Q4[[#This Row],[Customer_id_count]]&gt;1),"Existing customer","OK")</f>
        <v>OK</v>
      </c>
      <c r="AE35">
        <f>orders_Q4[[#This Row],[Del Date]]-orders_Q4[[#This Row],[Order Date]]</f>
        <v>7</v>
      </c>
      <c r="AF35" t="str">
        <f>IF(OR(orders_Q4[[#This Row],[Delivery_time]]&gt;30,orders_Q4[[#This Row],[Delivery_time]]&lt;0),"Invalid_delivery_time","OK")</f>
        <v>OK</v>
      </c>
      <c r="AG35" s="20">
        <f>IF(
   AND(NOT(ISBLANK(orders_Q4[[#This Row],[return_received]])), NOT(ISBLANK(orders_Q4[[#This Row],[Del Date]]))),
   orders_Q4[[#This Row],[return_received]] - orders_Q4[[#This Row],[Del Date]],0)</f>
        <v>0</v>
      </c>
      <c r="AH35" t="str">
        <f>TEXT(orders_Q4[[#This Row],[Order Date]],"mmm-yyyy")</f>
        <v>Oct-2024</v>
      </c>
      <c r="AI35" s="1" t="str">
        <f>TEXT(orders_Q4[[#This Row],[Order Date]],"yyyy") &amp; "-" &amp; WEEKNUM(orders_Q4[[#This Row],[Order Date]])</f>
        <v>2024-41</v>
      </c>
      <c r="AJ35" t="str">
        <f>IF(orders_Q4[[#This Row],[Payment]]="COD","COD","Prepaid")</f>
        <v>Prepaid</v>
      </c>
    </row>
    <row r="36" spans="1:36" x14ac:dyDescent="0.3">
      <c r="A36" t="s">
        <v>231</v>
      </c>
      <c r="B36" s="1">
        <v>45573</v>
      </c>
      <c r="C36" t="s">
        <v>232</v>
      </c>
      <c r="D36" t="s">
        <v>25</v>
      </c>
      <c r="E36" t="s">
        <v>233</v>
      </c>
      <c r="F36" t="s">
        <v>53</v>
      </c>
      <c r="G36" t="s">
        <v>234</v>
      </c>
      <c r="H36">
        <v>1599</v>
      </c>
      <c r="I36">
        <v>1</v>
      </c>
      <c r="J36">
        <v>1599</v>
      </c>
      <c r="L36">
        <v>0</v>
      </c>
      <c r="M36" t="s">
        <v>55</v>
      </c>
      <c r="N36" t="s">
        <v>30</v>
      </c>
      <c r="O36" t="s">
        <v>77</v>
      </c>
      <c r="P36" t="s">
        <v>78</v>
      </c>
      <c r="Q36" t="s">
        <v>56</v>
      </c>
      <c r="R36" s="1">
        <v>45582</v>
      </c>
      <c r="S36" t="s">
        <v>33</v>
      </c>
      <c r="T36" t="s">
        <v>46</v>
      </c>
      <c r="U36" t="s">
        <v>47</v>
      </c>
      <c r="V36" s="1">
        <v>45604</v>
      </c>
      <c r="W36" t="s">
        <v>48</v>
      </c>
      <c r="X36" t="str">
        <f>IF(OR(orders_Q4[[#This Row],[Qty]]&gt;5,orders_Q4[[#This Row],[Qty]]&lt;0),"Invalid Quantity","OK")</f>
        <v>OK</v>
      </c>
      <c r="Y36" t="b">
        <f>OR(orders_Q4[[#This Row],[Unit Price]]&gt;20000,orders_Q4[[#This Row],[Unit Price]]&lt;0,orders_Q4[[#This Row],[Unit Price]]=0)</f>
        <v>0</v>
      </c>
      <c r="Z3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6">
        <f>orders_Q4[[#This Row],[Unit Price]] * orders_Q4[[#This Row],[Qty]] * (1 - orders_Q4[[#This Row],[Disc %]]/100)</f>
        <v>1599</v>
      </c>
      <c r="AB36" t="str">
        <f>IF(ABS(orders_Q4[[#This Row],[Total]] - orders_Q4[[#This Row],[Calculated_order_total]]) &gt; 1, "Mismatch", "OK")</f>
        <v>OK</v>
      </c>
      <c r="AC36">
        <f>COUNTIF(C:C,orders_Q4[[#This Row],[Customer ID]])</f>
        <v>1</v>
      </c>
      <c r="AD36" t="str">
        <f>IF(AND(orders_Q4[[#This Row],[Type]]="New",orders_Q4[[#This Row],[Customer_id_count]]&gt;1),"Existing customer","OK")</f>
        <v>OK</v>
      </c>
      <c r="AE36">
        <f>orders_Q4[[#This Row],[Del Date]]-orders_Q4[[#This Row],[Order Date]]</f>
        <v>9</v>
      </c>
      <c r="AF36" t="str">
        <f>IF(OR(orders_Q4[[#This Row],[Delivery_time]]&gt;30,orders_Q4[[#This Row],[Delivery_time]]&lt;0),"Invalid_delivery_time","OK")</f>
        <v>OK</v>
      </c>
      <c r="AG36" s="20">
        <f>IF(
   AND(NOT(ISBLANK(orders_Q4[[#This Row],[return_received]])), NOT(ISBLANK(orders_Q4[[#This Row],[Del Date]]))),
   orders_Q4[[#This Row],[return_received]] - orders_Q4[[#This Row],[Del Date]],0)</f>
        <v>22</v>
      </c>
      <c r="AH36" t="str">
        <f>TEXT(orders_Q4[[#This Row],[Order Date]],"mmm-yyyy")</f>
        <v>Oct-2024</v>
      </c>
      <c r="AI36" s="1" t="str">
        <f>TEXT(orders_Q4[[#This Row],[Order Date]],"yyyy") &amp; "-" &amp; WEEKNUM(orders_Q4[[#This Row],[Order Date]])</f>
        <v>2024-41</v>
      </c>
      <c r="AJ36" t="str">
        <f>IF(orders_Q4[[#This Row],[Payment]]="COD","COD","Prepaid")</f>
        <v>COD</v>
      </c>
    </row>
    <row r="37" spans="1:36" x14ac:dyDescent="0.3">
      <c r="A37" t="s">
        <v>235</v>
      </c>
      <c r="B37" s="1">
        <v>45574</v>
      </c>
      <c r="C37" t="s">
        <v>236</v>
      </c>
      <c r="D37" t="s">
        <v>25</v>
      </c>
      <c r="E37" t="s">
        <v>237</v>
      </c>
      <c r="F37" t="s">
        <v>40</v>
      </c>
      <c r="G37" t="s">
        <v>238</v>
      </c>
      <c r="H37">
        <v>1999</v>
      </c>
      <c r="I37">
        <v>1</v>
      </c>
      <c r="J37">
        <v>1999</v>
      </c>
      <c r="K37" t="s">
        <v>42</v>
      </c>
      <c r="L37">
        <v>20</v>
      </c>
      <c r="M37" t="s">
        <v>111</v>
      </c>
      <c r="N37" t="s">
        <v>44</v>
      </c>
      <c r="O37" t="s">
        <v>84</v>
      </c>
      <c r="P37" t="s">
        <v>32</v>
      </c>
      <c r="Q37" t="s">
        <v>31</v>
      </c>
      <c r="R37" s="1">
        <v>45581</v>
      </c>
      <c r="S37" t="s">
        <v>33</v>
      </c>
      <c r="T37" t="s">
        <v>34</v>
      </c>
      <c r="W37" t="s">
        <v>35</v>
      </c>
      <c r="X37" t="str">
        <f>IF(OR(orders_Q4[[#This Row],[Qty]]&gt;5,orders_Q4[[#This Row],[Qty]]&lt;0),"Invalid Quantity","OK")</f>
        <v>OK</v>
      </c>
      <c r="Y37" t="b">
        <f>OR(orders_Q4[[#This Row],[Unit Price]]&gt;20000,orders_Q4[[#This Row],[Unit Price]]&lt;0,orders_Q4[[#This Row],[Unit Price]]=0)</f>
        <v>0</v>
      </c>
      <c r="Z3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7">
        <f>orders_Q4[[#This Row],[Unit Price]] * orders_Q4[[#This Row],[Qty]] * (1 - orders_Q4[[#This Row],[Disc %]]/100)</f>
        <v>1599.2</v>
      </c>
      <c r="AB37" t="str">
        <f>IF(ABS(orders_Q4[[#This Row],[Total]] - orders_Q4[[#This Row],[Calculated_order_total]]) &gt; 1, "Mismatch", "OK")</f>
        <v>Mismatch</v>
      </c>
      <c r="AC37">
        <f>COUNTIF(C:C,orders_Q4[[#This Row],[Customer ID]])</f>
        <v>1</v>
      </c>
      <c r="AD37" t="str">
        <f>IF(AND(orders_Q4[[#This Row],[Type]]="New",orders_Q4[[#This Row],[Customer_id_count]]&gt;1),"Existing customer","OK")</f>
        <v>OK</v>
      </c>
      <c r="AE37">
        <f>orders_Q4[[#This Row],[Del Date]]-orders_Q4[[#This Row],[Order Date]]</f>
        <v>7</v>
      </c>
      <c r="AF37" t="str">
        <f>IF(OR(orders_Q4[[#This Row],[Delivery_time]]&gt;30,orders_Q4[[#This Row],[Delivery_time]]&lt;0),"Invalid_delivery_time","OK")</f>
        <v>OK</v>
      </c>
      <c r="AG37" s="20">
        <f>IF(
   AND(NOT(ISBLANK(orders_Q4[[#This Row],[return_received]])), NOT(ISBLANK(orders_Q4[[#This Row],[Del Date]]))),
   orders_Q4[[#This Row],[return_received]] - orders_Q4[[#This Row],[Del Date]],0)</f>
        <v>0</v>
      </c>
      <c r="AH37" t="str">
        <f>TEXT(orders_Q4[[#This Row],[Order Date]],"mmm-yyyy")</f>
        <v>Oct-2024</v>
      </c>
      <c r="AI37" s="1" t="str">
        <f>TEXT(orders_Q4[[#This Row],[Order Date]],"yyyy") &amp; "-" &amp; WEEKNUM(orders_Q4[[#This Row],[Order Date]])</f>
        <v>2024-41</v>
      </c>
      <c r="AJ37" t="str">
        <f>IF(orders_Q4[[#This Row],[Payment]]="COD","COD","Prepaid")</f>
        <v>Prepaid</v>
      </c>
    </row>
    <row r="38" spans="1:36" x14ac:dyDescent="0.3">
      <c r="A38" t="s">
        <v>239</v>
      </c>
      <c r="B38" s="1">
        <v>45574</v>
      </c>
      <c r="C38" t="s">
        <v>240</v>
      </c>
      <c r="D38" t="s">
        <v>25</v>
      </c>
      <c r="E38" t="s">
        <v>241</v>
      </c>
      <c r="F38" t="s">
        <v>27</v>
      </c>
      <c r="G38" t="s">
        <v>242</v>
      </c>
      <c r="H38">
        <v>1799</v>
      </c>
      <c r="I38">
        <v>1</v>
      </c>
      <c r="J38">
        <v>1799</v>
      </c>
      <c r="L38">
        <v>0</v>
      </c>
      <c r="M38" t="s">
        <v>29</v>
      </c>
      <c r="N38" t="s">
        <v>65</v>
      </c>
      <c r="O38" t="s">
        <v>96</v>
      </c>
      <c r="P38" t="s">
        <v>97</v>
      </c>
      <c r="Q38" t="s">
        <v>31</v>
      </c>
      <c r="R38" s="1">
        <v>45582</v>
      </c>
      <c r="S38" t="s">
        <v>33</v>
      </c>
      <c r="T38" t="s">
        <v>46</v>
      </c>
      <c r="U38" t="s">
        <v>79</v>
      </c>
      <c r="V38" s="1">
        <v>45608</v>
      </c>
      <c r="W38" t="s">
        <v>48</v>
      </c>
      <c r="X38" t="str">
        <f>IF(OR(orders_Q4[[#This Row],[Qty]]&gt;5,orders_Q4[[#This Row],[Qty]]&lt;0),"Invalid Quantity","OK")</f>
        <v>OK</v>
      </c>
      <c r="Y38" t="b">
        <f>OR(orders_Q4[[#This Row],[Unit Price]]&gt;20000,orders_Q4[[#This Row],[Unit Price]]&lt;0,orders_Q4[[#This Row],[Unit Price]]=0)</f>
        <v>0</v>
      </c>
      <c r="Z3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8">
        <f>orders_Q4[[#This Row],[Unit Price]] * orders_Q4[[#This Row],[Qty]] * (1 - orders_Q4[[#This Row],[Disc %]]/100)</f>
        <v>1799</v>
      </c>
      <c r="AB38" t="str">
        <f>IF(ABS(orders_Q4[[#This Row],[Total]] - orders_Q4[[#This Row],[Calculated_order_total]]) &gt; 1, "Mismatch", "OK")</f>
        <v>OK</v>
      </c>
      <c r="AC38">
        <f>COUNTIF(C:C,orders_Q4[[#This Row],[Customer ID]])</f>
        <v>1</v>
      </c>
      <c r="AD38" t="str">
        <f>IF(AND(orders_Q4[[#This Row],[Type]]="New",orders_Q4[[#This Row],[Customer_id_count]]&gt;1),"Existing customer","OK")</f>
        <v>OK</v>
      </c>
      <c r="AE38">
        <f>orders_Q4[[#This Row],[Del Date]]-orders_Q4[[#This Row],[Order Date]]</f>
        <v>8</v>
      </c>
      <c r="AF38" t="str">
        <f>IF(OR(orders_Q4[[#This Row],[Delivery_time]]&gt;30,orders_Q4[[#This Row],[Delivery_time]]&lt;0),"Invalid_delivery_time","OK")</f>
        <v>OK</v>
      </c>
      <c r="AG38" s="20">
        <f>IF(
   AND(NOT(ISBLANK(orders_Q4[[#This Row],[return_received]])), NOT(ISBLANK(orders_Q4[[#This Row],[Del Date]]))),
   orders_Q4[[#This Row],[return_received]] - orders_Q4[[#This Row],[Del Date]],0)</f>
        <v>26</v>
      </c>
      <c r="AH38" t="str">
        <f>TEXT(orders_Q4[[#This Row],[Order Date]],"mmm-yyyy")</f>
        <v>Oct-2024</v>
      </c>
      <c r="AI38" s="1" t="str">
        <f>TEXT(orders_Q4[[#This Row],[Order Date]],"yyyy") &amp; "-" &amp; WEEKNUM(orders_Q4[[#This Row],[Order Date]])</f>
        <v>2024-41</v>
      </c>
      <c r="AJ38" t="str">
        <f>IF(orders_Q4[[#This Row],[Payment]]="COD","COD","Prepaid")</f>
        <v>Prepaid</v>
      </c>
    </row>
    <row r="39" spans="1:36" x14ac:dyDescent="0.3">
      <c r="A39" t="s">
        <v>243</v>
      </c>
      <c r="B39" s="1">
        <v>45574</v>
      </c>
      <c r="C39" t="s">
        <v>244</v>
      </c>
      <c r="D39" t="s">
        <v>38</v>
      </c>
      <c r="E39" t="s">
        <v>245</v>
      </c>
      <c r="F39" t="s">
        <v>61</v>
      </c>
      <c r="G39" t="s">
        <v>246</v>
      </c>
      <c r="H39">
        <v>7999</v>
      </c>
      <c r="I39">
        <v>1</v>
      </c>
      <c r="J39">
        <v>7999</v>
      </c>
      <c r="L39">
        <v>0</v>
      </c>
      <c r="M39" t="s">
        <v>43</v>
      </c>
      <c r="N39" t="s">
        <v>30</v>
      </c>
      <c r="O39" t="s">
        <v>102</v>
      </c>
      <c r="P39" t="s">
        <v>103</v>
      </c>
      <c r="Q39" t="s">
        <v>45</v>
      </c>
      <c r="R39" s="1">
        <v>45583</v>
      </c>
      <c r="S39" t="s">
        <v>33</v>
      </c>
      <c r="T39" t="s">
        <v>34</v>
      </c>
      <c r="W39" t="s">
        <v>35</v>
      </c>
      <c r="X39" t="str">
        <f>IF(OR(orders_Q4[[#This Row],[Qty]]&gt;5,orders_Q4[[#This Row],[Qty]]&lt;0),"Invalid Quantity","OK")</f>
        <v>OK</v>
      </c>
      <c r="Y39" t="b">
        <f>OR(orders_Q4[[#This Row],[Unit Price]]&gt;20000,orders_Q4[[#This Row],[Unit Price]]&lt;0,orders_Q4[[#This Row],[Unit Price]]=0)</f>
        <v>0</v>
      </c>
      <c r="Z3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9">
        <f>orders_Q4[[#This Row],[Unit Price]] * orders_Q4[[#This Row],[Qty]] * (1 - orders_Q4[[#This Row],[Disc %]]/100)</f>
        <v>7999</v>
      </c>
      <c r="AB39" t="str">
        <f>IF(ABS(orders_Q4[[#This Row],[Total]] - orders_Q4[[#This Row],[Calculated_order_total]]) &gt; 1, "Mismatch", "OK")</f>
        <v>OK</v>
      </c>
      <c r="AC39">
        <f>COUNTIF(C:C,orders_Q4[[#This Row],[Customer ID]])</f>
        <v>1</v>
      </c>
      <c r="AD39" t="str">
        <f>IF(AND(orders_Q4[[#This Row],[Type]]="New",orders_Q4[[#This Row],[Customer_id_count]]&gt;1),"Existing customer","OK")</f>
        <v>OK</v>
      </c>
      <c r="AE39">
        <f>orders_Q4[[#This Row],[Del Date]]-orders_Q4[[#This Row],[Order Date]]</f>
        <v>9</v>
      </c>
      <c r="AF39" t="str">
        <f>IF(OR(orders_Q4[[#This Row],[Delivery_time]]&gt;30,orders_Q4[[#This Row],[Delivery_time]]&lt;0),"Invalid_delivery_time","OK")</f>
        <v>OK</v>
      </c>
      <c r="AG39" s="20">
        <f>IF(
   AND(NOT(ISBLANK(orders_Q4[[#This Row],[return_received]])), NOT(ISBLANK(orders_Q4[[#This Row],[Del Date]]))),
   orders_Q4[[#This Row],[return_received]] - orders_Q4[[#This Row],[Del Date]],0)</f>
        <v>0</v>
      </c>
      <c r="AH39" t="str">
        <f>TEXT(orders_Q4[[#This Row],[Order Date]],"mmm-yyyy")</f>
        <v>Oct-2024</v>
      </c>
      <c r="AI39" s="1" t="str">
        <f>TEXT(orders_Q4[[#This Row],[Order Date]],"yyyy") &amp; "-" &amp; WEEKNUM(orders_Q4[[#This Row],[Order Date]])</f>
        <v>2024-41</v>
      </c>
      <c r="AJ39" t="str">
        <f>IF(orders_Q4[[#This Row],[Payment]]="COD","COD","Prepaid")</f>
        <v>Prepaid</v>
      </c>
    </row>
    <row r="40" spans="1:36" x14ac:dyDescent="0.3">
      <c r="A40" t="s">
        <v>247</v>
      </c>
      <c r="B40" s="1">
        <v>45574</v>
      </c>
      <c r="C40" t="s">
        <v>248</v>
      </c>
      <c r="D40" t="s">
        <v>25</v>
      </c>
      <c r="E40" t="s">
        <v>249</v>
      </c>
      <c r="F40" t="s">
        <v>71</v>
      </c>
      <c r="G40" t="s">
        <v>250</v>
      </c>
      <c r="H40">
        <v>1499</v>
      </c>
      <c r="I40">
        <v>1</v>
      </c>
      <c r="J40">
        <v>1499</v>
      </c>
      <c r="K40" t="s">
        <v>110</v>
      </c>
      <c r="L40">
        <v>10</v>
      </c>
      <c r="M40" t="s">
        <v>64</v>
      </c>
      <c r="N40" t="s">
        <v>44</v>
      </c>
      <c r="O40" t="s">
        <v>112</v>
      </c>
      <c r="P40" t="s">
        <v>113</v>
      </c>
      <c r="Q40" t="s">
        <v>45</v>
      </c>
      <c r="R40" s="1">
        <v>45582</v>
      </c>
      <c r="S40" t="s">
        <v>33</v>
      </c>
      <c r="T40" t="s">
        <v>34</v>
      </c>
      <c r="W40" t="s">
        <v>35</v>
      </c>
      <c r="X40" t="str">
        <f>IF(OR(orders_Q4[[#This Row],[Qty]]&gt;5,orders_Q4[[#This Row],[Qty]]&lt;0),"Invalid Quantity","OK")</f>
        <v>OK</v>
      </c>
      <c r="Y40" t="b">
        <f>OR(orders_Q4[[#This Row],[Unit Price]]&gt;20000,orders_Q4[[#This Row],[Unit Price]]&lt;0,orders_Q4[[#This Row],[Unit Price]]=0)</f>
        <v>0</v>
      </c>
      <c r="Z4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40">
        <f>orders_Q4[[#This Row],[Unit Price]] * orders_Q4[[#This Row],[Qty]] * (1 - orders_Q4[[#This Row],[Disc %]]/100)</f>
        <v>1349.1000000000001</v>
      </c>
      <c r="AB40" t="str">
        <f>IF(ABS(orders_Q4[[#This Row],[Total]] - orders_Q4[[#This Row],[Calculated_order_total]]) &gt; 1, "Mismatch", "OK")</f>
        <v>Mismatch</v>
      </c>
      <c r="AC40">
        <f>COUNTIF(C:C,orders_Q4[[#This Row],[Customer ID]])</f>
        <v>1</v>
      </c>
      <c r="AD40" t="str">
        <f>IF(AND(orders_Q4[[#This Row],[Type]]="New",orders_Q4[[#This Row],[Customer_id_count]]&gt;1),"Existing customer","OK")</f>
        <v>OK</v>
      </c>
      <c r="AE40">
        <f>orders_Q4[[#This Row],[Del Date]]-orders_Q4[[#This Row],[Order Date]]</f>
        <v>8</v>
      </c>
      <c r="AF40" t="str">
        <f>IF(OR(orders_Q4[[#This Row],[Delivery_time]]&gt;30,orders_Q4[[#This Row],[Delivery_time]]&lt;0),"Invalid_delivery_time","OK")</f>
        <v>OK</v>
      </c>
      <c r="AG40" s="20">
        <f>IF(
   AND(NOT(ISBLANK(orders_Q4[[#This Row],[return_received]])), NOT(ISBLANK(orders_Q4[[#This Row],[Del Date]]))),
   orders_Q4[[#This Row],[return_received]] - orders_Q4[[#This Row],[Del Date]],0)</f>
        <v>0</v>
      </c>
      <c r="AH40" t="str">
        <f>TEXT(orders_Q4[[#This Row],[Order Date]],"mmm-yyyy")</f>
        <v>Oct-2024</v>
      </c>
      <c r="AI40" s="1" t="str">
        <f>TEXT(orders_Q4[[#This Row],[Order Date]],"yyyy") &amp; "-" &amp; WEEKNUM(orders_Q4[[#This Row],[Order Date]])</f>
        <v>2024-41</v>
      </c>
      <c r="AJ40" t="str">
        <f>IF(orders_Q4[[#This Row],[Payment]]="COD","COD","Prepaid")</f>
        <v>Prepaid</v>
      </c>
    </row>
    <row r="41" spans="1:36" x14ac:dyDescent="0.3">
      <c r="A41" t="s">
        <v>251</v>
      </c>
      <c r="B41" s="1">
        <v>45575</v>
      </c>
      <c r="C41" t="s">
        <v>252</v>
      </c>
      <c r="D41" t="s">
        <v>25</v>
      </c>
      <c r="E41" t="s">
        <v>253</v>
      </c>
      <c r="F41" t="s">
        <v>53</v>
      </c>
      <c r="G41" t="s">
        <v>254</v>
      </c>
      <c r="H41">
        <v>1699</v>
      </c>
      <c r="I41">
        <v>1</v>
      </c>
      <c r="J41">
        <v>1699</v>
      </c>
      <c r="L41">
        <v>0</v>
      </c>
      <c r="M41" t="s">
        <v>55</v>
      </c>
      <c r="N41" t="s">
        <v>30</v>
      </c>
      <c r="O41" t="s">
        <v>56</v>
      </c>
      <c r="P41" t="s">
        <v>57</v>
      </c>
      <c r="Q41" t="s">
        <v>56</v>
      </c>
      <c r="R41" s="1">
        <v>45584</v>
      </c>
      <c r="S41" t="s">
        <v>33</v>
      </c>
      <c r="T41" t="s">
        <v>46</v>
      </c>
      <c r="U41" t="s">
        <v>47</v>
      </c>
      <c r="V41" s="1">
        <v>45606</v>
      </c>
      <c r="W41" t="s">
        <v>48</v>
      </c>
      <c r="X41" t="str">
        <f>IF(OR(orders_Q4[[#This Row],[Qty]]&gt;5,orders_Q4[[#This Row],[Qty]]&lt;0),"Invalid Quantity","OK")</f>
        <v>OK</v>
      </c>
      <c r="Y41" t="b">
        <f>OR(orders_Q4[[#This Row],[Unit Price]]&gt;20000,orders_Q4[[#This Row],[Unit Price]]&lt;0,orders_Q4[[#This Row],[Unit Price]]=0)</f>
        <v>0</v>
      </c>
      <c r="Z4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41">
        <f>orders_Q4[[#This Row],[Unit Price]] * orders_Q4[[#This Row],[Qty]] * (1 - orders_Q4[[#This Row],[Disc %]]/100)</f>
        <v>1699</v>
      </c>
      <c r="AB41" t="str">
        <f>IF(ABS(orders_Q4[[#This Row],[Total]] - orders_Q4[[#This Row],[Calculated_order_total]]) &gt; 1, "Mismatch", "OK")</f>
        <v>OK</v>
      </c>
      <c r="AC41">
        <f>COUNTIF(C:C,orders_Q4[[#This Row],[Customer ID]])</f>
        <v>1</v>
      </c>
      <c r="AD41" t="str">
        <f>IF(AND(orders_Q4[[#This Row],[Type]]="New",orders_Q4[[#This Row],[Customer_id_count]]&gt;1),"Existing customer","OK")</f>
        <v>OK</v>
      </c>
      <c r="AE41">
        <f>orders_Q4[[#This Row],[Del Date]]-orders_Q4[[#This Row],[Order Date]]</f>
        <v>9</v>
      </c>
      <c r="AF41" t="str">
        <f>IF(OR(orders_Q4[[#This Row],[Delivery_time]]&gt;30,orders_Q4[[#This Row],[Delivery_time]]&lt;0),"Invalid_delivery_time","OK")</f>
        <v>OK</v>
      </c>
      <c r="AG41" s="20">
        <f>IF(
   AND(NOT(ISBLANK(orders_Q4[[#This Row],[return_received]])), NOT(ISBLANK(orders_Q4[[#This Row],[Del Date]]))),
   orders_Q4[[#This Row],[return_received]] - orders_Q4[[#This Row],[Del Date]],0)</f>
        <v>22</v>
      </c>
      <c r="AH41" t="str">
        <f>TEXT(orders_Q4[[#This Row],[Order Date]],"mmm-yyyy")</f>
        <v>Oct-2024</v>
      </c>
      <c r="AI41" s="1" t="str">
        <f>TEXT(orders_Q4[[#This Row],[Order Date]],"yyyy") &amp; "-" &amp; WEEKNUM(orders_Q4[[#This Row],[Order Date]])</f>
        <v>2024-41</v>
      </c>
      <c r="AJ41" t="str">
        <f>IF(orders_Q4[[#This Row],[Payment]]="COD","COD","Prepaid")</f>
        <v>COD</v>
      </c>
    </row>
    <row r="42" spans="1:36" x14ac:dyDescent="0.3">
      <c r="A42" t="s">
        <v>255</v>
      </c>
      <c r="B42" s="1">
        <v>45575</v>
      </c>
      <c r="C42" t="s">
        <v>256</v>
      </c>
      <c r="D42" t="s">
        <v>25</v>
      </c>
      <c r="E42" t="s">
        <v>257</v>
      </c>
      <c r="F42" t="s">
        <v>40</v>
      </c>
      <c r="G42" t="s">
        <v>258</v>
      </c>
      <c r="H42">
        <v>2299</v>
      </c>
      <c r="I42">
        <v>1</v>
      </c>
      <c r="J42">
        <v>2299</v>
      </c>
      <c r="L42">
        <v>0</v>
      </c>
      <c r="M42" t="s">
        <v>29</v>
      </c>
      <c r="N42" t="s">
        <v>65</v>
      </c>
      <c r="O42" t="s">
        <v>31</v>
      </c>
      <c r="P42" t="s">
        <v>32</v>
      </c>
      <c r="Q42" t="s">
        <v>31</v>
      </c>
      <c r="R42" s="1">
        <v>45583</v>
      </c>
      <c r="S42" t="s">
        <v>33</v>
      </c>
      <c r="T42" t="s">
        <v>34</v>
      </c>
      <c r="W42" t="s">
        <v>35</v>
      </c>
      <c r="X42" t="str">
        <f>IF(OR(orders_Q4[[#This Row],[Qty]]&gt;5,orders_Q4[[#This Row],[Qty]]&lt;0),"Invalid Quantity","OK")</f>
        <v>OK</v>
      </c>
      <c r="Y42" t="b">
        <f>OR(orders_Q4[[#This Row],[Unit Price]]&gt;20000,orders_Q4[[#This Row],[Unit Price]]&lt;0,orders_Q4[[#This Row],[Unit Price]]=0)</f>
        <v>0</v>
      </c>
      <c r="Z4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42">
        <f>orders_Q4[[#This Row],[Unit Price]] * orders_Q4[[#This Row],[Qty]] * (1 - orders_Q4[[#This Row],[Disc %]]/100)</f>
        <v>2299</v>
      </c>
      <c r="AB42" t="str">
        <f>IF(ABS(orders_Q4[[#This Row],[Total]] - orders_Q4[[#This Row],[Calculated_order_total]]) &gt; 1, "Mismatch", "OK")</f>
        <v>OK</v>
      </c>
      <c r="AC42">
        <f>COUNTIF(C:C,orders_Q4[[#This Row],[Customer ID]])</f>
        <v>1</v>
      </c>
      <c r="AD42" t="str">
        <f>IF(AND(orders_Q4[[#This Row],[Type]]="New",orders_Q4[[#This Row],[Customer_id_count]]&gt;1),"Existing customer","OK")</f>
        <v>OK</v>
      </c>
      <c r="AE42">
        <f>orders_Q4[[#This Row],[Del Date]]-orders_Q4[[#This Row],[Order Date]]</f>
        <v>8</v>
      </c>
      <c r="AF42" t="str">
        <f>IF(OR(orders_Q4[[#This Row],[Delivery_time]]&gt;30,orders_Q4[[#This Row],[Delivery_time]]&lt;0),"Invalid_delivery_time","OK")</f>
        <v>OK</v>
      </c>
      <c r="AG42" s="20">
        <f>IF(
   AND(NOT(ISBLANK(orders_Q4[[#This Row],[return_received]])), NOT(ISBLANK(orders_Q4[[#This Row],[Del Date]]))),
   orders_Q4[[#This Row],[return_received]] - orders_Q4[[#This Row],[Del Date]],0)</f>
        <v>0</v>
      </c>
      <c r="AH42" t="str">
        <f>TEXT(orders_Q4[[#This Row],[Order Date]],"mmm-yyyy")</f>
        <v>Oct-2024</v>
      </c>
      <c r="AI42" s="1" t="str">
        <f>TEXT(orders_Q4[[#This Row],[Order Date]],"yyyy") &amp; "-" &amp; WEEKNUM(orders_Q4[[#This Row],[Order Date]])</f>
        <v>2024-41</v>
      </c>
      <c r="AJ42" t="str">
        <f>IF(orders_Q4[[#This Row],[Payment]]="COD","COD","Prepaid")</f>
        <v>Prepaid</v>
      </c>
    </row>
    <row r="43" spans="1:36" x14ac:dyDescent="0.3">
      <c r="A43" t="s">
        <v>259</v>
      </c>
      <c r="B43" s="1">
        <v>45575</v>
      </c>
      <c r="C43" t="s">
        <v>260</v>
      </c>
      <c r="D43" t="s">
        <v>38</v>
      </c>
      <c r="E43" t="s">
        <v>261</v>
      </c>
      <c r="F43" t="s">
        <v>27</v>
      </c>
      <c r="G43" t="s">
        <v>262</v>
      </c>
      <c r="H43">
        <v>1599</v>
      </c>
      <c r="I43">
        <v>2</v>
      </c>
      <c r="J43">
        <v>3198</v>
      </c>
      <c r="K43" t="s">
        <v>42</v>
      </c>
      <c r="L43">
        <v>20</v>
      </c>
      <c r="M43" t="s">
        <v>43</v>
      </c>
      <c r="N43" t="s">
        <v>44</v>
      </c>
      <c r="O43" t="s">
        <v>45</v>
      </c>
      <c r="P43" t="s">
        <v>45</v>
      </c>
      <c r="Q43" t="s">
        <v>45</v>
      </c>
      <c r="R43" s="1">
        <v>45582</v>
      </c>
      <c r="S43" t="s">
        <v>33</v>
      </c>
      <c r="T43" t="s">
        <v>46</v>
      </c>
      <c r="U43" t="s">
        <v>104</v>
      </c>
      <c r="V43" s="1">
        <v>45604</v>
      </c>
      <c r="W43" t="s">
        <v>48</v>
      </c>
      <c r="X43" t="str">
        <f>IF(OR(orders_Q4[[#This Row],[Qty]]&gt;5,orders_Q4[[#This Row],[Qty]]&lt;0),"Invalid Quantity","OK")</f>
        <v>OK</v>
      </c>
      <c r="Y43" t="b">
        <f>OR(orders_Q4[[#This Row],[Unit Price]]&gt;20000,orders_Q4[[#This Row],[Unit Price]]&lt;0,orders_Q4[[#This Row],[Unit Price]]=0)</f>
        <v>0</v>
      </c>
      <c r="Z4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43">
        <f>orders_Q4[[#This Row],[Unit Price]] * orders_Q4[[#This Row],[Qty]] * (1 - orders_Q4[[#This Row],[Disc %]]/100)</f>
        <v>2558.4</v>
      </c>
      <c r="AB43" t="str">
        <f>IF(ABS(orders_Q4[[#This Row],[Total]] - orders_Q4[[#This Row],[Calculated_order_total]]) &gt; 1, "Mismatch", "OK")</f>
        <v>Mismatch</v>
      </c>
      <c r="AC43">
        <f>COUNTIF(C:C,orders_Q4[[#This Row],[Customer ID]])</f>
        <v>1</v>
      </c>
      <c r="AD43" t="str">
        <f>IF(AND(orders_Q4[[#This Row],[Type]]="New",orders_Q4[[#This Row],[Customer_id_count]]&gt;1),"Existing customer","OK")</f>
        <v>OK</v>
      </c>
      <c r="AE43">
        <f>orders_Q4[[#This Row],[Del Date]]-orders_Q4[[#This Row],[Order Date]]</f>
        <v>7</v>
      </c>
      <c r="AF43" t="str">
        <f>IF(OR(orders_Q4[[#This Row],[Delivery_time]]&gt;30,orders_Q4[[#This Row],[Delivery_time]]&lt;0),"Invalid_delivery_time","OK")</f>
        <v>OK</v>
      </c>
      <c r="AG43" s="20">
        <f>IF(
   AND(NOT(ISBLANK(orders_Q4[[#This Row],[return_received]])), NOT(ISBLANK(orders_Q4[[#This Row],[Del Date]]))),
   orders_Q4[[#This Row],[return_received]] - orders_Q4[[#This Row],[Del Date]],0)</f>
        <v>22</v>
      </c>
      <c r="AH43" t="str">
        <f>TEXT(orders_Q4[[#This Row],[Order Date]],"mmm-yyyy")</f>
        <v>Oct-2024</v>
      </c>
      <c r="AI43" s="1" t="str">
        <f>TEXT(orders_Q4[[#This Row],[Order Date]],"yyyy") &amp; "-" &amp; WEEKNUM(orders_Q4[[#This Row],[Order Date]])</f>
        <v>2024-41</v>
      </c>
      <c r="AJ43" t="str">
        <f>IF(orders_Q4[[#This Row],[Payment]]="COD","COD","Prepaid")</f>
        <v>Prepaid</v>
      </c>
    </row>
    <row r="44" spans="1:36" x14ac:dyDescent="0.3">
      <c r="A44" t="s">
        <v>263</v>
      </c>
      <c r="B44" s="1">
        <v>45575</v>
      </c>
      <c r="C44" t="s">
        <v>264</v>
      </c>
      <c r="D44" t="s">
        <v>25</v>
      </c>
      <c r="E44" t="s">
        <v>265</v>
      </c>
      <c r="F44" t="s">
        <v>61</v>
      </c>
      <c r="G44" t="s">
        <v>266</v>
      </c>
      <c r="H44">
        <v>2499</v>
      </c>
      <c r="I44">
        <v>1</v>
      </c>
      <c r="J44">
        <v>2499</v>
      </c>
      <c r="L44">
        <v>0</v>
      </c>
      <c r="M44" t="s">
        <v>111</v>
      </c>
      <c r="N44" t="s">
        <v>30</v>
      </c>
      <c r="O44" t="s">
        <v>118</v>
      </c>
      <c r="P44" t="s">
        <v>119</v>
      </c>
      <c r="Q44" t="s">
        <v>45</v>
      </c>
      <c r="R44" s="1">
        <v>45585</v>
      </c>
      <c r="S44" t="s">
        <v>33</v>
      </c>
      <c r="T44" t="s">
        <v>34</v>
      </c>
      <c r="W44" t="s">
        <v>35</v>
      </c>
      <c r="X44" t="str">
        <f>IF(OR(orders_Q4[[#This Row],[Qty]]&gt;5,orders_Q4[[#This Row],[Qty]]&lt;0),"Invalid Quantity","OK")</f>
        <v>OK</v>
      </c>
      <c r="Y44" t="b">
        <f>OR(orders_Q4[[#This Row],[Unit Price]]&gt;20000,orders_Q4[[#This Row],[Unit Price]]&lt;0,orders_Q4[[#This Row],[Unit Price]]=0)</f>
        <v>0</v>
      </c>
      <c r="Z4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44">
        <f>orders_Q4[[#This Row],[Unit Price]] * orders_Q4[[#This Row],[Qty]] * (1 - orders_Q4[[#This Row],[Disc %]]/100)</f>
        <v>2499</v>
      </c>
      <c r="AB44" t="str">
        <f>IF(ABS(orders_Q4[[#This Row],[Total]] - orders_Q4[[#This Row],[Calculated_order_total]]) &gt; 1, "Mismatch", "OK")</f>
        <v>OK</v>
      </c>
      <c r="AC44">
        <f>COUNTIF(C:C,orders_Q4[[#This Row],[Customer ID]])</f>
        <v>1</v>
      </c>
      <c r="AD44" t="str">
        <f>IF(AND(orders_Q4[[#This Row],[Type]]="New",orders_Q4[[#This Row],[Customer_id_count]]&gt;1),"Existing customer","OK")</f>
        <v>OK</v>
      </c>
      <c r="AE44">
        <f>orders_Q4[[#This Row],[Del Date]]-orders_Q4[[#This Row],[Order Date]]</f>
        <v>10</v>
      </c>
      <c r="AF44" t="str">
        <f>IF(OR(orders_Q4[[#This Row],[Delivery_time]]&gt;30,orders_Q4[[#This Row],[Delivery_time]]&lt;0),"Invalid_delivery_time","OK")</f>
        <v>OK</v>
      </c>
      <c r="AG44" s="20">
        <f>IF(
   AND(NOT(ISBLANK(orders_Q4[[#This Row],[return_received]])), NOT(ISBLANK(orders_Q4[[#This Row],[Del Date]]))),
   orders_Q4[[#This Row],[return_received]] - orders_Q4[[#This Row],[Del Date]],0)</f>
        <v>0</v>
      </c>
      <c r="AH44" t="str">
        <f>TEXT(orders_Q4[[#This Row],[Order Date]],"mmm-yyyy")</f>
        <v>Oct-2024</v>
      </c>
      <c r="AI44" s="1" t="str">
        <f>TEXT(orders_Q4[[#This Row],[Order Date]],"yyyy") &amp; "-" &amp; WEEKNUM(orders_Q4[[#This Row],[Order Date]])</f>
        <v>2024-41</v>
      </c>
      <c r="AJ44" t="str">
        <f>IF(orders_Q4[[#This Row],[Payment]]="COD","COD","Prepaid")</f>
        <v>Prepaid</v>
      </c>
    </row>
    <row r="45" spans="1:36" x14ac:dyDescent="0.3">
      <c r="A45" t="s">
        <v>743</v>
      </c>
      <c r="B45" s="1">
        <v>45575</v>
      </c>
      <c r="C45" t="s">
        <v>744</v>
      </c>
      <c r="D45" t="s">
        <v>25</v>
      </c>
      <c r="E45" t="s">
        <v>745</v>
      </c>
      <c r="F45" t="s">
        <v>61</v>
      </c>
      <c r="G45" t="s">
        <v>746</v>
      </c>
      <c r="H45">
        <v>4199</v>
      </c>
      <c r="I45">
        <v>1</v>
      </c>
      <c r="J45">
        <v>4199</v>
      </c>
      <c r="L45">
        <v>0</v>
      </c>
      <c r="M45" t="s">
        <v>29</v>
      </c>
      <c r="N45" t="s">
        <v>44</v>
      </c>
      <c r="O45" t="s">
        <v>177</v>
      </c>
      <c r="P45" t="s">
        <v>67</v>
      </c>
      <c r="Q45" t="s">
        <v>56</v>
      </c>
      <c r="R45" s="1">
        <v>45621</v>
      </c>
      <c r="S45" t="s">
        <v>33</v>
      </c>
      <c r="T45" t="s">
        <v>46</v>
      </c>
      <c r="U45" t="s">
        <v>68</v>
      </c>
      <c r="V45" s="1">
        <v>45650</v>
      </c>
      <c r="W45" t="s">
        <v>48</v>
      </c>
      <c r="X45" t="str">
        <f>IF(OR(orders_Q4[[#This Row],[Qty]]&gt;5,orders_Q4[[#This Row],[Qty]]&lt;0),"Invalid Quantity","OK")</f>
        <v>OK</v>
      </c>
      <c r="Y45" t="b">
        <f>OR(orders_Q4[[#This Row],[Unit Price]]&gt;20000,orders_Q4[[#This Row],[Unit Price]]&lt;0,orders_Q4[[#This Row],[Unit Price]]=0)</f>
        <v>0</v>
      </c>
      <c r="Z4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45">
        <f>orders_Q4[[#This Row],[Unit Price]] * orders_Q4[[#This Row],[Qty]] * (1 - orders_Q4[[#This Row],[Disc %]]/100)</f>
        <v>4199</v>
      </c>
      <c r="AB45" t="str">
        <f>IF(ABS(orders_Q4[[#This Row],[Total]] - orders_Q4[[#This Row],[Calculated_order_total]]) &gt; 1, "Mismatch", "OK")</f>
        <v>OK</v>
      </c>
      <c r="AC45">
        <f>COUNTIF(C:C,orders_Q4[[#This Row],[Customer ID]])</f>
        <v>1</v>
      </c>
      <c r="AD45" t="str">
        <f>IF(AND(orders_Q4[[#This Row],[Type]]="New",orders_Q4[[#This Row],[Customer_id_count]]&gt;1),"Existing customer","OK")</f>
        <v>OK</v>
      </c>
      <c r="AE45">
        <f>orders_Q4[[#This Row],[Del Date]]-orders_Q4[[#This Row],[Order Date]]</f>
        <v>46</v>
      </c>
      <c r="AF45" t="str">
        <f>IF(OR(orders_Q4[[#This Row],[Delivery_time]]&gt;30,orders_Q4[[#This Row],[Delivery_time]]&lt;0),"Invalid_delivery_time","OK")</f>
        <v>Invalid_delivery_time</v>
      </c>
      <c r="AG45" s="20">
        <f>IF(
   AND(NOT(ISBLANK(orders_Q4[[#This Row],[return_received]])), NOT(ISBLANK(orders_Q4[[#This Row],[Del Date]]))),
   orders_Q4[[#This Row],[return_received]] - orders_Q4[[#This Row],[Del Date]],0)</f>
        <v>29</v>
      </c>
      <c r="AH45" t="str">
        <f>TEXT(orders_Q4[[#This Row],[Order Date]],"mmm-yyyy")</f>
        <v>Oct-2024</v>
      </c>
      <c r="AI45" s="1" t="str">
        <f>TEXT(orders_Q4[[#This Row],[Order Date]],"yyyy") &amp; "-" &amp; WEEKNUM(orders_Q4[[#This Row],[Order Date]])</f>
        <v>2024-41</v>
      </c>
      <c r="AJ45" t="str">
        <f>IF(orders_Q4[[#This Row],[Payment]]="COD","COD","Prepaid")</f>
        <v>Prepaid</v>
      </c>
    </row>
    <row r="46" spans="1:36" x14ac:dyDescent="0.3">
      <c r="A46" t="s">
        <v>267</v>
      </c>
      <c r="B46" s="1">
        <v>45576</v>
      </c>
      <c r="C46" t="s">
        <v>268</v>
      </c>
      <c r="D46" t="s">
        <v>25</v>
      </c>
      <c r="E46" t="s">
        <v>269</v>
      </c>
      <c r="F46" t="s">
        <v>71</v>
      </c>
      <c r="G46" t="s">
        <v>270</v>
      </c>
      <c r="H46">
        <v>1899</v>
      </c>
      <c r="I46">
        <v>1</v>
      </c>
      <c r="J46">
        <v>1899</v>
      </c>
      <c r="L46">
        <v>0</v>
      </c>
      <c r="M46" t="s">
        <v>64</v>
      </c>
      <c r="N46" t="s">
        <v>65</v>
      </c>
      <c r="O46" t="s">
        <v>137</v>
      </c>
      <c r="P46" t="s">
        <v>113</v>
      </c>
      <c r="Q46" t="s">
        <v>45</v>
      </c>
      <c r="R46" s="1">
        <v>45586</v>
      </c>
      <c r="S46" t="s">
        <v>33</v>
      </c>
      <c r="T46" t="s">
        <v>46</v>
      </c>
      <c r="U46" t="s">
        <v>138</v>
      </c>
      <c r="V46" s="1">
        <v>45608</v>
      </c>
      <c r="W46" t="s">
        <v>48</v>
      </c>
      <c r="X46" t="str">
        <f>IF(OR(orders_Q4[[#This Row],[Qty]]&gt;5,orders_Q4[[#This Row],[Qty]]&lt;0),"Invalid Quantity","OK")</f>
        <v>OK</v>
      </c>
      <c r="Y46" t="b">
        <f>OR(orders_Q4[[#This Row],[Unit Price]]&gt;20000,orders_Q4[[#This Row],[Unit Price]]&lt;0,orders_Q4[[#This Row],[Unit Price]]=0)</f>
        <v>0</v>
      </c>
      <c r="Z4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46">
        <f>orders_Q4[[#This Row],[Unit Price]] * orders_Q4[[#This Row],[Qty]] * (1 - orders_Q4[[#This Row],[Disc %]]/100)</f>
        <v>1899</v>
      </c>
      <c r="AB46" t="str">
        <f>IF(ABS(orders_Q4[[#This Row],[Total]] - orders_Q4[[#This Row],[Calculated_order_total]]) &gt; 1, "Mismatch", "OK")</f>
        <v>OK</v>
      </c>
      <c r="AC46">
        <f>COUNTIF(C:C,orders_Q4[[#This Row],[Customer ID]])</f>
        <v>1</v>
      </c>
      <c r="AD46" t="str">
        <f>IF(AND(orders_Q4[[#This Row],[Type]]="New",orders_Q4[[#This Row],[Customer_id_count]]&gt;1),"Existing customer","OK")</f>
        <v>OK</v>
      </c>
      <c r="AE46">
        <f>orders_Q4[[#This Row],[Del Date]]-orders_Q4[[#This Row],[Order Date]]</f>
        <v>10</v>
      </c>
      <c r="AF46" t="str">
        <f>IF(OR(orders_Q4[[#This Row],[Delivery_time]]&gt;30,orders_Q4[[#This Row],[Delivery_time]]&lt;0),"Invalid_delivery_time","OK")</f>
        <v>OK</v>
      </c>
      <c r="AG46" s="20">
        <f>IF(
   AND(NOT(ISBLANK(orders_Q4[[#This Row],[return_received]])), NOT(ISBLANK(orders_Q4[[#This Row],[Del Date]]))),
   orders_Q4[[#This Row],[return_received]] - orders_Q4[[#This Row],[Del Date]],0)</f>
        <v>22</v>
      </c>
      <c r="AH46" t="str">
        <f>TEXT(orders_Q4[[#This Row],[Order Date]],"mmm-yyyy")</f>
        <v>Oct-2024</v>
      </c>
      <c r="AI46" s="1" t="str">
        <f>TEXT(orders_Q4[[#This Row],[Order Date]],"yyyy") &amp; "-" &amp; WEEKNUM(orders_Q4[[#This Row],[Order Date]])</f>
        <v>2024-41</v>
      </c>
      <c r="AJ46" t="str">
        <f>IF(orders_Q4[[#This Row],[Payment]]="COD","COD","Prepaid")</f>
        <v>Prepaid</v>
      </c>
    </row>
    <row r="47" spans="1:36" x14ac:dyDescent="0.3">
      <c r="A47" t="s">
        <v>271</v>
      </c>
      <c r="B47" s="1">
        <v>45576</v>
      </c>
      <c r="C47" t="s">
        <v>272</v>
      </c>
      <c r="D47" t="s">
        <v>25</v>
      </c>
      <c r="E47" t="s">
        <v>273</v>
      </c>
      <c r="F47" t="s">
        <v>53</v>
      </c>
      <c r="G47" t="s">
        <v>274</v>
      </c>
      <c r="H47">
        <v>1999</v>
      </c>
      <c r="I47">
        <v>1</v>
      </c>
      <c r="J47">
        <v>1999</v>
      </c>
      <c r="K47" t="s">
        <v>63</v>
      </c>
      <c r="L47">
        <v>15</v>
      </c>
      <c r="M47" t="s">
        <v>29</v>
      </c>
      <c r="N47" t="s">
        <v>44</v>
      </c>
      <c r="O47" t="s">
        <v>143</v>
      </c>
      <c r="P47" t="s">
        <v>144</v>
      </c>
      <c r="Q47" t="s">
        <v>45</v>
      </c>
      <c r="R47" s="1">
        <v>45584</v>
      </c>
      <c r="S47" t="s">
        <v>33</v>
      </c>
      <c r="T47" t="s">
        <v>34</v>
      </c>
      <c r="W47" t="s">
        <v>35</v>
      </c>
      <c r="X47" t="str">
        <f>IF(OR(orders_Q4[[#This Row],[Qty]]&gt;5,orders_Q4[[#This Row],[Qty]]&lt;0),"Invalid Quantity","OK")</f>
        <v>OK</v>
      </c>
      <c r="Y47" t="b">
        <f>OR(orders_Q4[[#This Row],[Unit Price]]&gt;20000,orders_Q4[[#This Row],[Unit Price]]&lt;0,orders_Q4[[#This Row],[Unit Price]]=0)</f>
        <v>0</v>
      </c>
      <c r="Z4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47">
        <f>orders_Q4[[#This Row],[Unit Price]] * orders_Q4[[#This Row],[Qty]] * (1 - orders_Q4[[#This Row],[Disc %]]/100)</f>
        <v>1699.1499999999999</v>
      </c>
      <c r="AB47" t="str">
        <f>IF(ABS(orders_Q4[[#This Row],[Total]] - orders_Q4[[#This Row],[Calculated_order_total]]) &gt; 1, "Mismatch", "OK")</f>
        <v>Mismatch</v>
      </c>
      <c r="AC47">
        <f>COUNTIF(C:C,orders_Q4[[#This Row],[Customer ID]])</f>
        <v>1</v>
      </c>
      <c r="AD47" t="str">
        <f>IF(AND(orders_Q4[[#This Row],[Type]]="New",orders_Q4[[#This Row],[Customer_id_count]]&gt;1),"Existing customer","OK")</f>
        <v>OK</v>
      </c>
      <c r="AE47">
        <f>orders_Q4[[#This Row],[Del Date]]-orders_Q4[[#This Row],[Order Date]]</f>
        <v>8</v>
      </c>
      <c r="AF47" t="str">
        <f>IF(OR(orders_Q4[[#This Row],[Delivery_time]]&gt;30,orders_Q4[[#This Row],[Delivery_time]]&lt;0),"Invalid_delivery_time","OK")</f>
        <v>OK</v>
      </c>
      <c r="AG47" s="20">
        <f>IF(
   AND(NOT(ISBLANK(orders_Q4[[#This Row],[return_received]])), NOT(ISBLANK(orders_Q4[[#This Row],[Del Date]]))),
   orders_Q4[[#This Row],[return_received]] - orders_Q4[[#This Row],[Del Date]],0)</f>
        <v>0</v>
      </c>
      <c r="AH47" t="str">
        <f>TEXT(orders_Q4[[#This Row],[Order Date]],"mmm-yyyy")</f>
        <v>Oct-2024</v>
      </c>
      <c r="AI47" s="1" t="str">
        <f>TEXT(orders_Q4[[#This Row],[Order Date]],"yyyy") &amp; "-" &amp; WEEKNUM(orders_Q4[[#This Row],[Order Date]])</f>
        <v>2024-41</v>
      </c>
      <c r="AJ47" t="str">
        <f>IF(orders_Q4[[#This Row],[Payment]]="COD","COD","Prepaid")</f>
        <v>Prepaid</v>
      </c>
    </row>
    <row r="48" spans="1:36" x14ac:dyDescent="0.3">
      <c r="A48" t="s">
        <v>275</v>
      </c>
      <c r="B48" s="1">
        <v>45576</v>
      </c>
      <c r="C48" t="s">
        <v>276</v>
      </c>
      <c r="D48" t="s">
        <v>38</v>
      </c>
      <c r="E48" t="s">
        <v>277</v>
      </c>
      <c r="F48" t="s">
        <v>40</v>
      </c>
      <c r="G48" t="s">
        <v>278</v>
      </c>
      <c r="H48">
        <v>2599</v>
      </c>
      <c r="I48">
        <v>1</v>
      </c>
      <c r="J48">
        <v>2599</v>
      </c>
      <c r="L48">
        <v>0</v>
      </c>
      <c r="M48" t="s">
        <v>43</v>
      </c>
      <c r="N48" t="s">
        <v>30</v>
      </c>
      <c r="O48" t="s">
        <v>150</v>
      </c>
      <c r="P48" t="s">
        <v>151</v>
      </c>
      <c r="Q48" t="s">
        <v>31</v>
      </c>
      <c r="R48" s="1">
        <v>45585</v>
      </c>
      <c r="S48" t="s">
        <v>33</v>
      </c>
      <c r="T48" t="s">
        <v>34</v>
      </c>
      <c r="W48" t="s">
        <v>35</v>
      </c>
      <c r="X48" t="str">
        <f>IF(OR(orders_Q4[[#This Row],[Qty]]&gt;5,orders_Q4[[#This Row],[Qty]]&lt;0),"Invalid Quantity","OK")</f>
        <v>OK</v>
      </c>
      <c r="Y48" t="b">
        <f>OR(orders_Q4[[#This Row],[Unit Price]]&gt;20000,orders_Q4[[#This Row],[Unit Price]]&lt;0,orders_Q4[[#This Row],[Unit Price]]=0)</f>
        <v>0</v>
      </c>
      <c r="Z4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48">
        <f>orders_Q4[[#This Row],[Unit Price]] * orders_Q4[[#This Row],[Qty]] * (1 - orders_Q4[[#This Row],[Disc %]]/100)</f>
        <v>2599</v>
      </c>
      <c r="AB48" t="str">
        <f>IF(ABS(orders_Q4[[#This Row],[Total]] - orders_Q4[[#This Row],[Calculated_order_total]]) &gt; 1, "Mismatch", "OK")</f>
        <v>OK</v>
      </c>
      <c r="AC48">
        <f>COUNTIF(C:C,orders_Q4[[#This Row],[Customer ID]])</f>
        <v>1</v>
      </c>
      <c r="AD48" t="str">
        <f>IF(AND(orders_Q4[[#This Row],[Type]]="New",orders_Q4[[#This Row],[Customer_id_count]]&gt;1),"Existing customer","OK")</f>
        <v>OK</v>
      </c>
      <c r="AE48">
        <f>orders_Q4[[#This Row],[Del Date]]-orders_Q4[[#This Row],[Order Date]]</f>
        <v>9</v>
      </c>
      <c r="AF48" t="str">
        <f>IF(OR(orders_Q4[[#This Row],[Delivery_time]]&gt;30,orders_Q4[[#This Row],[Delivery_time]]&lt;0),"Invalid_delivery_time","OK")</f>
        <v>OK</v>
      </c>
      <c r="AG48" s="20">
        <f>IF(
   AND(NOT(ISBLANK(orders_Q4[[#This Row],[return_received]])), NOT(ISBLANK(orders_Q4[[#This Row],[Del Date]]))),
   orders_Q4[[#This Row],[return_received]] - orders_Q4[[#This Row],[Del Date]],0)</f>
        <v>0</v>
      </c>
      <c r="AH48" t="str">
        <f>TEXT(orders_Q4[[#This Row],[Order Date]],"mmm-yyyy")</f>
        <v>Oct-2024</v>
      </c>
      <c r="AI48" s="1" t="str">
        <f>TEXT(orders_Q4[[#This Row],[Order Date]],"yyyy") &amp; "-" &amp; WEEKNUM(orders_Q4[[#This Row],[Order Date]])</f>
        <v>2024-41</v>
      </c>
      <c r="AJ48" t="str">
        <f>IF(orders_Q4[[#This Row],[Payment]]="COD","COD","Prepaid")</f>
        <v>Prepaid</v>
      </c>
    </row>
    <row r="49" spans="1:36" x14ac:dyDescent="0.3">
      <c r="A49" t="s">
        <v>279</v>
      </c>
      <c r="B49" s="1">
        <v>45576</v>
      </c>
      <c r="C49" t="s">
        <v>280</v>
      </c>
      <c r="D49" t="s">
        <v>25</v>
      </c>
      <c r="E49" t="s">
        <v>281</v>
      </c>
      <c r="F49" t="s">
        <v>27</v>
      </c>
      <c r="G49" t="s">
        <v>282</v>
      </c>
      <c r="H49">
        <v>1299</v>
      </c>
      <c r="I49">
        <v>1</v>
      </c>
      <c r="J49">
        <v>1299</v>
      </c>
      <c r="L49">
        <v>0</v>
      </c>
      <c r="M49" t="s">
        <v>55</v>
      </c>
      <c r="N49" t="s">
        <v>65</v>
      </c>
      <c r="O49" t="s">
        <v>156</v>
      </c>
      <c r="P49" t="s">
        <v>97</v>
      </c>
      <c r="Q49" t="s">
        <v>31</v>
      </c>
      <c r="S49" t="s">
        <v>120</v>
      </c>
      <c r="T49" t="s">
        <v>34</v>
      </c>
      <c r="W49" t="s">
        <v>35</v>
      </c>
      <c r="X49" t="str">
        <f>IF(OR(orders_Q4[[#This Row],[Qty]]&gt;5,orders_Q4[[#This Row],[Qty]]&lt;0),"Invalid Quantity","OK")</f>
        <v>OK</v>
      </c>
      <c r="Y49" t="b">
        <f>OR(orders_Q4[[#This Row],[Unit Price]]&gt;20000,orders_Q4[[#This Row],[Unit Price]]&lt;0,orders_Q4[[#This Row],[Unit Price]]=0)</f>
        <v>0</v>
      </c>
      <c r="Z4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49">
        <f>orders_Q4[[#This Row],[Unit Price]] * orders_Q4[[#This Row],[Qty]] * (1 - orders_Q4[[#This Row],[Disc %]]/100)</f>
        <v>1299</v>
      </c>
      <c r="AB49" t="str">
        <f>IF(ABS(orders_Q4[[#This Row],[Total]] - orders_Q4[[#This Row],[Calculated_order_total]]) &gt; 1, "Mismatch", "OK")</f>
        <v>OK</v>
      </c>
      <c r="AC49">
        <f>COUNTIF(C:C,orders_Q4[[#This Row],[Customer ID]])</f>
        <v>1</v>
      </c>
      <c r="AD49" t="str">
        <f>IF(AND(orders_Q4[[#This Row],[Type]]="New",orders_Q4[[#This Row],[Customer_id_count]]&gt;1),"Existing customer","OK")</f>
        <v>OK</v>
      </c>
      <c r="AE49">
        <f>orders_Q4[[#This Row],[Del Date]]-orders_Q4[[#This Row],[Order Date]]</f>
        <v>-45576</v>
      </c>
      <c r="AF49" t="str">
        <f>IF(OR(orders_Q4[[#This Row],[Delivery_time]]&gt;30,orders_Q4[[#This Row],[Delivery_time]]&lt;0),"Invalid_delivery_time","OK")</f>
        <v>Invalid_delivery_time</v>
      </c>
      <c r="AG49" s="20">
        <f>IF(
   AND(NOT(ISBLANK(orders_Q4[[#This Row],[return_received]])), NOT(ISBLANK(orders_Q4[[#This Row],[Del Date]]))),
   orders_Q4[[#This Row],[return_received]] - orders_Q4[[#This Row],[Del Date]],0)</f>
        <v>0</v>
      </c>
      <c r="AH49" t="str">
        <f>TEXT(orders_Q4[[#This Row],[Order Date]],"mmm-yyyy")</f>
        <v>Oct-2024</v>
      </c>
      <c r="AI49" s="1" t="str">
        <f>TEXT(orders_Q4[[#This Row],[Order Date]],"yyyy") &amp; "-" &amp; WEEKNUM(orders_Q4[[#This Row],[Order Date]])</f>
        <v>2024-41</v>
      </c>
      <c r="AJ49" t="str">
        <f>IF(orders_Q4[[#This Row],[Payment]]="COD","COD","Prepaid")</f>
        <v>COD</v>
      </c>
    </row>
    <row r="50" spans="1:36" x14ac:dyDescent="0.3">
      <c r="A50" t="s">
        <v>283</v>
      </c>
      <c r="B50" s="1">
        <v>45577</v>
      </c>
      <c r="C50" t="s">
        <v>284</v>
      </c>
      <c r="D50" t="s">
        <v>25</v>
      </c>
      <c r="E50" t="s">
        <v>285</v>
      </c>
      <c r="F50" t="s">
        <v>61</v>
      </c>
      <c r="G50" t="s">
        <v>286</v>
      </c>
      <c r="H50">
        <v>5999</v>
      </c>
      <c r="I50">
        <v>1</v>
      </c>
      <c r="J50">
        <v>5999</v>
      </c>
      <c r="K50" t="s">
        <v>42</v>
      </c>
      <c r="L50">
        <v>20</v>
      </c>
      <c r="M50" t="s">
        <v>43</v>
      </c>
      <c r="N50" t="s">
        <v>44</v>
      </c>
      <c r="O50" t="s">
        <v>161</v>
      </c>
      <c r="P50" t="s">
        <v>162</v>
      </c>
      <c r="Q50" t="s">
        <v>45</v>
      </c>
      <c r="R50" s="1">
        <v>45587</v>
      </c>
      <c r="S50" t="s">
        <v>33</v>
      </c>
      <c r="T50" t="s">
        <v>46</v>
      </c>
      <c r="U50" t="s">
        <v>47</v>
      </c>
      <c r="V50" s="1">
        <v>45611</v>
      </c>
      <c r="W50" t="s">
        <v>48</v>
      </c>
      <c r="X50" t="str">
        <f>IF(OR(orders_Q4[[#This Row],[Qty]]&gt;5,orders_Q4[[#This Row],[Qty]]&lt;0),"Invalid Quantity","OK")</f>
        <v>OK</v>
      </c>
      <c r="Y50" t="b">
        <f>OR(orders_Q4[[#This Row],[Unit Price]]&gt;20000,orders_Q4[[#This Row],[Unit Price]]&lt;0,orders_Q4[[#This Row],[Unit Price]]=0)</f>
        <v>0</v>
      </c>
      <c r="Z5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50">
        <f>orders_Q4[[#This Row],[Unit Price]] * orders_Q4[[#This Row],[Qty]] * (1 - orders_Q4[[#This Row],[Disc %]]/100)</f>
        <v>4799.2</v>
      </c>
      <c r="AB50" t="str">
        <f>IF(ABS(orders_Q4[[#This Row],[Total]] - orders_Q4[[#This Row],[Calculated_order_total]]) &gt; 1, "Mismatch", "OK")</f>
        <v>Mismatch</v>
      </c>
      <c r="AC50">
        <f>COUNTIF(C:C,orders_Q4[[#This Row],[Customer ID]])</f>
        <v>1</v>
      </c>
      <c r="AD50" t="str">
        <f>IF(AND(orders_Q4[[#This Row],[Type]]="New",orders_Q4[[#This Row],[Customer_id_count]]&gt;1),"Existing customer","OK")</f>
        <v>OK</v>
      </c>
      <c r="AE50">
        <f>orders_Q4[[#This Row],[Del Date]]-orders_Q4[[#This Row],[Order Date]]</f>
        <v>10</v>
      </c>
      <c r="AF50" t="str">
        <f>IF(OR(orders_Q4[[#This Row],[Delivery_time]]&gt;30,orders_Q4[[#This Row],[Delivery_time]]&lt;0),"Invalid_delivery_time","OK")</f>
        <v>OK</v>
      </c>
      <c r="AG50" s="20">
        <f>IF(
   AND(NOT(ISBLANK(orders_Q4[[#This Row],[return_received]])), NOT(ISBLANK(orders_Q4[[#This Row],[Del Date]]))),
   orders_Q4[[#This Row],[return_received]] - orders_Q4[[#This Row],[Del Date]],0)</f>
        <v>24</v>
      </c>
      <c r="AH50" t="str">
        <f>TEXT(orders_Q4[[#This Row],[Order Date]],"mmm-yyyy")</f>
        <v>Oct-2024</v>
      </c>
      <c r="AI50" s="1" t="str">
        <f>TEXT(orders_Q4[[#This Row],[Order Date]],"yyyy") &amp; "-" &amp; WEEKNUM(orders_Q4[[#This Row],[Order Date]])</f>
        <v>2024-41</v>
      </c>
      <c r="AJ50" t="str">
        <f>IF(orders_Q4[[#This Row],[Payment]]="COD","COD","Prepaid")</f>
        <v>Prepaid</v>
      </c>
    </row>
    <row r="51" spans="1:36" x14ac:dyDescent="0.3">
      <c r="A51" t="s">
        <v>287</v>
      </c>
      <c r="B51" s="1">
        <v>45577</v>
      </c>
      <c r="C51" t="s">
        <v>288</v>
      </c>
      <c r="D51" t="s">
        <v>25</v>
      </c>
      <c r="E51" t="s">
        <v>289</v>
      </c>
      <c r="F51" t="s">
        <v>71</v>
      </c>
      <c r="G51" t="s">
        <v>290</v>
      </c>
      <c r="H51">
        <v>799</v>
      </c>
      <c r="I51">
        <v>2</v>
      </c>
      <c r="J51">
        <v>1598</v>
      </c>
      <c r="L51">
        <v>0</v>
      </c>
      <c r="M51" t="s">
        <v>29</v>
      </c>
      <c r="N51" t="s">
        <v>30</v>
      </c>
      <c r="O51" t="s">
        <v>167</v>
      </c>
      <c r="P51" t="s">
        <v>151</v>
      </c>
      <c r="Q51" t="s">
        <v>31</v>
      </c>
      <c r="R51" s="1">
        <v>45585</v>
      </c>
      <c r="S51" t="s">
        <v>33</v>
      </c>
      <c r="T51" t="s">
        <v>34</v>
      </c>
      <c r="W51" t="s">
        <v>35</v>
      </c>
      <c r="X51" t="str">
        <f>IF(OR(orders_Q4[[#This Row],[Qty]]&gt;5,orders_Q4[[#This Row],[Qty]]&lt;0),"Invalid Quantity","OK")</f>
        <v>OK</v>
      </c>
      <c r="Y51" t="b">
        <f>OR(orders_Q4[[#This Row],[Unit Price]]&gt;20000,orders_Q4[[#This Row],[Unit Price]]&lt;0,orders_Q4[[#This Row],[Unit Price]]=0)</f>
        <v>0</v>
      </c>
      <c r="Z5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51">
        <f>orders_Q4[[#This Row],[Unit Price]] * orders_Q4[[#This Row],[Qty]] * (1 - orders_Q4[[#This Row],[Disc %]]/100)</f>
        <v>1598</v>
      </c>
      <c r="AB51" t="str">
        <f>IF(ABS(orders_Q4[[#This Row],[Total]] - orders_Q4[[#This Row],[Calculated_order_total]]) &gt; 1, "Mismatch", "OK")</f>
        <v>OK</v>
      </c>
      <c r="AC51">
        <f>COUNTIF(C:C,orders_Q4[[#This Row],[Customer ID]])</f>
        <v>1</v>
      </c>
      <c r="AD51" t="str">
        <f>IF(AND(orders_Q4[[#This Row],[Type]]="New",orders_Q4[[#This Row],[Customer_id_count]]&gt;1),"Existing customer","OK")</f>
        <v>OK</v>
      </c>
      <c r="AE51">
        <f>orders_Q4[[#This Row],[Del Date]]-orders_Q4[[#This Row],[Order Date]]</f>
        <v>8</v>
      </c>
      <c r="AF51" t="str">
        <f>IF(OR(orders_Q4[[#This Row],[Delivery_time]]&gt;30,orders_Q4[[#This Row],[Delivery_time]]&lt;0),"Invalid_delivery_time","OK")</f>
        <v>OK</v>
      </c>
      <c r="AG51" s="20">
        <f>IF(
   AND(NOT(ISBLANK(orders_Q4[[#This Row],[return_received]])), NOT(ISBLANK(orders_Q4[[#This Row],[Del Date]]))),
   orders_Q4[[#This Row],[return_received]] - orders_Q4[[#This Row],[Del Date]],0)</f>
        <v>0</v>
      </c>
      <c r="AH51" t="str">
        <f>TEXT(orders_Q4[[#This Row],[Order Date]],"mmm-yyyy")</f>
        <v>Oct-2024</v>
      </c>
      <c r="AI51" s="1" t="str">
        <f>TEXT(orders_Q4[[#This Row],[Order Date]],"yyyy") &amp; "-" &amp; WEEKNUM(orders_Q4[[#This Row],[Order Date]])</f>
        <v>2024-41</v>
      </c>
      <c r="AJ51" t="str">
        <f>IF(orders_Q4[[#This Row],[Payment]]="COD","COD","Prepaid")</f>
        <v>Prepaid</v>
      </c>
    </row>
    <row r="52" spans="1:36" x14ac:dyDescent="0.3">
      <c r="A52" t="s">
        <v>291</v>
      </c>
      <c r="B52" s="1">
        <v>45577</v>
      </c>
      <c r="C52" t="s">
        <v>292</v>
      </c>
      <c r="D52" t="s">
        <v>38</v>
      </c>
      <c r="E52" t="s">
        <v>293</v>
      </c>
      <c r="F52" t="s">
        <v>53</v>
      </c>
      <c r="G52" t="s">
        <v>294</v>
      </c>
      <c r="H52">
        <v>999</v>
      </c>
      <c r="I52">
        <v>2</v>
      </c>
      <c r="J52">
        <v>1998</v>
      </c>
      <c r="L52">
        <v>0</v>
      </c>
      <c r="M52" t="s">
        <v>111</v>
      </c>
      <c r="N52" t="s">
        <v>44</v>
      </c>
      <c r="O52" t="s">
        <v>172</v>
      </c>
      <c r="P52" t="s">
        <v>32</v>
      </c>
      <c r="Q52" t="s">
        <v>31</v>
      </c>
      <c r="R52" s="1">
        <v>45584</v>
      </c>
      <c r="S52" t="s">
        <v>33</v>
      </c>
      <c r="T52" t="s">
        <v>34</v>
      </c>
      <c r="W52" t="s">
        <v>35</v>
      </c>
      <c r="X52" t="str">
        <f>IF(OR(orders_Q4[[#This Row],[Qty]]&gt;5,orders_Q4[[#This Row],[Qty]]&lt;0),"Invalid Quantity","OK")</f>
        <v>OK</v>
      </c>
      <c r="Y52" t="b">
        <f>OR(orders_Q4[[#This Row],[Unit Price]]&gt;20000,orders_Q4[[#This Row],[Unit Price]]&lt;0,orders_Q4[[#This Row],[Unit Price]]=0)</f>
        <v>0</v>
      </c>
      <c r="Z5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52">
        <f>orders_Q4[[#This Row],[Unit Price]] * orders_Q4[[#This Row],[Qty]] * (1 - orders_Q4[[#This Row],[Disc %]]/100)</f>
        <v>1998</v>
      </c>
      <c r="AB52" t="str">
        <f>IF(ABS(orders_Q4[[#This Row],[Total]] - orders_Q4[[#This Row],[Calculated_order_total]]) &gt; 1, "Mismatch", "OK")</f>
        <v>OK</v>
      </c>
      <c r="AC52">
        <f>COUNTIF(C:C,orders_Q4[[#This Row],[Customer ID]])</f>
        <v>1</v>
      </c>
      <c r="AD52" t="str">
        <f>IF(AND(orders_Q4[[#This Row],[Type]]="New",orders_Q4[[#This Row],[Customer_id_count]]&gt;1),"Existing customer","OK")</f>
        <v>OK</v>
      </c>
      <c r="AE52">
        <f>orders_Q4[[#This Row],[Del Date]]-orders_Q4[[#This Row],[Order Date]]</f>
        <v>7</v>
      </c>
      <c r="AF52" t="str">
        <f>IF(OR(orders_Q4[[#This Row],[Delivery_time]]&gt;30,orders_Q4[[#This Row],[Delivery_time]]&lt;0),"Invalid_delivery_time","OK")</f>
        <v>OK</v>
      </c>
      <c r="AG52" s="20">
        <f>IF(
   AND(NOT(ISBLANK(orders_Q4[[#This Row],[return_received]])), NOT(ISBLANK(orders_Q4[[#This Row],[Del Date]]))),
   orders_Q4[[#This Row],[return_received]] - orders_Q4[[#This Row],[Del Date]],0)</f>
        <v>0</v>
      </c>
      <c r="AH52" t="str">
        <f>TEXT(orders_Q4[[#This Row],[Order Date]],"mmm-yyyy")</f>
        <v>Oct-2024</v>
      </c>
      <c r="AI52" s="1" t="str">
        <f>TEXT(orders_Q4[[#This Row],[Order Date]],"yyyy") &amp; "-" &amp; WEEKNUM(orders_Q4[[#This Row],[Order Date]])</f>
        <v>2024-41</v>
      </c>
      <c r="AJ52" t="str">
        <f>IF(orders_Q4[[#This Row],[Payment]]="COD","COD","Prepaid")</f>
        <v>Prepaid</v>
      </c>
    </row>
    <row r="53" spans="1:36" x14ac:dyDescent="0.3">
      <c r="A53" t="s">
        <v>295</v>
      </c>
      <c r="B53" s="1">
        <v>45577</v>
      </c>
      <c r="C53" t="s">
        <v>296</v>
      </c>
      <c r="D53" t="s">
        <v>25</v>
      </c>
      <c r="E53" t="s">
        <v>297</v>
      </c>
      <c r="F53" t="s">
        <v>40</v>
      </c>
      <c r="G53" t="s">
        <v>298</v>
      </c>
      <c r="H53">
        <v>1899</v>
      </c>
      <c r="I53">
        <v>1</v>
      </c>
      <c r="J53">
        <v>1899</v>
      </c>
      <c r="L53">
        <v>0</v>
      </c>
      <c r="M53" t="s">
        <v>64</v>
      </c>
      <c r="N53" t="s">
        <v>65</v>
      </c>
      <c r="O53" t="s">
        <v>177</v>
      </c>
      <c r="P53" t="s">
        <v>67</v>
      </c>
      <c r="Q53" t="s">
        <v>56</v>
      </c>
      <c r="R53" s="1">
        <v>45587</v>
      </c>
      <c r="S53" t="s">
        <v>33</v>
      </c>
      <c r="T53" t="s">
        <v>46</v>
      </c>
      <c r="U53" t="s">
        <v>68</v>
      </c>
      <c r="V53" s="1">
        <v>45610</v>
      </c>
      <c r="W53" t="s">
        <v>48</v>
      </c>
      <c r="X53" t="str">
        <f>IF(OR(orders_Q4[[#This Row],[Qty]]&gt;5,orders_Q4[[#This Row],[Qty]]&lt;0),"Invalid Quantity","OK")</f>
        <v>OK</v>
      </c>
      <c r="Y53" t="b">
        <f>OR(orders_Q4[[#This Row],[Unit Price]]&gt;20000,orders_Q4[[#This Row],[Unit Price]]&lt;0,orders_Q4[[#This Row],[Unit Price]]=0)</f>
        <v>0</v>
      </c>
      <c r="Z5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53">
        <f>orders_Q4[[#This Row],[Unit Price]] * orders_Q4[[#This Row],[Qty]] * (1 - orders_Q4[[#This Row],[Disc %]]/100)</f>
        <v>1899</v>
      </c>
      <c r="AB53" t="str">
        <f>IF(ABS(orders_Q4[[#This Row],[Total]] - orders_Q4[[#This Row],[Calculated_order_total]]) &gt; 1, "Mismatch", "OK")</f>
        <v>OK</v>
      </c>
      <c r="AC53">
        <f>COUNTIF(C:C,orders_Q4[[#This Row],[Customer ID]])</f>
        <v>1</v>
      </c>
      <c r="AD53" t="str">
        <f>IF(AND(orders_Q4[[#This Row],[Type]]="New",orders_Q4[[#This Row],[Customer_id_count]]&gt;1),"Existing customer","OK")</f>
        <v>OK</v>
      </c>
      <c r="AE53">
        <f>orders_Q4[[#This Row],[Del Date]]-orders_Q4[[#This Row],[Order Date]]</f>
        <v>10</v>
      </c>
      <c r="AF53" t="str">
        <f>IF(OR(orders_Q4[[#This Row],[Delivery_time]]&gt;30,orders_Q4[[#This Row],[Delivery_time]]&lt;0),"Invalid_delivery_time","OK")</f>
        <v>OK</v>
      </c>
      <c r="AG53" s="20">
        <f>IF(
   AND(NOT(ISBLANK(orders_Q4[[#This Row],[return_received]])), NOT(ISBLANK(orders_Q4[[#This Row],[Del Date]]))),
   orders_Q4[[#This Row],[return_received]] - orders_Q4[[#This Row],[Del Date]],0)</f>
        <v>23</v>
      </c>
      <c r="AH53" t="str">
        <f>TEXT(orders_Q4[[#This Row],[Order Date]],"mmm-yyyy")</f>
        <v>Oct-2024</v>
      </c>
      <c r="AI53" s="1" t="str">
        <f>TEXT(orders_Q4[[#This Row],[Order Date]],"yyyy") &amp; "-" &amp; WEEKNUM(orders_Q4[[#This Row],[Order Date]])</f>
        <v>2024-41</v>
      </c>
      <c r="AJ53" t="str">
        <f>IF(orders_Q4[[#This Row],[Payment]]="COD","COD","Prepaid")</f>
        <v>Prepaid</v>
      </c>
    </row>
    <row r="54" spans="1:36" x14ac:dyDescent="0.3">
      <c r="A54" t="s">
        <v>299</v>
      </c>
      <c r="B54" s="1">
        <v>45578</v>
      </c>
      <c r="C54" t="s">
        <v>300</v>
      </c>
      <c r="D54" t="s">
        <v>25</v>
      </c>
      <c r="E54" t="s">
        <v>301</v>
      </c>
      <c r="F54" t="s">
        <v>27</v>
      </c>
      <c r="G54" t="s">
        <v>302</v>
      </c>
      <c r="H54">
        <v>1699</v>
      </c>
      <c r="I54">
        <v>1</v>
      </c>
      <c r="J54">
        <v>1699</v>
      </c>
      <c r="K54" t="s">
        <v>110</v>
      </c>
      <c r="L54">
        <v>10</v>
      </c>
      <c r="M54" t="s">
        <v>43</v>
      </c>
      <c r="N54" t="s">
        <v>30</v>
      </c>
      <c r="O54" t="s">
        <v>182</v>
      </c>
      <c r="P54" t="s">
        <v>183</v>
      </c>
      <c r="Q54" t="s">
        <v>56</v>
      </c>
      <c r="R54" s="1">
        <v>45586</v>
      </c>
      <c r="S54" t="s">
        <v>33</v>
      </c>
      <c r="T54" t="s">
        <v>34</v>
      </c>
      <c r="W54" t="s">
        <v>35</v>
      </c>
      <c r="X54" t="str">
        <f>IF(OR(orders_Q4[[#This Row],[Qty]]&gt;5,orders_Q4[[#This Row],[Qty]]&lt;0),"Invalid Quantity","OK")</f>
        <v>OK</v>
      </c>
      <c r="Y54" t="b">
        <f>OR(orders_Q4[[#This Row],[Unit Price]]&gt;20000,orders_Q4[[#This Row],[Unit Price]]&lt;0,orders_Q4[[#This Row],[Unit Price]]=0)</f>
        <v>0</v>
      </c>
      <c r="Z5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54">
        <f>orders_Q4[[#This Row],[Unit Price]] * orders_Q4[[#This Row],[Qty]] * (1 - orders_Q4[[#This Row],[Disc %]]/100)</f>
        <v>1529.1000000000001</v>
      </c>
      <c r="AB54" t="str">
        <f>IF(ABS(orders_Q4[[#This Row],[Total]] - orders_Q4[[#This Row],[Calculated_order_total]]) &gt; 1, "Mismatch", "OK")</f>
        <v>Mismatch</v>
      </c>
      <c r="AC54">
        <f>COUNTIF(C:C,orders_Q4[[#This Row],[Customer ID]])</f>
        <v>1</v>
      </c>
      <c r="AD54" t="str">
        <f>IF(AND(orders_Q4[[#This Row],[Type]]="New",orders_Q4[[#This Row],[Customer_id_count]]&gt;1),"Existing customer","OK")</f>
        <v>OK</v>
      </c>
      <c r="AE54">
        <f>orders_Q4[[#This Row],[Del Date]]-orders_Q4[[#This Row],[Order Date]]</f>
        <v>8</v>
      </c>
      <c r="AF54" t="str">
        <f>IF(OR(orders_Q4[[#This Row],[Delivery_time]]&gt;30,orders_Q4[[#This Row],[Delivery_time]]&lt;0),"Invalid_delivery_time","OK")</f>
        <v>OK</v>
      </c>
      <c r="AG54" s="20">
        <f>IF(
   AND(NOT(ISBLANK(orders_Q4[[#This Row],[return_received]])), NOT(ISBLANK(orders_Q4[[#This Row],[Del Date]]))),
   orders_Q4[[#This Row],[return_received]] - orders_Q4[[#This Row],[Del Date]],0)</f>
        <v>0</v>
      </c>
      <c r="AH54" t="str">
        <f>TEXT(orders_Q4[[#This Row],[Order Date]],"mmm-yyyy")</f>
        <v>Oct-2024</v>
      </c>
      <c r="AI54" s="1" t="str">
        <f>TEXT(orders_Q4[[#This Row],[Order Date]],"yyyy") &amp; "-" &amp; WEEKNUM(orders_Q4[[#This Row],[Order Date]])</f>
        <v>2024-42</v>
      </c>
      <c r="AJ54" t="str">
        <f>IF(orders_Q4[[#This Row],[Payment]]="COD","COD","Prepaid")</f>
        <v>Prepaid</v>
      </c>
    </row>
    <row r="55" spans="1:36" x14ac:dyDescent="0.3">
      <c r="A55" t="s">
        <v>303</v>
      </c>
      <c r="B55" s="1">
        <v>45578</v>
      </c>
      <c r="C55" t="s">
        <v>304</v>
      </c>
      <c r="D55" t="s">
        <v>25</v>
      </c>
      <c r="E55" t="s">
        <v>305</v>
      </c>
      <c r="F55" t="s">
        <v>61</v>
      </c>
      <c r="G55" t="s">
        <v>306</v>
      </c>
      <c r="H55">
        <v>3799</v>
      </c>
      <c r="I55">
        <v>1</v>
      </c>
      <c r="J55">
        <v>3799</v>
      </c>
      <c r="L55">
        <v>0</v>
      </c>
      <c r="M55" t="s">
        <v>29</v>
      </c>
      <c r="N55" t="s">
        <v>44</v>
      </c>
      <c r="O55" t="s">
        <v>188</v>
      </c>
      <c r="P55" t="s">
        <v>189</v>
      </c>
      <c r="Q55" t="s">
        <v>56</v>
      </c>
      <c r="R55" s="1">
        <v>45588</v>
      </c>
      <c r="S55" t="s">
        <v>33</v>
      </c>
      <c r="T55" t="s">
        <v>46</v>
      </c>
      <c r="U55" t="s">
        <v>47</v>
      </c>
      <c r="V55" s="1">
        <v>45614</v>
      </c>
      <c r="W55" t="s">
        <v>48</v>
      </c>
      <c r="X55" t="str">
        <f>IF(OR(orders_Q4[[#This Row],[Qty]]&gt;5,orders_Q4[[#This Row],[Qty]]&lt;0),"Invalid Quantity","OK")</f>
        <v>OK</v>
      </c>
      <c r="Y55" t="b">
        <f>OR(orders_Q4[[#This Row],[Unit Price]]&gt;20000,orders_Q4[[#This Row],[Unit Price]]&lt;0,orders_Q4[[#This Row],[Unit Price]]=0)</f>
        <v>0</v>
      </c>
      <c r="Z5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55">
        <f>orders_Q4[[#This Row],[Unit Price]] * orders_Q4[[#This Row],[Qty]] * (1 - orders_Q4[[#This Row],[Disc %]]/100)</f>
        <v>3799</v>
      </c>
      <c r="AB55" t="str">
        <f>IF(ABS(orders_Q4[[#This Row],[Total]] - orders_Q4[[#This Row],[Calculated_order_total]]) &gt; 1, "Mismatch", "OK")</f>
        <v>OK</v>
      </c>
      <c r="AC55">
        <f>COUNTIF(C:C,orders_Q4[[#This Row],[Customer ID]])</f>
        <v>1</v>
      </c>
      <c r="AD55" t="str">
        <f>IF(AND(orders_Q4[[#This Row],[Type]]="New",orders_Q4[[#This Row],[Customer_id_count]]&gt;1),"Existing customer","OK")</f>
        <v>OK</v>
      </c>
      <c r="AE55">
        <f>orders_Q4[[#This Row],[Del Date]]-orders_Q4[[#This Row],[Order Date]]</f>
        <v>10</v>
      </c>
      <c r="AF55" t="str">
        <f>IF(OR(orders_Q4[[#This Row],[Delivery_time]]&gt;30,orders_Q4[[#This Row],[Delivery_time]]&lt;0),"Invalid_delivery_time","OK")</f>
        <v>OK</v>
      </c>
      <c r="AG55" s="20">
        <f>IF(
   AND(NOT(ISBLANK(orders_Q4[[#This Row],[return_received]])), NOT(ISBLANK(orders_Q4[[#This Row],[Del Date]]))),
   orders_Q4[[#This Row],[return_received]] - orders_Q4[[#This Row],[Del Date]],0)</f>
        <v>26</v>
      </c>
      <c r="AH55" t="str">
        <f>TEXT(orders_Q4[[#This Row],[Order Date]],"mmm-yyyy")</f>
        <v>Oct-2024</v>
      </c>
      <c r="AI55" s="1" t="str">
        <f>TEXT(orders_Q4[[#This Row],[Order Date]],"yyyy") &amp; "-" &amp; WEEKNUM(orders_Q4[[#This Row],[Order Date]])</f>
        <v>2024-42</v>
      </c>
      <c r="AJ55" t="str">
        <f>IF(orders_Q4[[#This Row],[Payment]]="COD","COD","Prepaid")</f>
        <v>Prepaid</v>
      </c>
    </row>
    <row r="56" spans="1:36" x14ac:dyDescent="0.3">
      <c r="A56" t="s">
        <v>307</v>
      </c>
      <c r="B56" s="1">
        <v>45578</v>
      </c>
      <c r="C56" t="s">
        <v>308</v>
      </c>
      <c r="D56" t="s">
        <v>38</v>
      </c>
      <c r="E56" t="s">
        <v>309</v>
      </c>
      <c r="F56" t="s">
        <v>71</v>
      </c>
      <c r="G56" t="s">
        <v>310</v>
      </c>
      <c r="H56">
        <v>1299</v>
      </c>
      <c r="I56">
        <v>1</v>
      </c>
      <c r="J56">
        <v>1299</v>
      </c>
      <c r="L56">
        <v>0</v>
      </c>
      <c r="M56" t="s">
        <v>55</v>
      </c>
      <c r="N56" t="s">
        <v>65</v>
      </c>
      <c r="O56" t="s">
        <v>194</v>
      </c>
      <c r="P56" t="s">
        <v>183</v>
      </c>
      <c r="Q56" t="s">
        <v>56</v>
      </c>
      <c r="R56" s="1">
        <v>45587</v>
      </c>
      <c r="S56" t="s">
        <v>33</v>
      </c>
      <c r="T56" t="s">
        <v>34</v>
      </c>
      <c r="W56" t="s">
        <v>35</v>
      </c>
      <c r="X56" t="str">
        <f>IF(OR(orders_Q4[[#This Row],[Qty]]&gt;5,orders_Q4[[#This Row],[Qty]]&lt;0),"Invalid Quantity","OK")</f>
        <v>OK</v>
      </c>
      <c r="Y56" t="b">
        <f>OR(orders_Q4[[#This Row],[Unit Price]]&gt;20000,orders_Q4[[#This Row],[Unit Price]]&lt;0,orders_Q4[[#This Row],[Unit Price]]=0)</f>
        <v>0</v>
      </c>
      <c r="Z5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56">
        <f>orders_Q4[[#This Row],[Unit Price]] * orders_Q4[[#This Row],[Qty]] * (1 - orders_Q4[[#This Row],[Disc %]]/100)</f>
        <v>1299</v>
      </c>
      <c r="AB56" t="str">
        <f>IF(ABS(orders_Q4[[#This Row],[Total]] - orders_Q4[[#This Row],[Calculated_order_total]]) &gt; 1, "Mismatch", "OK")</f>
        <v>OK</v>
      </c>
      <c r="AC56">
        <f>COUNTIF(C:C,orders_Q4[[#This Row],[Customer ID]])</f>
        <v>1</v>
      </c>
      <c r="AD56" t="str">
        <f>IF(AND(orders_Q4[[#This Row],[Type]]="New",orders_Q4[[#This Row],[Customer_id_count]]&gt;1),"Existing customer","OK")</f>
        <v>OK</v>
      </c>
      <c r="AE56">
        <f>orders_Q4[[#This Row],[Del Date]]-orders_Q4[[#This Row],[Order Date]]</f>
        <v>9</v>
      </c>
      <c r="AF56" t="str">
        <f>IF(OR(orders_Q4[[#This Row],[Delivery_time]]&gt;30,orders_Q4[[#This Row],[Delivery_time]]&lt;0),"Invalid_delivery_time","OK")</f>
        <v>OK</v>
      </c>
      <c r="AG56" s="20">
        <f>IF(
   AND(NOT(ISBLANK(orders_Q4[[#This Row],[return_received]])), NOT(ISBLANK(orders_Q4[[#This Row],[Del Date]]))),
   orders_Q4[[#This Row],[return_received]] - orders_Q4[[#This Row],[Del Date]],0)</f>
        <v>0</v>
      </c>
      <c r="AH56" t="str">
        <f>TEXT(orders_Q4[[#This Row],[Order Date]],"mmm-yyyy")</f>
        <v>Oct-2024</v>
      </c>
      <c r="AI56" s="1" t="str">
        <f>TEXT(orders_Q4[[#This Row],[Order Date]],"yyyy") &amp; "-" &amp; WEEKNUM(orders_Q4[[#This Row],[Order Date]])</f>
        <v>2024-42</v>
      </c>
      <c r="AJ56" t="str">
        <f>IF(orders_Q4[[#This Row],[Payment]]="COD","COD","Prepaid")</f>
        <v>COD</v>
      </c>
    </row>
    <row r="57" spans="1:36" x14ac:dyDescent="0.3">
      <c r="A57" t="s">
        <v>311</v>
      </c>
      <c r="B57" s="1">
        <v>45578</v>
      </c>
      <c r="C57" t="s">
        <v>312</v>
      </c>
      <c r="D57" t="s">
        <v>25</v>
      </c>
      <c r="E57" t="s">
        <v>313</v>
      </c>
      <c r="F57" t="s">
        <v>53</v>
      </c>
      <c r="G57" t="s">
        <v>314</v>
      </c>
      <c r="H57">
        <v>2099</v>
      </c>
      <c r="I57">
        <v>1</v>
      </c>
      <c r="J57">
        <v>2099</v>
      </c>
      <c r="K57" t="s">
        <v>42</v>
      </c>
      <c r="L57">
        <v>20</v>
      </c>
      <c r="M57" t="s">
        <v>43</v>
      </c>
      <c r="N57" t="s">
        <v>30</v>
      </c>
      <c r="O57" t="s">
        <v>199</v>
      </c>
      <c r="P57" t="s">
        <v>57</v>
      </c>
      <c r="Q57" t="s">
        <v>56</v>
      </c>
      <c r="R57" s="1">
        <v>45589</v>
      </c>
      <c r="S57" t="s">
        <v>33</v>
      </c>
      <c r="T57" t="s">
        <v>34</v>
      </c>
      <c r="W57" t="s">
        <v>35</v>
      </c>
      <c r="X57" t="str">
        <f>IF(OR(orders_Q4[[#This Row],[Qty]]&gt;5,orders_Q4[[#This Row],[Qty]]&lt;0),"Invalid Quantity","OK")</f>
        <v>OK</v>
      </c>
      <c r="Y57" t="b">
        <f>OR(orders_Q4[[#This Row],[Unit Price]]&gt;20000,orders_Q4[[#This Row],[Unit Price]]&lt;0,orders_Q4[[#This Row],[Unit Price]]=0)</f>
        <v>0</v>
      </c>
      <c r="Z5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57">
        <f>orders_Q4[[#This Row],[Unit Price]] * orders_Q4[[#This Row],[Qty]] * (1 - orders_Q4[[#This Row],[Disc %]]/100)</f>
        <v>1679.2</v>
      </c>
      <c r="AB57" t="str">
        <f>IF(ABS(orders_Q4[[#This Row],[Total]] - orders_Q4[[#This Row],[Calculated_order_total]]) &gt; 1, "Mismatch", "OK")</f>
        <v>Mismatch</v>
      </c>
      <c r="AC57">
        <f>COUNTIF(C:C,orders_Q4[[#This Row],[Customer ID]])</f>
        <v>1</v>
      </c>
      <c r="AD57" t="str">
        <f>IF(AND(orders_Q4[[#This Row],[Type]]="New",orders_Q4[[#This Row],[Customer_id_count]]&gt;1),"Existing customer","OK")</f>
        <v>OK</v>
      </c>
      <c r="AE57">
        <f>orders_Q4[[#This Row],[Del Date]]-orders_Q4[[#This Row],[Order Date]]</f>
        <v>11</v>
      </c>
      <c r="AF57" t="str">
        <f>IF(OR(orders_Q4[[#This Row],[Delivery_time]]&gt;30,orders_Q4[[#This Row],[Delivery_time]]&lt;0),"Invalid_delivery_time","OK")</f>
        <v>OK</v>
      </c>
      <c r="AG57" s="20">
        <f>IF(
   AND(NOT(ISBLANK(orders_Q4[[#This Row],[return_received]])), NOT(ISBLANK(orders_Q4[[#This Row],[Del Date]]))),
   orders_Q4[[#This Row],[return_received]] - orders_Q4[[#This Row],[Del Date]],0)</f>
        <v>0</v>
      </c>
      <c r="AH57" t="str">
        <f>TEXT(orders_Q4[[#This Row],[Order Date]],"mmm-yyyy")</f>
        <v>Oct-2024</v>
      </c>
      <c r="AI57" s="1" t="str">
        <f>TEXT(orders_Q4[[#This Row],[Order Date]],"yyyy") &amp; "-" &amp; WEEKNUM(orders_Q4[[#This Row],[Order Date]])</f>
        <v>2024-42</v>
      </c>
      <c r="AJ57" t="str">
        <f>IF(orders_Q4[[#This Row],[Payment]]="COD","COD","Prepaid")</f>
        <v>Prepaid</v>
      </c>
    </row>
    <row r="58" spans="1:36" x14ac:dyDescent="0.3">
      <c r="A58" t="s">
        <v>315</v>
      </c>
      <c r="B58" s="1">
        <v>45579</v>
      </c>
      <c r="C58" t="s">
        <v>316</v>
      </c>
      <c r="D58" t="s">
        <v>25</v>
      </c>
      <c r="E58" t="s">
        <v>317</v>
      </c>
      <c r="F58" t="s">
        <v>40</v>
      </c>
      <c r="G58" t="s">
        <v>318</v>
      </c>
      <c r="H58">
        <v>2799</v>
      </c>
      <c r="I58">
        <v>1</v>
      </c>
      <c r="J58">
        <v>2799</v>
      </c>
      <c r="L58">
        <v>0</v>
      </c>
      <c r="M58" t="s">
        <v>64</v>
      </c>
      <c r="N58" t="s">
        <v>44</v>
      </c>
      <c r="O58" t="s">
        <v>204</v>
      </c>
      <c r="P58" t="s">
        <v>97</v>
      </c>
      <c r="Q58" t="s">
        <v>31</v>
      </c>
      <c r="R58" s="1">
        <v>45588</v>
      </c>
      <c r="S58" t="s">
        <v>33</v>
      </c>
      <c r="T58" t="s">
        <v>46</v>
      </c>
      <c r="U58" t="s">
        <v>79</v>
      </c>
      <c r="V58" s="1">
        <v>45612</v>
      </c>
      <c r="W58" t="s">
        <v>48</v>
      </c>
      <c r="X58" t="str">
        <f>IF(OR(orders_Q4[[#This Row],[Qty]]&gt;5,orders_Q4[[#This Row],[Qty]]&lt;0),"Invalid Quantity","OK")</f>
        <v>OK</v>
      </c>
      <c r="Y58" t="b">
        <f>OR(orders_Q4[[#This Row],[Unit Price]]&gt;20000,orders_Q4[[#This Row],[Unit Price]]&lt;0,orders_Q4[[#This Row],[Unit Price]]=0)</f>
        <v>0</v>
      </c>
      <c r="Z5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58">
        <f>orders_Q4[[#This Row],[Unit Price]] * orders_Q4[[#This Row],[Qty]] * (1 - orders_Q4[[#This Row],[Disc %]]/100)</f>
        <v>2799</v>
      </c>
      <c r="AB58" t="str">
        <f>IF(ABS(orders_Q4[[#This Row],[Total]] - orders_Q4[[#This Row],[Calculated_order_total]]) &gt; 1, "Mismatch", "OK")</f>
        <v>OK</v>
      </c>
      <c r="AC58">
        <f>COUNTIF(C:C,orders_Q4[[#This Row],[Customer ID]])</f>
        <v>1</v>
      </c>
      <c r="AD58" t="str">
        <f>IF(AND(orders_Q4[[#This Row],[Type]]="New",orders_Q4[[#This Row],[Customer_id_count]]&gt;1),"Existing customer","OK")</f>
        <v>OK</v>
      </c>
      <c r="AE58">
        <f>orders_Q4[[#This Row],[Del Date]]-orders_Q4[[#This Row],[Order Date]]</f>
        <v>9</v>
      </c>
      <c r="AF58" t="str">
        <f>IF(OR(orders_Q4[[#This Row],[Delivery_time]]&gt;30,orders_Q4[[#This Row],[Delivery_time]]&lt;0),"Invalid_delivery_time","OK")</f>
        <v>OK</v>
      </c>
      <c r="AG58" s="20">
        <f>IF(
   AND(NOT(ISBLANK(orders_Q4[[#This Row],[return_received]])), NOT(ISBLANK(orders_Q4[[#This Row],[Del Date]]))),
   orders_Q4[[#This Row],[return_received]] - orders_Q4[[#This Row],[Del Date]],0)</f>
        <v>24</v>
      </c>
      <c r="AH58" t="str">
        <f>TEXT(orders_Q4[[#This Row],[Order Date]],"mmm-yyyy")</f>
        <v>Oct-2024</v>
      </c>
      <c r="AI58" s="1" t="str">
        <f>TEXT(orders_Q4[[#This Row],[Order Date]],"yyyy") &amp; "-" &amp; WEEKNUM(orders_Q4[[#This Row],[Order Date]])</f>
        <v>2024-42</v>
      </c>
      <c r="AJ58" t="str">
        <f>IF(orders_Q4[[#This Row],[Payment]]="COD","COD","Prepaid")</f>
        <v>Prepaid</v>
      </c>
    </row>
    <row r="59" spans="1:36" x14ac:dyDescent="0.3">
      <c r="A59" t="s">
        <v>319</v>
      </c>
      <c r="B59" s="1">
        <v>45579</v>
      </c>
      <c r="C59" t="s">
        <v>320</v>
      </c>
      <c r="D59" t="s">
        <v>25</v>
      </c>
      <c r="E59" t="s">
        <v>321</v>
      </c>
      <c r="F59" t="s">
        <v>27</v>
      </c>
      <c r="G59" t="s">
        <v>322</v>
      </c>
      <c r="H59">
        <v>1499</v>
      </c>
      <c r="I59">
        <v>1</v>
      </c>
      <c r="J59">
        <v>1499</v>
      </c>
      <c r="L59">
        <v>0</v>
      </c>
      <c r="M59" t="s">
        <v>111</v>
      </c>
      <c r="N59" t="s">
        <v>30</v>
      </c>
      <c r="O59" t="s">
        <v>209</v>
      </c>
      <c r="P59" t="s">
        <v>97</v>
      </c>
      <c r="Q59" t="s">
        <v>31</v>
      </c>
      <c r="R59" s="1">
        <v>45587</v>
      </c>
      <c r="S59" t="s">
        <v>33</v>
      </c>
      <c r="T59" t="s">
        <v>34</v>
      </c>
      <c r="W59" t="s">
        <v>35</v>
      </c>
      <c r="X59" t="str">
        <f>IF(OR(orders_Q4[[#This Row],[Qty]]&gt;5,orders_Q4[[#This Row],[Qty]]&lt;0),"Invalid Quantity","OK")</f>
        <v>OK</v>
      </c>
      <c r="Y59" t="b">
        <f>OR(orders_Q4[[#This Row],[Unit Price]]&gt;20000,orders_Q4[[#This Row],[Unit Price]]&lt;0,orders_Q4[[#This Row],[Unit Price]]=0)</f>
        <v>0</v>
      </c>
      <c r="Z5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59">
        <f>orders_Q4[[#This Row],[Unit Price]] * orders_Q4[[#This Row],[Qty]] * (1 - orders_Q4[[#This Row],[Disc %]]/100)</f>
        <v>1499</v>
      </c>
      <c r="AB59" t="str">
        <f>IF(ABS(orders_Q4[[#This Row],[Total]] - orders_Q4[[#This Row],[Calculated_order_total]]) &gt; 1, "Mismatch", "OK")</f>
        <v>OK</v>
      </c>
      <c r="AC59">
        <f>COUNTIF(C:C,orders_Q4[[#This Row],[Customer ID]])</f>
        <v>1</v>
      </c>
      <c r="AD59" t="str">
        <f>IF(AND(orders_Q4[[#This Row],[Type]]="New",orders_Q4[[#This Row],[Customer_id_count]]&gt;1),"Existing customer","OK")</f>
        <v>OK</v>
      </c>
      <c r="AE59">
        <f>orders_Q4[[#This Row],[Del Date]]-orders_Q4[[#This Row],[Order Date]]</f>
        <v>8</v>
      </c>
      <c r="AF59" t="str">
        <f>IF(OR(orders_Q4[[#This Row],[Delivery_time]]&gt;30,orders_Q4[[#This Row],[Delivery_time]]&lt;0),"Invalid_delivery_time","OK")</f>
        <v>OK</v>
      </c>
      <c r="AG59" s="20">
        <f>IF(
   AND(NOT(ISBLANK(orders_Q4[[#This Row],[return_received]])), NOT(ISBLANK(orders_Q4[[#This Row],[Del Date]]))),
   orders_Q4[[#This Row],[return_received]] - orders_Q4[[#This Row],[Del Date]],0)</f>
        <v>0</v>
      </c>
      <c r="AH59" t="str">
        <f>TEXT(orders_Q4[[#This Row],[Order Date]],"mmm-yyyy")</f>
        <v>Oct-2024</v>
      </c>
      <c r="AI59" s="1" t="str">
        <f>TEXT(orders_Q4[[#This Row],[Order Date]],"yyyy") &amp; "-" &amp; WEEKNUM(orders_Q4[[#This Row],[Order Date]])</f>
        <v>2024-42</v>
      </c>
      <c r="AJ59" t="str">
        <f>IF(orders_Q4[[#This Row],[Payment]]="COD","COD","Prepaid")</f>
        <v>Prepaid</v>
      </c>
    </row>
    <row r="60" spans="1:36" x14ac:dyDescent="0.3">
      <c r="A60" t="s">
        <v>323</v>
      </c>
      <c r="B60" s="1">
        <v>45579</v>
      </c>
      <c r="C60" t="s">
        <v>324</v>
      </c>
      <c r="D60" t="s">
        <v>38</v>
      </c>
      <c r="E60" t="s">
        <v>325</v>
      </c>
      <c r="F60" t="s">
        <v>61</v>
      </c>
      <c r="G60" t="s">
        <v>326</v>
      </c>
      <c r="H60">
        <v>4499</v>
      </c>
      <c r="I60">
        <v>1</v>
      </c>
      <c r="J60">
        <v>4499</v>
      </c>
      <c r="K60" t="s">
        <v>63</v>
      </c>
      <c r="L60">
        <v>15</v>
      </c>
      <c r="M60" t="s">
        <v>29</v>
      </c>
      <c r="N60" t="s">
        <v>65</v>
      </c>
      <c r="O60" t="s">
        <v>214</v>
      </c>
      <c r="P60" t="s">
        <v>113</v>
      </c>
      <c r="Q60" t="s">
        <v>45</v>
      </c>
      <c r="R60" s="1">
        <v>45590</v>
      </c>
      <c r="S60" t="s">
        <v>33</v>
      </c>
      <c r="T60" t="s">
        <v>46</v>
      </c>
      <c r="U60" t="s">
        <v>104</v>
      </c>
      <c r="V60" s="1">
        <v>45616</v>
      </c>
      <c r="W60" t="s">
        <v>48</v>
      </c>
      <c r="X60" t="str">
        <f>IF(OR(orders_Q4[[#This Row],[Qty]]&gt;5,orders_Q4[[#This Row],[Qty]]&lt;0),"Invalid Quantity","OK")</f>
        <v>OK</v>
      </c>
      <c r="Y60" t="b">
        <f>OR(orders_Q4[[#This Row],[Unit Price]]&gt;20000,orders_Q4[[#This Row],[Unit Price]]&lt;0,orders_Q4[[#This Row],[Unit Price]]=0)</f>
        <v>0</v>
      </c>
      <c r="Z6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60">
        <f>orders_Q4[[#This Row],[Unit Price]] * orders_Q4[[#This Row],[Qty]] * (1 - orders_Q4[[#This Row],[Disc %]]/100)</f>
        <v>3824.15</v>
      </c>
      <c r="AB60" t="str">
        <f>IF(ABS(orders_Q4[[#This Row],[Total]] - orders_Q4[[#This Row],[Calculated_order_total]]) &gt; 1, "Mismatch", "OK")</f>
        <v>Mismatch</v>
      </c>
      <c r="AC60">
        <f>COUNTIF(C:C,orders_Q4[[#This Row],[Customer ID]])</f>
        <v>1</v>
      </c>
      <c r="AD60" t="str">
        <f>IF(AND(orders_Q4[[#This Row],[Type]]="New",orders_Q4[[#This Row],[Customer_id_count]]&gt;1),"Existing customer","OK")</f>
        <v>OK</v>
      </c>
      <c r="AE60">
        <f>orders_Q4[[#This Row],[Del Date]]-orders_Q4[[#This Row],[Order Date]]</f>
        <v>11</v>
      </c>
      <c r="AF60" t="str">
        <f>IF(OR(orders_Q4[[#This Row],[Delivery_time]]&gt;30,orders_Q4[[#This Row],[Delivery_time]]&lt;0),"Invalid_delivery_time","OK")</f>
        <v>OK</v>
      </c>
      <c r="AG60" s="20">
        <f>IF(
   AND(NOT(ISBLANK(orders_Q4[[#This Row],[return_received]])), NOT(ISBLANK(orders_Q4[[#This Row],[Del Date]]))),
   orders_Q4[[#This Row],[return_received]] - orders_Q4[[#This Row],[Del Date]],0)</f>
        <v>26</v>
      </c>
      <c r="AH60" t="str">
        <f>TEXT(orders_Q4[[#This Row],[Order Date]],"mmm-yyyy")</f>
        <v>Oct-2024</v>
      </c>
      <c r="AI60" s="1" t="str">
        <f>TEXT(orders_Q4[[#This Row],[Order Date]],"yyyy") &amp; "-" &amp; WEEKNUM(orders_Q4[[#This Row],[Order Date]])</f>
        <v>2024-42</v>
      </c>
      <c r="AJ60" t="str">
        <f>IF(orders_Q4[[#This Row],[Payment]]="COD","COD","Prepaid")</f>
        <v>Prepaid</v>
      </c>
    </row>
    <row r="61" spans="1:36" x14ac:dyDescent="0.3">
      <c r="A61" t="s">
        <v>327</v>
      </c>
      <c r="B61" s="1">
        <v>45579</v>
      </c>
      <c r="C61" t="s">
        <v>328</v>
      </c>
      <c r="D61" t="s">
        <v>25</v>
      </c>
      <c r="E61" t="s">
        <v>329</v>
      </c>
      <c r="F61" t="s">
        <v>71</v>
      </c>
      <c r="G61" t="s">
        <v>330</v>
      </c>
      <c r="H61">
        <v>899</v>
      </c>
      <c r="I61">
        <v>1</v>
      </c>
      <c r="J61">
        <v>899</v>
      </c>
      <c r="L61">
        <v>0</v>
      </c>
      <c r="M61" t="s">
        <v>43</v>
      </c>
      <c r="N61" t="s">
        <v>44</v>
      </c>
      <c r="O61" t="s">
        <v>31</v>
      </c>
      <c r="P61" t="s">
        <v>32</v>
      </c>
      <c r="Q61" t="s">
        <v>31</v>
      </c>
      <c r="R61" s="1">
        <v>45588</v>
      </c>
      <c r="S61" t="s">
        <v>33</v>
      </c>
      <c r="T61" t="s">
        <v>34</v>
      </c>
      <c r="W61" t="s">
        <v>35</v>
      </c>
      <c r="X61" t="str">
        <f>IF(OR(orders_Q4[[#This Row],[Qty]]&gt;5,orders_Q4[[#This Row],[Qty]]&lt;0),"Invalid Quantity","OK")</f>
        <v>OK</v>
      </c>
      <c r="Y61" t="b">
        <f>OR(orders_Q4[[#This Row],[Unit Price]]&gt;20000,orders_Q4[[#This Row],[Unit Price]]&lt;0,orders_Q4[[#This Row],[Unit Price]]=0)</f>
        <v>0</v>
      </c>
      <c r="Z6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61">
        <f>orders_Q4[[#This Row],[Unit Price]] * orders_Q4[[#This Row],[Qty]] * (1 - orders_Q4[[#This Row],[Disc %]]/100)</f>
        <v>899</v>
      </c>
      <c r="AB61" t="str">
        <f>IF(ABS(orders_Q4[[#This Row],[Total]] - orders_Q4[[#This Row],[Calculated_order_total]]) &gt; 1, "Mismatch", "OK")</f>
        <v>OK</v>
      </c>
      <c r="AC61">
        <f>COUNTIF(C:C,orders_Q4[[#This Row],[Customer ID]])</f>
        <v>1</v>
      </c>
      <c r="AD61" t="str">
        <f>IF(AND(orders_Q4[[#This Row],[Type]]="New",orders_Q4[[#This Row],[Customer_id_count]]&gt;1),"Existing customer","OK")</f>
        <v>OK</v>
      </c>
      <c r="AE61">
        <f>orders_Q4[[#This Row],[Del Date]]-orders_Q4[[#This Row],[Order Date]]</f>
        <v>9</v>
      </c>
      <c r="AF61" t="str">
        <f>IF(OR(orders_Q4[[#This Row],[Delivery_time]]&gt;30,orders_Q4[[#This Row],[Delivery_time]]&lt;0),"Invalid_delivery_time","OK")</f>
        <v>OK</v>
      </c>
      <c r="AG61" s="20">
        <f>IF(
   AND(NOT(ISBLANK(orders_Q4[[#This Row],[return_received]])), NOT(ISBLANK(orders_Q4[[#This Row],[Del Date]]))),
   orders_Q4[[#This Row],[return_received]] - orders_Q4[[#This Row],[Del Date]],0)</f>
        <v>0</v>
      </c>
      <c r="AH61" t="str">
        <f>TEXT(orders_Q4[[#This Row],[Order Date]],"mmm-yyyy")</f>
        <v>Oct-2024</v>
      </c>
      <c r="AI61" s="1" t="str">
        <f>TEXT(orders_Q4[[#This Row],[Order Date]],"yyyy") &amp; "-" &amp; WEEKNUM(orders_Q4[[#This Row],[Order Date]])</f>
        <v>2024-42</v>
      </c>
      <c r="AJ61" t="str">
        <f>IF(orders_Q4[[#This Row],[Payment]]="COD","COD","Prepaid")</f>
        <v>Prepaid</v>
      </c>
    </row>
    <row r="62" spans="1:36" x14ac:dyDescent="0.3">
      <c r="A62" t="s">
        <v>331</v>
      </c>
      <c r="B62" s="1">
        <v>45580</v>
      </c>
      <c r="C62" t="s">
        <v>332</v>
      </c>
      <c r="D62" t="s">
        <v>25</v>
      </c>
      <c r="E62" t="s">
        <v>333</v>
      </c>
      <c r="F62" t="s">
        <v>53</v>
      </c>
      <c r="G62" t="s">
        <v>334</v>
      </c>
      <c r="H62">
        <v>1799</v>
      </c>
      <c r="I62">
        <v>1</v>
      </c>
      <c r="J62">
        <v>1799</v>
      </c>
      <c r="L62">
        <v>0</v>
      </c>
      <c r="M62" t="s">
        <v>55</v>
      </c>
      <c r="N62" t="s">
        <v>30</v>
      </c>
      <c r="O62" t="s">
        <v>45</v>
      </c>
      <c r="P62" t="s">
        <v>45</v>
      </c>
      <c r="Q62" t="s">
        <v>45</v>
      </c>
      <c r="S62" t="s">
        <v>120</v>
      </c>
      <c r="T62" t="s">
        <v>34</v>
      </c>
      <c r="W62" t="s">
        <v>35</v>
      </c>
      <c r="X62" t="str">
        <f>IF(OR(orders_Q4[[#This Row],[Qty]]&gt;5,orders_Q4[[#This Row],[Qty]]&lt;0),"Invalid Quantity","OK")</f>
        <v>OK</v>
      </c>
      <c r="Y62" t="b">
        <f>OR(orders_Q4[[#This Row],[Unit Price]]&gt;20000,orders_Q4[[#This Row],[Unit Price]]&lt;0,orders_Q4[[#This Row],[Unit Price]]=0)</f>
        <v>0</v>
      </c>
      <c r="Z6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62">
        <f>orders_Q4[[#This Row],[Unit Price]] * orders_Q4[[#This Row],[Qty]] * (1 - orders_Q4[[#This Row],[Disc %]]/100)</f>
        <v>1799</v>
      </c>
      <c r="AB62" t="str">
        <f>IF(ABS(orders_Q4[[#This Row],[Total]] - orders_Q4[[#This Row],[Calculated_order_total]]) &gt; 1, "Mismatch", "OK")</f>
        <v>OK</v>
      </c>
      <c r="AC62">
        <f>COUNTIF(C:C,orders_Q4[[#This Row],[Customer ID]])</f>
        <v>1</v>
      </c>
      <c r="AD62" t="str">
        <f>IF(AND(orders_Q4[[#This Row],[Type]]="New",orders_Q4[[#This Row],[Customer_id_count]]&gt;1),"Existing customer","OK")</f>
        <v>OK</v>
      </c>
      <c r="AE62">
        <f>orders_Q4[[#This Row],[Del Date]]-orders_Q4[[#This Row],[Order Date]]</f>
        <v>-45580</v>
      </c>
      <c r="AF62" t="str">
        <f>IF(OR(orders_Q4[[#This Row],[Delivery_time]]&gt;30,orders_Q4[[#This Row],[Delivery_time]]&lt;0),"Invalid_delivery_time","OK")</f>
        <v>Invalid_delivery_time</v>
      </c>
      <c r="AG62" s="20">
        <f>IF(
   AND(NOT(ISBLANK(orders_Q4[[#This Row],[return_received]])), NOT(ISBLANK(orders_Q4[[#This Row],[Del Date]]))),
   orders_Q4[[#This Row],[return_received]] - orders_Q4[[#This Row],[Del Date]],0)</f>
        <v>0</v>
      </c>
      <c r="AH62" t="str">
        <f>TEXT(orders_Q4[[#This Row],[Order Date]],"mmm-yyyy")</f>
        <v>Oct-2024</v>
      </c>
      <c r="AI62" s="1" t="str">
        <f>TEXT(orders_Q4[[#This Row],[Order Date]],"yyyy") &amp; "-" &amp; WEEKNUM(orders_Q4[[#This Row],[Order Date]])</f>
        <v>2024-42</v>
      </c>
      <c r="AJ62" t="str">
        <f>IF(orders_Q4[[#This Row],[Payment]]="COD","COD","Prepaid")</f>
        <v>COD</v>
      </c>
    </row>
    <row r="63" spans="1:36" x14ac:dyDescent="0.3">
      <c r="A63" t="s">
        <v>335</v>
      </c>
      <c r="B63" s="1">
        <v>45580</v>
      </c>
      <c r="C63" t="s">
        <v>336</v>
      </c>
      <c r="D63" t="s">
        <v>25</v>
      </c>
      <c r="E63" t="s">
        <v>337</v>
      </c>
      <c r="F63" t="s">
        <v>40</v>
      </c>
      <c r="G63" t="s">
        <v>338</v>
      </c>
      <c r="H63">
        <v>2199</v>
      </c>
      <c r="I63">
        <v>1</v>
      </c>
      <c r="J63">
        <v>2199</v>
      </c>
      <c r="K63" t="s">
        <v>42</v>
      </c>
      <c r="L63">
        <v>20</v>
      </c>
      <c r="M63" t="s">
        <v>64</v>
      </c>
      <c r="N63" t="s">
        <v>65</v>
      </c>
      <c r="O63" t="s">
        <v>90</v>
      </c>
      <c r="P63" t="s">
        <v>91</v>
      </c>
      <c r="Q63" t="s">
        <v>45</v>
      </c>
      <c r="R63" s="1">
        <v>45591</v>
      </c>
      <c r="S63" t="s">
        <v>33</v>
      </c>
      <c r="T63" t="s">
        <v>46</v>
      </c>
      <c r="U63" t="s">
        <v>47</v>
      </c>
      <c r="V63" s="1">
        <v>45618</v>
      </c>
      <c r="W63" t="s">
        <v>48</v>
      </c>
      <c r="X63" t="str">
        <f>IF(OR(orders_Q4[[#This Row],[Qty]]&gt;5,orders_Q4[[#This Row],[Qty]]&lt;0),"Invalid Quantity","OK")</f>
        <v>OK</v>
      </c>
      <c r="Y63" t="b">
        <f>OR(orders_Q4[[#This Row],[Unit Price]]&gt;20000,orders_Q4[[#This Row],[Unit Price]]&lt;0,orders_Q4[[#This Row],[Unit Price]]=0)</f>
        <v>0</v>
      </c>
      <c r="Z6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63">
        <f>orders_Q4[[#This Row],[Unit Price]] * orders_Q4[[#This Row],[Qty]] * (1 - orders_Q4[[#This Row],[Disc %]]/100)</f>
        <v>1759.2</v>
      </c>
      <c r="AB63" t="str">
        <f>IF(ABS(orders_Q4[[#This Row],[Total]] - orders_Q4[[#This Row],[Calculated_order_total]]) &gt; 1, "Mismatch", "OK")</f>
        <v>Mismatch</v>
      </c>
      <c r="AC63">
        <f>COUNTIF(C:C,orders_Q4[[#This Row],[Customer ID]])</f>
        <v>1</v>
      </c>
      <c r="AD63" t="str">
        <f>IF(AND(orders_Q4[[#This Row],[Type]]="New",orders_Q4[[#This Row],[Customer_id_count]]&gt;1),"Existing customer","OK")</f>
        <v>OK</v>
      </c>
      <c r="AE63">
        <f>orders_Q4[[#This Row],[Del Date]]-orders_Q4[[#This Row],[Order Date]]</f>
        <v>11</v>
      </c>
      <c r="AF63" t="str">
        <f>IF(OR(orders_Q4[[#This Row],[Delivery_time]]&gt;30,orders_Q4[[#This Row],[Delivery_time]]&lt;0),"Invalid_delivery_time","OK")</f>
        <v>OK</v>
      </c>
      <c r="AG63" s="20">
        <f>IF(
   AND(NOT(ISBLANK(orders_Q4[[#This Row],[return_received]])), NOT(ISBLANK(orders_Q4[[#This Row],[Del Date]]))),
   orders_Q4[[#This Row],[return_received]] - orders_Q4[[#This Row],[Del Date]],0)</f>
        <v>27</v>
      </c>
      <c r="AH63" t="str">
        <f>TEXT(orders_Q4[[#This Row],[Order Date]],"mmm-yyyy")</f>
        <v>Oct-2024</v>
      </c>
      <c r="AI63" s="1" t="str">
        <f>TEXT(orders_Q4[[#This Row],[Order Date]],"yyyy") &amp; "-" &amp; WEEKNUM(orders_Q4[[#This Row],[Order Date]])</f>
        <v>2024-42</v>
      </c>
      <c r="AJ63" t="str">
        <f>IF(orders_Q4[[#This Row],[Payment]]="COD","COD","Prepaid")</f>
        <v>Prepaid</v>
      </c>
    </row>
    <row r="64" spans="1:36" x14ac:dyDescent="0.3">
      <c r="A64" t="s">
        <v>339</v>
      </c>
      <c r="B64" s="1">
        <v>45580</v>
      </c>
      <c r="C64" t="s">
        <v>340</v>
      </c>
      <c r="D64" t="s">
        <v>38</v>
      </c>
      <c r="E64" t="s">
        <v>341</v>
      </c>
      <c r="F64" t="s">
        <v>27</v>
      </c>
      <c r="G64" t="s">
        <v>342</v>
      </c>
      <c r="H64">
        <v>1399</v>
      </c>
      <c r="I64">
        <v>1</v>
      </c>
      <c r="J64">
        <v>1399</v>
      </c>
      <c r="L64">
        <v>0</v>
      </c>
      <c r="M64" t="s">
        <v>29</v>
      </c>
      <c r="N64" t="s">
        <v>44</v>
      </c>
      <c r="O64" t="s">
        <v>66</v>
      </c>
      <c r="P64" t="s">
        <v>67</v>
      </c>
      <c r="Q64" t="s">
        <v>56</v>
      </c>
      <c r="R64" s="1">
        <v>45589</v>
      </c>
      <c r="S64" t="s">
        <v>33</v>
      </c>
      <c r="T64" t="s">
        <v>34</v>
      </c>
      <c r="W64" t="s">
        <v>35</v>
      </c>
      <c r="X64" t="str">
        <f>IF(OR(orders_Q4[[#This Row],[Qty]]&gt;5,orders_Q4[[#This Row],[Qty]]&lt;0),"Invalid Quantity","OK")</f>
        <v>OK</v>
      </c>
      <c r="Y64" t="b">
        <f>OR(orders_Q4[[#This Row],[Unit Price]]&gt;20000,orders_Q4[[#This Row],[Unit Price]]&lt;0,orders_Q4[[#This Row],[Unit Price]]=0)</f>
        <v>0</v>
      </c>
      <c r="Z6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64">
        <f>orders_Q4[[#This Row],[Unit Price]] * orders_Q4[[#This Row],[Qty]] * (1 - orders_Q4[[#This Row],[Disc %]]/100)</f>
        <v>1399</v>
      </c>
      <c r="AB64" t="str">
        <f>IF(ABS(orders_Q4[[#This Row],[Total]] - orders_Q4[[#This Row],[Calculated_order_total]]) &gt; 1, "Mismatch", "OK")</f>
        <v>OK</v>
      </c>
      <c r="AC64">
        <f>COUNTIF(C:C,orders_Q4[[#This Row],[Customer ID]])</f>
        <v>1</v>
      </c>
      <c r="AD64" t="str">
        <f>IF(AND(orders_Q4[[#This Row],[Type]]="New",orders_Q4[[#This Row],[Customer_id_count]]&gt;1),"Existing customer","OK")</f>
        <v>OK</v>
      </c>
      <c r="AE64">
        <f>orders_Q4[[#This Row],[Del Date]]-orders_Q4[[#This Row],[Order Date]]</f>
        <v>9</v>
      </c>
      <c r="AF64" t="str">
        <f>IF(OR(orders_Q4[[#This Row],[Delivery_time]]&gt;30,orders_Q4[[#This Row],[Delivery_time]]&lt;0),"Invalid_delivery_time","OK")</f>
        <v>OK</v>
      </c>
      <c r="AG64" s="20">
        <f>IF(
   AND(NOT(ISBLANK(orders_Q4[[#This Row],[return_received]])), NOT(ISBLANK(orders_Q4[[#This Row],[Del Date]]))),
   orders_Q4[[#This Row],[return_received]] - orders_Q4[[#This Row],[Del Date]],0)</f>
        <v>0</v>
      </c>
      <c r="AH64" t="str">
        <f>TEXT(orders_Q4[[#This Row],[Order Date]],"mmm-yyyy")</f>
        <v>Oct-2024</v>
      </c>
      <c r="AI64" s="1" t="str">
        <f>TEXT(orders_Q4[[#This Row],[Order Date]],"yyyy") &amp; "-" &amp; WEEKNUM(orders_Q4[[#This Row],[Order Date]])</f>
        <v>2024-42</v>
      </c>
      <c r="AJ64" t="str">
        <f>IF(orders_Q4[[#This Row],[Payment]]="COD","COD","Prepaid")</f>
        <v>Prepaid</v>
      </c>
    </row>
    <row r="65" spans="1:36" x14ac:dyDescent="0.3">
      <c r="A65" t="s">
        <v>343</v>
      </c>
      <c r="B65" s="1">
        <v>45580</v>
      </c>
      <c r="C65" t="s">
        <v>344</v>
      </c>
      <c r="D65" t="s">
        <v>25</v>
      </c>
      <c r="E65" t="s">
        <v>345</v>
      </c>
      <c r="F65" t="s">
        <v>61</v>
      </c>
      <c r="G65" t="s">
        <v>346</v>
      </c>
      <c r="H65">
        <v>2999</v>
      </c>
      <c r="I65">
        <v>1</v>
      </c>
      <c r="J65">
        <v>2999</v>
      </c>
      <c r="L65">
        <v>0</v>
      </c>
      <c r="M65" t="s">
        <v>43</v>
      </c>
      <c r="N65" t="s">
        <v>30</v>
      </c>
      <c r="O65" t="s">
        <v>77</v>
      </c>
      <c r="P65" t="s">
        <v>78</v>
      </c>
      <c r="Q65" t="s">
        <v>56</v>
      </c>
      <c r="R65" s="1">
        <v>45592</v>
      </c>
      <c r="S65" t="s">
        <v>33</v>
      </c>
      <c r="T65" t="s">
        <v>46</v>
      </c>
      <c r="U65" t="s">
        <v>68</v>
      </c>
      <c r="V65" s="1">
        <v>45620</v>
      </c>
      <c r="W65" t="s">
        <v>48</v>
      </c>
      <c r="X65" t="str">
        <f>IF(OR(orders_Q4[[#This Row],[Qty]]&gt;5,orders_Q4[[#This Row],[Qty]]&lt;0),"Invalid Quantity","OK")</f>
        <v>OK</v>
      </c>
      <c r="Y65" t="b">
        <f>OR(orders_Q4[[#This Row],[Unit Price]]&gt;20000,orders_Q4[[#This Row],[Unit Price]]&lt;0,orders_Q4[[#This Row],[Unit Price]]=0)</f>
        <v>0</v>
      </c>
      <c r="Z6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65">
        <f>orders_Q4[[#This Row],[Unit Price]] * orders_Q4[[#This Row],[Qty]] * (1 - orders_Q4[[#This Row],[Disc %]]/100)</f>
        <v>2999</v>
      </c>
      <c r="AB65" t="str">
        <f>IF(ABS(orders_Q4[[#This Row],[Total]] - orders_Q4[[#This Row],[Calculated_order_total]]) &gt; 1, "Mismatch", "OK")</f>
        <v>OK</v>
      </c>
      <c r="AC65">
        <f>COUNTIF(C:C,orders_Q4[[#This Row],[Customer ID]])</f>
        <v>1</v>
      </c>
      <c r="AD65" t="str">
        <f>IF(AND(orders_Q4[[#This Row],[Type]]="New",orders_Q4[[#This Row],[Customer_id_count]]&gt;1),"Existing customer","OK")</f>
        <v>OK</v>
      </c>
      <c r="AE65">
        <f>orders_Q4[[#This Row],[Del Date]]-orders_Q4[[#This Row],[Order Date]]</f>
        <v>12</v>
      </c>
      <c r="AF65" t="str">
        <f>IF(OR(orders_Q4[[#This Row],[Delivery_time]]&gt;30,orders_Q4[[#This Row],[Delivery_time]]&lt;0),"Invalid_delivery_time","OK")</f>
        <v>OK</v>
      </c>
      <c r="AG65" s="20">
        <f>IF(
   AND(NOT(ISBLANK(orders_Q4[[#This Row],[return_received]])), NOT(ISBLANK(orders_Q4[[#This Row],[Del Date]]))),
   orders_Q4[[#This Row],[return_received]] - orders_Q4[[#This Row],[Del Date]],0)</f>
        <v>28</v>
      </c>
      <c r="AH65" t="str">
        <f>TEXT(orders_Q4[[#This Row],[Order Date]],"mmm-yyyy")</f>
        <v>Oct-2024</v>
      </c>
      <c r="AI65" s="1" t="str">
        <f>TEXT(orders_Q4[[#This Row],[Order Date]],"yyyy") &amp; "-" &amp; WEEKNUM(orders_Q4[[#This Row],[Order Date]])</f>
        <v>2024-42</v>
      </c>
      <c r="AJ65" t="str">
        <f>IF(orders_Q4[[#This Row],[Payment]]="COD","COD","Prepaid")</f>
        <v>Prepaid</v>
      </c>
    </row>
    <row r="66" spans="1:36" x14ac:dyDescent="0.3">
      <c r="A66" t="s">
        <v>347</v>
      </c>
      <c r="B66" s="1">
        <v>45581</v>
      </c>
      <c r="C66" t="s">
        <v>348</v>
      </c>
      <c r="D66" t="s">
        <v>25</v>
      </c>
      <c r="E66" t="s">
        <v>349</v>
      </c>
      <c r="F66" t="s">
        <v>71</v>
      </c>
      <c r="G66" t="s">
        <v>350</v>
      </c>
      <c r="H66">
        <v>699</v>
      </c>
      <c r="I66">
        <v>2</v>
      </c>
      <c r="J66">
        <v>1398</v>
      </c>
      <c r="K66" t="s">
        <v>110</v>
      </c>
      <c r="L66">
        <v>10</v>
      </c>
      <c r="M66" t="s">
        <v>111</v>
      </c>
      <c r="N66" t="s">
        <v>65</v>
      </c>
      <c r="O66" t="s">
        <v>84</v>
      </c>
      <c r="P66" t="s">
        <v>32</v>
      </c>
      <c r="Q66" t="s">
        <v>31</v>
      </c>
      <c r="R66" s="1">
        <v>45590</v>
      </c>
      <c r="S66" t="s">
        <v>33</v>
      </c>
      <c r="T66" t="s">
        <v>34</v>
      </c>
      <c r="W66" t="s">
        <v>35</v>
      </c>
      <c r="X66" t="str">
        <f>IF(OR(orders_Q4[[#This Row],[Qty]]&gt;5,orders_Q4[[#This Row],[Qty]]&lt;0),"Invalid Quantity","OK")</f>
        <v>OK</v>
      </c>
      <c r="Y66" t="b">
        <f>OR(orders_Q4[[#This Row],[Unit Price]]&gt;20000,orders_Q4[[#This Row],[Unit Price]]&lt;0,orders_Q4[[#This Row],[Unit Price]]=0)</f>
        <v>0</v>
      </c>
      <c r="Z6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66">
        <f>orders_Q4[[#This Row],[Unit Price]] * orders_Q4[[#This Row],[Qty]] * (1 - orders_Q4[[#This Row],[Disc %]]/100)</f>
        <v>1258.2</v>
      </c>
      <c r="AB66" t="str">
        <f>IF(ABS(orders_Q4[[#This Row],[Total]] - orders_Q4[[#This Row],[Calculated_order_total]]) &gt; 1, "Mismatch", "OK")</f>
        <v>Mismatch</v>
      </c>
      <c r="AC66">
        <f>COUNTIF(C:C,orders_Q4[[#This Row],[Customer ID]])</f>
        <v>1</v>
      </c>
      <c r="AD66" t="str">
        <f>IF(AND(orders_Q4[[#This Row],[Type]]="New",orders_Q4[[#This Row],[Customer_id_count]]&gt;1),"Existing customer","OK")</f>
        <v>OK</v>
      </c>
      <c r="AE66">
        <f>orders_Q4[[#This Row],[Del Date]]-orders_Q4[[#This Row],[Order Date]]</f>
        <v>9</v>
      </c>
      <c r="AF66" t="str">
        <f>IF(OR(orders_Q4[[#This Row],[Delivery_time]]&gt;30,orders_Q4[[#This Row],[Delivery_time]]&lt;0),"Invalid_delivery_time","OK")</f>
        <v>OK</v>
      </c>
      <c r="AG66" s="20">
        <f>IF(
   AND(NOT(ISBLANK(orders_Q4[[#This Row],[return_received]])), NOT(ISBLANK(orders_Q4[[#This Row],[Del Date]]))),
   orders_Q4[[#This Row],[return_received]] - orders_Q4[[#This Row],[Del Date]],0)</f>
        <v>0</v>
      </c>
      <c r="AH66" t="str">
        <f>TEXT(orders_Q4[[#This Row],[Order Date]],"mmm-yyyy")</f>
        <v>Oct-2024</v>
      </c>
      <c r="AI66" s="1" t="str">
        <f>TEXT(orders_Q4[[#This Row],[Order Date]],"yyyy") &amp; "-" &amp; WEEKNUM(orders_Q4[[#This Row],[Order Date]])</f>
        <v>2024-42</v>
      </c>
      <c r="AJ66" t="str">
        <f>IF(orders_Q4[[#This Row],[Payment]]="COD","COD","Prepaid")</f>
        <v>Prepaid</v>
      </c>
    </row>
    <row r="67" spans="1:36" x14ac:dyDescent="0.3">
      <c r="A67" t="s">
        <v>351</v>
      </c>
      <c r="B67" s="1">
        <v>45581</v>
      </c>
      <c r="C67" t="s">
        <v>352</v>
      </c>
      <c r="D67" t="s">
        <v>25</v>
      </c>
      <c r="E67" t="s">
        <v>353</v>
      </c>
      <c r="F67" t="s">
        <v>53</v>
      </c>
      <c r="G67" t="s">
        <v>354</v>
      </c>
      <c r="H67">
        <v>2199</v>
      </c>
      <c r="I67">
        <v>1</v>
      </c>
      <c r="J67">
        <v>2199</v>
      </c>
      <c r="L67">
        <v>0</v>
      </c>
      <c r="M67" t="s">
        <v>55</v>
      </c>
      <c r="N67" t="s">
        <v>44</v>
      </c>
      <c r="O67" t="s">
        <v>96</v>
      </c>
      <c r="P67" t="s">
        <v>97</v>
      </c>
      <c r="Q67" t="s">
        <v>31</v>
      </c>
      <c r="R67" s="1">
        <v>45593</v>
      </c>
      <c r="S67" t="s">
        <v>33</v>
      </c>
      <c r="T67" t="s">
        <v>46</v>
      </c>
      <c r="U67" t="s">
        <v>47</v>
      </c>
      <c r="V67" s="1">
        <v>45621</v>
      </c>
      <c r="W67" t="s">
        <v>48</v>
      </c>
      <c r="X67" t="str">
        <f>IF(OR(orders_Q4[[#This Row],[Qty]]&gt;5,orders_Q4[[#This Row],[Qty]]&lt;0),"Invalid Quantity","OK")</f>
        <v>OK</v>
      </c>
      <c r="Y67" t="b">
        <f>OR(orders_Q4[[#This Row],[Unit Price]]&gt;20000,orders_Q4[[#This Row],[Unit Price]]&lt;0,orders_Q4[[#This Row],[Unit Price]]=0)</f>
        <v>0</v>
      </c>
      <c r="Z6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67">
        <f>orders_Q4[[#This Row],[Unit Price]] * orders_Q4[[#This Row],[Qty]] * (1 - orders_Q4[[#This Row],[Disc %]]/100)</f>
        <v>2199</v>
      </c>
      <c r="AB67" t="str">
        <f>IF(ABS(orders_Q4[[#This Row],[Total]] - orders_Q4[[#This Row],[Calculated_order_total]]) &gt; 1, "Mismatch", "OK")</f>
        <v>OK</v>
      </c>
      <c r="AC67">
        <f>COUNTIF(C:C,orders_Q4[[#This Row],[Customer ID]])</f>
        <v>1</v>
      </c>
      <c r="AD67" t="str">
        <f>IF(AND(orders_Q4[[#This Row],[Type]]="New",orders_Q4[[#This Row],[Customer_id_count]]&gt;1),"Existing customer","OK")</f>
        <v>OK</v>
      </c>
      <c r="AE67">
        <f>orders_Q4[[#This Row],[Del Date]]-orders_Q4[[#This Row],[Order Date]]</f>
        <v>12</v>
      </c>
      <c r="AF67" t="str">
        <f>IF(OR(orders_Q4[[#This Row],[Delivery_time]]&gt;30,orders_Q4[[#This Row],[Delivery_time]]&lt;0),"Invalid_delivery_time","OK")</f>
        <v>OK</v>
      </c>
      <c r="AG67" s="20">
        <f>IF(
   AND(NOT(ISBLANK(orders_Q4[[#This Row],[return_received]])), NOT(ISBLANK(orders_Q4[[#This Row],[Del Date]]))),
   orders_Q4[[#This Row],[return_received]] - orders_Q4[[#This Row],[Del Date]],0)</f>
        <v>28</v>
      </c>
      <c r="AH67" t="str">
        <f>TEXT(orders_Q4[[#This Row],[Order Date]],"mmm-yyyy")</f>
        <v>Oct-2024</v>
      </c>
      <c r="AI67" s="1" t="str">
        <f>TEXT(orders_Q4[[#This Row],[Order Date]],"yyyy") &amp; "-" &amp; WEEKNUM(orders_Q4[[#This Row],[Order Date]])</f>
        <v>2024-42</v>
      </c>
      <c r="AJ67" t="str">
        <f>IF(orders_Q4[[#This Row],[Payment]]="COD","COD","Prepaid")</f>
        <v>COD</v>
      </c>
    </row>
    <row r="68" spans="1:36" x14ac:dyDescent="0.3">
      <c r="A68" t="s">
        <v>355</v>
      </c>
      <c r="B68" s="1">
        <v>45581</v>
      </c>
      <c r="C68" t="s">
        <v>356</v>
      </c>
      <c r="D68" t="s">
        <v>38</v>
      </c>
      <c r="E68" t="s">
        <v>357</v>
      </c>
      <c r="F68" t="s">
        <v>40</v>
      </c>
      <c r="G68" t="s">
        <v>358</v>
      </c>
      <c r="H68">
        <v>2499</v>
      </c>
      <c r="I68">
        <v>1</v>
      </c>
      <c r="J68">
        <v>2499</v>
      </c>
      <c r="L68">
        <v>0</v>
      </c>
      <c r="M68" t="s">
        <v>43</v>
      </c>
      <c r="N68" t="s">
        <v>30</v>
      </c>
      <c r="O68" t="s">
        <v>102</v>
      </c>
      <c r="P68" t="s">
        <v>103</v>
      </c>
      <c r="Q68" t="s">
        <v>45</v>
      </c>
      <c r="R68" s="1">
        <v>45591</v>
      </c>
      <c r="S68" t="s">
        <v>33</v>
      </c>
      <c r="T68" t="s">
        <v>34</v>
      </c>
      <c r="W68" t="s">
        <v>35</v>
      </c>
      <c r="X68" t="str">
        <f>IF(OR(orders_Q4[[#This Row],[Qty]]&gt;5,orders_Q4[[#This Row],[Qty]]&lt;0),"Invalid Quantity","OK")</f>
        <v>OK</v>
      </c>
      <c r="Y68" t="b">
        <f>OR(orders_Q4[[#This Row],[Unit Price]]&gt;20000,orders_Q4[[#This Row],[Unit Price]]&lt;0,orders_Q4[[#This Row],[Unit Price]]=0)</f>
        <v>0</v>
      </c>
      <c r="Z6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68">
        <f>orders_Q4[[#This Row],[Unit Price]] * orders_Q4[[#This Row],[Qty]] * (1 - orders_Q4[[#This Row],[Disc %]]/100)</f>
        <v>2499</v>
      </c>
      <c r="AB68" t="str">
        <f>IF(ABS(orders_Q4[[#This Row],[Total]] - orders_Q4[[#This Row],[Calculated_order_total]]) &gt; 1, "Mismatch", "OK")</f>
        <v>OK</v>
      </c>
      <c r="AC68">
        <f>COUNTIF(C:C,orders_Q4[[#This Row],[Customer ID]])</f>
        <v>1</v>
      </c>
      <c r="AD68" t="str">
        <f>IF(AND(orders_Q4[[#This Row],[Type]]="New",orders_Q4[[#This Row],[Customer_id_count]]&gt;1),"Existing customer","OK")</f>
        <v>OK</v>
      </c>
      <c r="AE68">
        <f>orders_Q4[[#This Row],[Del Date]]-orders_Q4[[#This Row],[Order Date]]</f>
        <v>10</v>
      </c>
      <c r="AF68" t="str">
        <f>IF(OR(orders_Q4[[#This Row],[Delivery_time]]&gt;30,orders_Q4[[#This Row],[Delivery_time]]&lt;0),"Invalid_delivery_time","OK")</f>
        <v>OK</v>
      </c>
      <c r="AG68" s="20">
        <f>IF(
   AND(NOT(ISBLANK(orders_Q4[[#This Row],[return_received]])), NOT(ISBLANK(orders_Q4[[#This Row],[Del Date]]))),
   orders_Q4[[#This Row],[return_received]] - orders_Q4[[#This Row],[Del Date]],0)</f>
        <v>0</v>
      </c>
      <c r="AH68" t="str">
        <f>TEXT(orders_Q4[[#This Row],[Order Date]],"mmm-yyyy")</f>
        <v>Oct-2024</v>
      </c>
      <c r="AI68" s="1" t="str">
        <f>TEXT(orders_Q4[[#This Row],[Order Date]],"yyyy") &amp; "-" &amp; WEEKNUM(orders_Q4[[#This Row],[Order Date]])</f>
        <v>2024-42</v>
      </c>
      <c r="AJ68" t="str">
        <f>IF(orders_Q4[[#This Row],[Payment]]="COD","COD","Prepaid")</f>
        <v>Prepaid</v>
      </c>
    </row>
    <row r="69" spans="1:36" x14ac:dyDescent="0.3">
      <c r="A69" t="s">
        <v>359</v>
      </c>
      <c r="B69" s="1">
        <v>45581</v>
      </c>
      <c r="C69" t="s">
        <v>360</v>
      </c>
      <c r="D69" t="s">
        <v>25</v>
      </c>
      <c r="E69" t="s">
        <v>361</v>
      </c>
      <c r="F69" t="s">
        <v>27</v>
      </c>
      <c r="G69" t="s">
        <v>362</v>
      </c>
      <c r="H69">
        <v>1899</v>
      </c>
      <c r="I69">
        <v>1</v>
      </c>
      <c r="J69">
        <v>1899</v>
      </c>
      <c r="K69" t="s">
        <v>42</v>
      </c>
      <c r="L69">
        <v>20</v>
      </c>
      <c r="M69" t="s">
        <v>29</v>
      </c>
      <c r="N69" t="s">
        <v>65</v>
      </c>
      <c r="O69" t="s">
        <v>112</v>
      </c>
      <c r="P69" t="s">
        <v>113</v>
      </c>
      <c r="Q69" t="s">
        <v>45</v>
      </c>
      <c r="R69" s="1">
        <v>45592</v>
      </c>
      <c r="S69" t="s">
        <v>33</v>
      </c>
      <c r="T69" t="s">
        <v>46</v>
      </c>
      <c r="U69" t="s">
        <v>79</v>
      </c>
      <c r="V69" s="1">
        <v>45616</v>
      </c>
      <c r="W69" t="s">
        <v>48</v>
      </c>
      <c r="X69" t="str">
        <f>IF(OR(orders_Q4[[#This Row],[Qty]]&gt;5,orders_Q4[[#This Row],[Qty]]&lt;0),"Invalid Quantity","OK")</f>
        <v>OK</v>
      </c>
      <c r="Y69" t="b">
        <f>OR(orders_Q4[[#This Row],[Unit Price]]&gt;20000,orders_Q4[[#This Row],[Unit Price]]&lt;0,orders_Q4[[#This Row],[Unit Price]]=0)</f>
        <v>0</v>
      </c>
      <c r="Z6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69">
        <f>orders_Q4[[#This Row],[Unit Price]] * orders_Q4[[#This Row],[Qty]] * (1 - orders_Q4[[#This Row],[Disc %]]/100)</f>
        <v>1519.2</v>
      </c>
      <c r="AB69" t="str">
        <f>IF(ABS(orders_Q4[[#This Row],[Total]] - orders_Q4[[#This Row],[Calculated_order_total]]) &gt; 1, "Mismatch", "OK")</f>
        <v>Mismatch</v>
      </c>
      <c r="AC69">
        <f>COUNTIF(C:C,orders_Q4[[#This Row],[Customer ID]])</f>
        <v>1</v>
      </c>
      <c r="AD69" t="str">
        <f>IF(AND(orders_Q4[[#This Row],[Type]]="New",orders_Q4[[#This Row],[Customer_id_count]]&gt;1),"Existing customer","OK")</f>
        <v>OK</v>
      </c>
      <c r="AE69">
        <f>orders_Q4[[#This Row],[Del Date]]-orders_Q4[[#This Row],[Order Date]]</f>
        <v>11</v>
      </c>
      <c r="AF69" t="str">
        <f>IF(OR(orders_Q4[[#This Row],[Delivery_time]]&gt;30,orders_Q4[[#This Row],[Delivery_time]]&lt;0),"Invalid_delivery_time","OK")</f>
        <v>OK</v>
      </c>
      <c r="AG69" s="20">
        <f>IF(
   AND(NOT(ISBLANK(orders_Q4[[#This Row],[return_received]])), NOT(ISBLANK(orders_Q4[[#This Row],[Del Date]]))),
   orders_Q4[[#This Row],[return_received]] - orders_Q4[[#This Row],[Del Date]],0)</f>
        <v>24</v>
      </c>
      <c r="AH69" t="str">
        <f>TEXT(orders_Q4[[#This Row],[Order Date]],"mmm-yyyy")</f>
        <v>Oct-2024</v>
      </c>
      <c r="AI69" s="1" t="str">
        <f>TEXT(orders_Q4[[#This Row],[Order Date]],"yyyy") &amp; "-" &amp; WEEKNUM(orders_Q4[[#This Row],[Order Date]])</f>
        <v>2024-42</v>
      </c>
      <c r="AJ69" t="str">
        <f>IF(orders_Q4[[#This Row],[Payment]]="COD","COD","Prepaid")</f>
        <v>Prepaid</v>
      </c>
    </row>
    <row r="70" spans="1:36" x14ac:dyDescent="0.3">
      <c r="A70" t="s">
        <v>363</v>
      </c>
      <c r="B70" s="1">
        <v>45582</v>
      </c>
      <c r="C70" t="s">
        <v>364</v>
      </c>
      <c r="D70" t="s">
        <v>25</v>
      </c>
      <c r="E70" t="s">
        <v>365</v>
      </c>
      <c r="F70" t="s">
        <v>61</v>
      </c>
      <c r="G70" t="s">
        <v>366</v>
      </c>
      <c r="H70">
        <v>1299</v>
      </c>
      <c r="I70">
        <v>1</v>
      </c>
      <c r="J70">
        <v>1299</v>
      </c>
      <c r="L70">
        <v>0</v>
      </c>
      <c r="M70" t="s">
        <v>64</v>
      </c>
      <c r="N70" t="s">
        <v>44</v>
      </c>
      <c r="O70" t="s">
        <v>56</v>
      </c>
      <c r="P70" t="s">
        <v>57</v>
      </c>
      <c r="Q70" t="s">
        <v>56</v>
      </c>
      <c r="R70" s="1">
        <v>45593</v>
      </c>
      <c r="S70" t="s">
        <v>33</v>
      </c>
      <c r="T70" t="s">
        <v>34</v>
      </c>
      <c r="W70" t="s">
        <v>35</v>
      </c>
      <c r="X70" t="str">
        <f>IF(OR(orders_Q4[[#This Row],[Qty]]&gt;5,orders_Q4[[#This Row],[Qty]]&lt;0),"Invalid Quantity","OK")</f>
        <v>OK</v>
      </c>
      <c r="Y70" t="b">
        <f>OR(orders_Q4[[#This Row],[Unit Price]]&gt;20000,orders_Q4[[#This Row],[Unit Price]]&lt;0,orders_Q4[[#This Row],[Unit Price]]=0)</f>
        <v>0</v>
      </c>
      <c r="Z7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70">
        <f>orders_Q4[[#This Row],[Unit Price]] * orders_Q4[[#This Row],[Qty]] * (1 - orders_Q4[[#This Row],[Disc %]]/100)</f>
        <v>1299</v>
      </c>
      <c r="AB70" t="str">
        <f>IF(ABS(orders_Q4[[#This Row],[Total]] - orders_Q4[[#This Row],[Calculated_order_total]]) &gt; 1, "Mismatch", "OK")</f>
        <v>OK</v>
      </c>
      <c r="AC70">
        <f>COUNTIF(C:C,orders_Q4[[#This Row],[Customer ID]])</f>
        <v>1</v>
      </c>
      <c r="AD70" t="str">
        <f>IF(AND(orders_Q4[[#This Row],[Type]]="New",orders_Q4[[#This Row],[Customer_id_count]]&gt;1),"Existing customer","OK")</f>
        <v>OK</v>
      </c>
      <c r="AE70">
        <f>orders_Q4[[#This Row],[Del Date]]-orders_Q4[[#This Row],[Order Date]]</f>
        <v>11</v>
      </c>
      <c r="AF70" t="str">
        <f>IF(OR(orders_Q4[[#This Row],[Delivery_time]]&gt;30,orders_Q4[[#This Row],[Delivery_time]]&lt;0),"Invalid_delivery_time","OK")</f>
        <v>OK</v>
      </c>
      <c r="AG70" s="20">
        <f>IF(
   AND(NOT(ISBLANK(orders_Q4[[#This Row],[return_received]])), NOT(ISBLANK(orders_Q4[[#This Row],[Del Date]]))),
   orders_Q4[[#This Row],[return_received]] - orders_Q4[[#This Row],[Del Date]],0)</f>
        <v>0</v>
      </c>
      <c r="AH70" t="str">
        <f>TEXT(orders_Q4[[#This Row],[Order Date]],"mmm-yyyy")</f>
        <v>Oct-2024</v>
      </c>
      <c r="AI70" s="1" t="str">
        <f>TEXT(orders_Q4[[#This Row],[Order Date]],"yyyy") &amp; "-" &amp; WEEKNUM(orders_Q4[[#This Row],[Order Date]])</f>
        <v>2024-42</v>
      </c>
      <c r="AJ70" t="str">
        <f>IF(orders_Q4[[#This Row],[Payment]]="COD","COD","Prepaid")</f>
        <v>Prepaid</v>
      </c>
    </row>
    <row r="71" spans="1:36" x14ac:dyDescent="0.3">
      <c r="A71" t="s">
        <v>367</v>
      </c>
      <c r="B71" s="1">
        <v>45582</v>
      </c>
      <c r="C71" t="s">
        <v>368</v>
      </c>
      <c r="D71" t="s">
        <v>25</v>
      </c>
      <c r="E71" t="s">
        <v>369</v>
      </c>
      <c r="F71" t="s">
        <v>71</v>
      </c>
      <c r="G71" t="s">
        <v>370</v>
      </c>
      <c r="H71">
        <v>1599</v>
      </c>
      <c r="I71">
        <v>1</v>
      </c>
      <c r="J71">
        <v>1599</v>
      </c>
      <c r="L71">
        <v>0</v>
      </c>
      <c r="M71" t="s">
        <v>43</v>
      </c>
      <c r="N71" t="s">
        <v>30</v>
      </c>
      <c r="O71" t="s">
        <v>31</v>
      </c>
      <c r="P71" t="s">
        <v>32</v>
      </c>
      <c r="Q71" t="s">
        <v>31</v>
      </c>
      <c r="R71" s="1">
        <v>45592</v>
      </c>
      <c r="S71" t="s">
        <v>33</v>
      </c>
      <c r="T71" t="s">
        <v>46</v>
      </c>
      <c r="U71" t="s">
        <v>138</v>
      </c>
      <c r="V71" s="1">
        <v>45618</v>
      </c>
      <c r="W71" t="s">
        <v>48</v>
      </c>
      <c r="X71" t="str">
        <f>IF(OR(orders_Q4[[#This Row],[Qty]]&gt;5,orders_Q4[[#This Row],[Qty]]&lt;0),"Invalid Quantity","OK")</f>
        <v>OK</v>
      </c>
      <c r="Y71" t="b">
        <f>OR(orders_Q4[[#This Row],[Unit Price]]&gt;20000,orders_Q4[[#This Row],[Unit Price]]&lt;0,orders_Q4[[#This Row],[Unit Price]]=0)</f>
        <v>0</v>
      </c>
      <c r="Z7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71">
        <f>orders_Q4[[#This Row],[Unit Price]] * orders_Q4[[#This Row],[Qty]] * (1 - orders_Q4[[#This Row],[Disc %]]/100)</f>
        <v>1599</v>
      </c>
      <c r="AB71" t="str">
        <f>IF(ABS(orders_Q4[[#This Row],[Total]] - orders_Q4[[#This Row],[Calculated_order_total]]) &gt; 1, "Mismatch", "OK")</f>
        <v>OK</v>
      </c>
      <c r="AC71">
        <f>COUNTIF(C:C,orders_Q4[[#This Row],[Customer ID]])</f>
        <v>1</v>
      </c>
      <c r="AD71" t="str">
        <f>IF(AND(orders_Q4[[#This Row],[Type]]="New",orders_Q4[[#This Row],[Customer_id_count]]&gt;1),"Existing customer","OK")</f>
        <v>OK</v>
      </c>
      <c r="AE71">
        <f>orders_Q4[[#This Row],[Del Date]]-orders_Q4[[#This Row],[Order Date]]</f>
        <v>10</v>
      </c>
      <c r="AF71" t="str">
        <f>IF(OR(orders_Q4[[#This Row],[Delivery_time]]&gt;30,orders_Q4[[#This Row],[Delivery_time]]&lt;0),"Invalid_delivery_time","OK")</f>
        <v>OK</v>
      </c>
      <c r="AG71" s="20">
        <f>IF(
   AND(NOT(ISBLANK(orders_Q4[[#This Row],[return_received]])), NOT(ISBLANK(orders_Q4[[#This Row],[Del Date]]))),
   orders_Q4[[#This Row],[return_received]] - orders_Q4[[#This Row],[Del Date]],0)</f>
        <v>26</v>
      </c>
      <c r="AH71" t="str">
        <f>TEXT(orders_Q4[[#This Row],[Order Date]],"mmm-yyyy")</f>
        <v>Oct-2024</v>
      </c>
      <c r="AI71" s="1" t="str">
        <f>TEXT(orders_Q4[[#This Row],[Order Date]],"yyyy") &amp; "-" &amp; WEEKNUM(orders_Q4[[#This Row],[Order Date]])</f>
        <v>2024-42</v>
      </c>
      <c r="AJ71" t="str">
        <f>IF(orders_Q4[[#This Row],[Payment]]="COD","COD","Prepaid")</f>
        <v>Prepaid</v>
      </c>
    </row>
    <row r="72" spans="1:36" x14ac:dyDescent="0.3">
      <c r="A72" t="s">
        <v>371</v>
      </c>
      <c r="B72" s="1">
        <v>45582</v>
      </c>
      <c r="C72" t="s">
        <v>372</v>
      </c>
      <c r="D72" t="s">
        <v>38</v>
      </c>
      <c r="E72" t="s">
        <v>373</v>
      </c>
      <c r="F72" t="s">
        <v>53</v>
      </c>
      <c r="G72" t="s">
        <v>374</v>
      </c>
      <c r="H72">
        <v>2099</v>
      </c>
      <c r="I72">
        <v>1</v>
      </c>
      <c r="J72">
        <v>2099</v>
      </c>
      <c r="K72" t="s">
        <v>63</v>
      </c>
      <c r="L72">
        <v>15</v>
      </c>
      <c r="M72" t="s">
        <v>29</v>
      </c>
      <c r="N72" t="s">
        <v>65</v>
      </c>
      <c r="O72" t="s">
        <v>45</v>
      </c>
      <c r="P72" t="s">
        <v>45</v>
      </c>
      <c r="Q72" t="s">
        <v>45</v>
      </c>
      <c r="R72" s="1">
        <v>45594</v>
      </c>
      <c r="S72" t="s">
        <v>33</v>
      </c>
      <c r="T72" t="s">
        <v>34</v>
      </c>
      <c r="W72" t="s">
        <v>35</v>
      </c>
      <c r="X72" t="str">
        <f>IF(OR(orders_Q4[[#This Row],[Qty]]&gt;5,orders_Q4[[#This Row],[Qty]]&lt;0),"Invalid Quantity","OK")</f>
        <v>OK</v>
      </c>
      <c r="Y72" t="b">
        <f>OR(orders_Q4[[#This Row],[Unit Price]]&gt;20000,orders_Q4[[#This Row],[Unit Price]]&lt;0,orders_Q4[[#This Row],[Unit Price]]=0)</f>
        <v>0</v>
      </c>
      <c r="Z7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72">
        <f>orders_Q4[[#This Row],[Unit Price]] * orders_Q4[[#This Row],[Qty]] * (1 - orders_Q4[[#This Row],[Disc %]]/100)</f>
        <v>1784.1499999999999</v>
      </c>
      <c r="AB72" t="str">
        <f>IF(ABS(orders_Q4[[#This Row],[Total]] - orders_Q4[[#This Row],[Calculated_order_total]]) &gt; 1, "Mismatch", "OK")</f>
        <v>Mismatch</v>
      </c>
      <c r="AC72">
        <f>COUNTIF(C:C,orders_Q4[[#This Row],[Customer ID]])</f>
        <v>1</v>
      </c>
      <c r="AD72" t="str">
        <f>IF(AND(orders_Q4[[#This Row],[Type]]="New",orders_Q4[[#This Row],[Customer_id_count]]&gt;1),"Existing customer","OK")</f>
        <v>OK</v>
      </c>
      <c r="AE72">
        <f>orders_Q4[[#This Row],[Del Date]]-orders_Q4[[#This Row],[Order Date]]</f>
        <v>12</v>
      </c>
      <c r="AF72" t="str">
        <f>IF(OR(orders_Q4[[#This Row],[Delivery_time]]&gt;30,orders_Q4[[#This Row],[Delivery_time]]&lt;0),"Invalid_delivery_time","OK")</f>
        <v>OK</v>
      </c>
      <c r="AG72" s="20">
        <f>IF(
   AND(NOT(ISBLANK(orders_Q4[[#This Row],[return_received]])), NOT(ISBLANK(orders_Q4[[#This Row],[Del Date]]))),
   orders_Q4[[#This Row],[return_received]] - orders_Q4[[#This Row],[Del Date]],0)</f>
        <v>0</v>
      </c>
      <c r="AH72" t="str">
        <f>TEXT(orders_Q4[[#This Row],[Order Date]],"mmm-yyyy")</f>
        <v>Oct-2024</v>
      </c>
      <c r="AI72" s="1" t="str">
        <f>TEXT(orders_Q4[[#This Row],[Order Date]],"yyyy") &amp; "-" &amp; WEEKNUM(orders_Q4[[#This Row],[Order Date]])</f>
        <v>2024-42</v>
      </c>
      <c r="AJ72" t="str">
        <f>IF(orders_Q4[[#This Row],[Payment]]="COD","COD","Prepaid")</f>
        <v>Prepaid</v>
      </c>
    </row>
    <row r="73" spans="1:36" x14ac:dyDescent="0.3">
      <c r="A73" t="s">
        <v>375</v>
      </c>
      <c r="B73" s="1">
        <v>45582</v>
      </c>
      <c r="C73" t="s">
        <v>376</v>
      </c>
      <c r="D73" t="s">
        <v>25</v>
      </c>
      <c r="E73" t="s">
        <v>377</v>
      </c>
      <c r="F73" t="s">
        <v>40</v>
      </c>
      <c r="G73" t="s">
        <v>378</v>
      </c>
      <c r="H73">
        <v>2299</v>
      </c>
      <c r="I73">
        <v>1</v>
      </c>
      <c r="J73">
        <v>2299</v>
      </c>
      <c r="L73">
        <v>0</v>
      </c>
      <c r="M73" t="s">
        <v>55</v>
      </c>
      <c r="N73" t="s">
        <v>44</v>
      </c>
      <c r="O73" t="s">
        <v>118</v>
      </c>
      <c r="P73" t="s">
        <v>119</v>
      </c>
      <c r="Q73" t="s">
        <v>45</v>
      </c>
      <c r="S73" t="s">
        <v>120</v>
      </c>
      <c r="T73" t="s">
        <v>34</v>
      </c>
      <c r="W73" t="s">
        <v>35</v>
      </c>
      <c r="X73" t="str">
        <f>IF(OR(orders_Q4[[#This Row],[Qty]]&gt;5,orders_Q4[[#This Row],[Qty]]&lt;0),"Invalid Quantity","OK")</f>
        <v>OK</v>
      </c>
      <c r="Y73" t="b">
        <f>OR(orders_Q4[[#This Row],[Unit Price]]&gt;20000,orders_Q4[[#This Row],[Unit Price]]&lt;0,orders_Q4[[#This Row],[Unit Price]]=0)</f>
        <v>0</v>
      </c>
      <c r="Z7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73">
        <f>orders_Q4[[#This Row],[Unit Price]] * orders_Q4[[#This Row],[Qty]] * (1 - orders_Q4[[#This Row],[Disc %]]/100)</f>
        <v>2299</v>
      </c>
      <c r="AB73" t="str">
        <f>IF(ABS(orders_Q4[[#This Row],[Total]] - orders_Q4[[#This Row],[Calculated_order_total]]) &gt; 1, "Mismatch", "OK")</f>
        <v>OK</v>
      </c>
      <c r="AC73">
        <f>COUNTIF(C:C,orders_Q4[[#This Row],[Customer ID]])</f>
        <v>1</v>
      </c>
      <c r="AD73" t="str">
        <f>IF(AND(orders_Q4[[#This Row],[Type]]="New",orders_Q4[[#This Row],[Customer_id_count]]&gt;1),"Existing customer","OK")</f>
        <v>OK</v>
      </c>
      <c r="AE73">
        <f>orders_Q4[[#This Row],[Del Date]]-orders_Q4[[#This Row],[Order Date]]</f>
        <v>-45582</v>
      </c>
      <c r="AF73" t="str">
        <f>IF(OR(orders_Q4[[#This Row],[Delivery_time]]&gt;30,orders_Q4[[#This Row],[Delivery_time]]&lt;0),"Invalid_delivery_time","OK")</f>
        <v>Invalid_delivery_time</v>
      </c>
      <c r="AG73" s="20">
        <f>IF(
   AND(NOT(ISBLANK(orders_Q4[[#This Row],[return_received]])), NOT(ISBLANK(orders_Q4[[#This Row],[Del Date]]))),
   orders_Q4[[#This Row],[return_received]] - orders_Q4[[#This Row],[Del Date]],0)</f>
        <v>0</v>
      </c>
      <c r="AH73" t="str">
        <f>TEXT(orders_Q4[[#This Row],[Order Date]],"mmm-yyyy")</f>
        <v>Oct-2024</v>
      </c>
      <c r="AI73" s="1" t="str">
        <f>TEXT(orders_Q4[[#This Row],[Order Date]],"yyyy") &amp; "-" &amp; WEEKNUM(orders_Q4[[#This Row],[Order Date]])</f>
        <v>2024-42</v>
      </c>
      <c r="AJ73" t="str">
        <f>IF(orders_Q4[[#This Row],[Payment]]="COD","COD","Prepaid")</f>
        <v>COD</v>
      </c>
    </row>
    <row r="74" spans="1:36" x14ac:dyDescent="0.3">
      <c r="A74" t="s">
        <v>379</v>
      </c>
      <c r="B74" s="1">
        <v>45583</v>
      </c>
      <c r="C74" t="s">
        <v>380</v>
      </c>
      <c r="D74" t="s">
        <v>25</v>
      </c>
      <c r="E74" t="s">
        <v>381</v>
      </c>
      <c r="F74" t="s">
        <v>27</v>
      </c>
      <c r="G74" t="s">
        <v>382</v>
      </c>
      <c r="H74">
        <v>1199</v>
      </c>
      <c r="I74">
        <v>2</v>
      </c>
      <c r="J74">
        <v>2398</v>
      </c>
      <c r="L74">
        <v>0</v>
      </c>
      <c r="M74" t="s">
        <v>111</v>
      </c>
      <c r="N74" t="s">
        <v>30</v>
      </c>
      <c r="O74" t="s">
        <v>137</v>
      </c>
      <c r="P74" t="s">
        <v>113</v>
      </c>
      <c r="Q74" t="s">
        <v>45</v>
      </c>
      <c r="R74" s="1">
        <v>45593</v>
      </c>
      <c r="S74" t="s">
        <v>33</v>
      </c>
      <c r="T74" t="s">
        <v>34</v>
      </c>
      <c r="W74" t="s">
        <v>35</v>
      </c>
      <c r="X74" t="str">
        <f>IF(OR(orders_Q4[[#This Row],[Qty]]&gt;5,orders_Q4[[#This Row],[Qty]]&lt;0),"Invalid Quantity","OK")</f>
        <v>OK</v>
      </c>
      <c r="Y74" t="b">
        <f>OR(orders_Q4[[#This Row],[Unit Price]]&gt;20000,orders_Q4[[#This Row],[Unit Price]]&lt;0,orders_Q4[[#This Row],[Unit Price]]=0)</f>
        <v>0</v>
      </c>
      <c r="Z7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74">
        <f>orders_Q4[[#This Row],[Unit Price]] * orders_Q4[[#This Row],[Qty]] * (1 - orders_Q4[[#This Row],[Disc %]]/100)</f>
        <v>2398</v>
      </c>
      <c r="AB74" t="str">
        <f>IF(ABS(orders_Q4[[#This Row],[Total]] - orders_Q4[[#This Row],[Calculated_order_total]]) &gt; 1, "Mismatch", "OK")</f>
        <v>OK</v>
      </c>
      <c r="AC74">
        <f>COUNTIF(C:C,orders_Q4[[#This Row],[Customer ID]])</f>
        <v>1</v>
      </c>
      <c r="AD74" t="str">
        <f>IF(AND(orders_Q4[[#This Row],[Type]]="New",orders_Q4[[#This Row],[Customer_id_count]]&gt;1),"Existing customer","OK")</f>
        <v>OK</v>
      </c>
      <c r="AE74">
        <f>orders_Q4[[#This Row],[Del Date]]-orders_Q4[[#This Row],[Order Date]]</f>
        <v>10</v>
      </c>
      <c r="AF74" t="str">
        <f>IF(OR(orders_Q4[[#This Row],[Delivery_time]]&gt;30,orders_Q4[[#This Row],[Delivery_time]]&lt;0),"Invalid_delivery_time","OK")</f>
        <v>OK</v>
      </c>
      <c r="AG74" s="20">
        <f>IF(
   AND(NOT(ISBLANK(orders_Q4[[#This Row],[return_received]])), NOT(ISBLANK(orders_Q4[[#This Row],[Del Date]]))),
   orders_Q4[[#This Row],[return_received]] - orders_Q4[[#This Row],[Del Date]],0)</f>
        <v>0</v>
      </c>
      <c r="AH74" t="str">
        <f>TEXT(orders_Q4[[#This Row],[Order Date]],"mmm-yyyy")</f>
        <v>Oct-2024</v>
      </c>
      <c r="AI74" s="1" t="str">
        <f>TEXT(orders_Q4[[#This Row],[Order Date]],"yyyy") &amp; "-" &amp; WEEKNUM(orders_Q4[[#This Row],[Order Date]])</f>
        <v>2024-42</v>
      </c>
      <c r="AJ74" t="str">
        <f>IF(orders_Q4[[#This Row],[Payment]]="COD","COD","Prepaid")</f>
        <v>Prepaid</v>
      </c>
    </row>
    <row r="75" spans="1:36" x14ac:dyDescent="0.3">
      <c r="A75" t="s">
        <v>383</v>
      </c>
      <c r="B75" s="1">
        <v>45583</v>
      </c>
      <c r="C75" t="s">
        <v>384</v>
      </c>
      <c r="D75" t="s">
        <v>25</v>
      </c>
      <c r="E75" t="s">
        <v>385</v>
      </c>
      <c r="F75" t="s">
        <v>61</v>
      </c>
      <c r="G75" t="s">
        <v>386</v>
      </c>
      <c r="H75">
        <v>2599</v>
      </c>
      <c r="I75">
        <v>1</v>
      </c>
      <c r="J75">
        <v>2599</v>
      </c>
      <c r="K75" t="s">
        <v>42</v>
      </c>
      <c r="L75">
        <v>20</v>
      </c>
      <c r="M75" t="s">
        <v>43</v>
      </c>
      <c r="N75" t="s">
        <v>65</v>
      </c>
      <c r="O75" t="s">
        <v>143</v>
      </c>
      <c r="P75" t="s">
        <v>144</v>
      </c>
      <c r="Q75" t="s">
        <v>45</v>
      </c>
      <c r="R75" s="1">
        <v>45595</v>
      </c>
      <c r="S75" t="s">
        <v>33</v>
      </c>
      <c r="T75" t="s">
        <v>46</v>
      </c>
      <c r="U75" t="s">
        <v>47</v>
      </c>
      <c r="V75" s="1">
        <v>45622</v>
      </c>
      <c r="W75" t="s">
        <v>48</v>
      </c>
      <c r="X75" t="str">
        <f>IF(OR(orders_Q4[[#This Row],[Qty]]&gt;5,orders_Q4[[#This Row],[Qty]]&lt;0),"Invalid Quantity","OK")</f>
        <v>OK</v>
      </c>
      <c r="Y75" t="b">
        <f>OR(orders_Q4[[#This Row],[Unit Price]]&gt;20000,orders_Q4[[#This Row],[Unit Price]]&lt;0,orders_Q4[[#This Row],[Unit Price]]=0)</f>
        <v>0</v>
      </c>
      <c r="Z7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75">
        <f>orders_Q4[[#This Row],[Unit Price]] * orders_Q4[[#This Row],[Qty]] * (1 - orders_Q4[[#This Row],[Disc %]]/100)</f>
        <v>2079.2000000000003</v>
      </c>
      <c r="AB75" t="str">
        <f>IF(ABS(orders_Q4[[#This Row],[Total]] - orders_Q4[[#This Row],[Calculated_order_total]]) &gt; 1, "Mismatch", "OK")</f>
        <v>Mismatch</v>
      </c>
      <c r="AC75">
        <f>COUNTIF(C:C,orders_Q4[[#This Row],[Customer ID]])</f>
        <v>1</v>
      </c>
      <c r="AD75" t="str">
        <f>IF(AND(orders_Q4[[#This Row],[Type]]="New",orders_Q4[[#This Row],[Customer_id_count]]&gt;1),"Existing customer","OK")</f>
        <v>OK</v>
      </c>
      <c r="AE75">
        <f>orders_Q4[[#This Row],[Del Date]]-orders_Q4[[#This Row],[Order Date]]</f>
        <v>12</v>
      </c>
      <c r="AF75" t="str">
        <f>IF(OR(orders_Q4[[#This Row],[Delivery_time]]&gt;30,orders_Q4[[#This Row],[Delivery_time]]&lt;0),"Invalid_delivery_time","OK")</f>
        <v>OK</v>
      </c>
      <c r="AG75" s="20">
        <f>IF(
   AND(NOT(ISBLANK(orders_Q4[[#This Row],[return_received]])), NOT(ISBLANK(orders_Q4[[#This Row],[Del Date]]))),
   orders_Q4[[#This Row],[return_received]] - orders_Q4[[#This Row],[Del Date]],0)</f>
        <v>27</v>
      </c>
      <c r="AH75" t="str">
        <f>TEXT(orders_Q4[[#This Row],[Order Date]],"mmm-yyyy")</f>
        <v>Oct-2024</v>
      </c>
      <c r="AI75" s="1" t="str">
        <f>TEXT(orders_Q4[[#This Row],[Order Date]],"yyyy") &amp; "-" &amp; WEEKNUM(orders_Q4[[#This Row],[Order Date]])</f>
        <v>2024-42</v>
      </c>
      <c r="AJ75" t="str">
        <f>IF(orders_Q4[[#This Row],[Payment]]="COD","COD","Prepaid")</f>
        <v>Prepaid</v>
      </c>
    </row>
    <row r="76" spans="1:36" x14ac:dyDescent="0.3">
      <c r="A76" t="s">
        <v>387</v>
      </c>
      <c r="B76" s="1">
        <v>45583</v>
      </c>
      <c r="C76" t="s">
        <v>388</v>
      </c>
      <c r="D76" t="s">
        <v>38</v>
      </c>
      <c r="E76" t="s">
        <v>389</v>
      </c>
      <c r="F76" t="s">
        <v>71</v>
      </c>
      <c r="G76" t="s">
        <v>390</v>
      </c>
      <c r="H76">
        <v>299</v>
      </c>
      <c r="I76">
        <v>5</v>
      </c>
      <c r="J76">
        <v>1495</v>
      </c>
      <c r="L76">
        <v>0</v>
      </c>
      <c r="M76" t="s">
        <v>29</v>
      </c>
      <c r="N76" t="s">
        <v>44</v>
      </c>
      <c r="O76" t="s">
        <v>150</v>
      </c>
      <c r="P76" t="s">
        <v>151</v>
      </c>
      <c r="Q76" t="s">
        <v>31</v>
      </c>
      <c r="R76" s="1">
        <v>45592</v>
      </c>
      <c r="S76" t="s">
        <v>33</v>
      </c>
      <c r="T76" t="s">
        <v>34</v>
      </c>
      <c r="W76" t="s">
        <v>35</v>
      </c>
      <c r="X76" t="str">
        <f>IF(OR(orders_Q4[[#This Row],[Qty]]&gt;5,orders_Q4[[#This Row],[Qty]]&lt;0),"Invalid Quantity","OK")</f>
        <v>OK</v>
      </c>
      <c r="Y76" t="b">
        <f>OR(orders_Q4[[#This Row],[Unit Price]]&gt;20000,orders_Q4[[#This Row],[Unit Price]]&lt;0,orders_Q4[[#This Row],[Unit Price]]=0)</f>
        <v>0</v>
      </c>
      <c r="Z7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76">
        <f>orders_Q4[[#This Row],[Unit Price]] * orders_Q4[[#This Row],[Qty]] * (1 - orders_Q4[[#This Row],[Disc %]]/100)</f>
        <v>1495</v>
      </c>
      <c r="AB76" t="str">
        <f>IF(ABS(orders_Q4[[#This Row],[Total]] - orders_Q4[[#This Row],[Calculated_order_total]]) &gt; 1, "Mismatch", "OK")</f>
        <v>OK</v>
      </c>
      <c r="AC76">
        <f>COUNTIF(C:C,orders_Q4[[#This Row],[Customer ID]])</f>
        <v>1</v>
      </c>
      <c r="AD76" t="str">
        <f>IF(AND(orders_Q4[[#This Row],[Type]]="New",orders_Q4[[#This Row],[Customer_id_count]]&gt;1),"Existing customer","OK")</f>
        <v>OK</v>
      </c>
      <c r="AE76">
        <f>orders_Q4[[#This Row],[Del Date]]-orders_Q4[[#This Row],[Order Date]]</f>
        <v>9</v>
      </c>
      <c r="AF76" t="str">
        <f>IF(OR(orders_Q4[[#This Row],[Delivery_time]]&gt;30,orders_Q4[[#This Row],[Delivery_time]]&lt;0),"Invalid_delivery_time","OK")</f>
        <v>OK</v>
      </c>
      <c r="AG76" s="20">
        <f>IF(
   AND(NOT(ISBLANK(orders_Q4[[#This Row],[return_received]])), NOT(ISBLANK(orders_Q4[[#This Row],[Del Date]]))),
   orders_Q4[[#This Row],[return_received]] - orders_Q4[[#This Row],[Del Date]],0)</f>
        <v>0</v>
      </c>
      <c r="AH76" t="str">
        <f>TEXT(orders_Q4[[#This Row],[Order Date]],"mmm-yyyy")</f>
        <v>Oct-2024</v>
      </c>
      <c r="AI76" s="1" t="str">
        <f>TEXT(orders_Q4[[#This Row],[Order Date]],"yyyy") &amp; "-" &amp; WEEKNUM(orders_Q4[[#This Row],[Order Date]])</f>
        <v>2024-42</v>
      </c>
      <c r="AJ76" t="str">
        <f>IF(orders_Q4[[#This Row],[Payment]]="COD","COD","Prepaid")</f>
        <v>Prepaid</v>
      </c>
    </row>
    <row r="77" spans="1:36" x14ac:dyDescent="0.3">
      <c r="A77" t="s">
        <v>391</v>
      </c>
      <c r="B77" s="1">
        <v>45583</v>
      </c>
      <c r="C77" t="s">
        <v>392</v>
      </c>
      <c r="D77" t="s">
        <v>25</v>
      </c>
      <c r="E77" t="s">
        <v>393</v>
      </c>
      <c r="F77" t="s">
        <v>53</v>
      </c>
      <c r="G77" t="s">
        <v>394</v>
      </c>
      <c r="H77">
        <v>1899</v>
      </c>
      <c r="I77">
        <v>1</v>
      </c>
      <c r="J77">
        <v>1899</v>
      </c>
      <c r="L77">
        <v>0</v>
      </c>
      <c r="M77" t="s">
        <v>64</v>
      </c>
      <c r="N77" t="s">
        <v>30</v>
      </c>
      <c r="O77" t="s">
        <v>156</v>
      </c>
      <c r="P77" t="s">
        <v>97</v>
      </c>
      <c r="Q77" t="s">
        <v>31</v>
      </c>
      <c r="R77" s="1">
        <v>45595</v>
      </c>
      <c r="S77" t="s">
        <v>33</v>
      </c>
      <c r="T77" t="s">
        <v>46</v>
      </c>
      <c r="U77" t="s">
        <v>104</v>
      </c>
      <c r="V77" s="1">
        <v>45624</v>
      </c>
      <c r="W77" t="s">
        <v>48</v>
      </c>
      <c r="X77" t="str">
        <f>IF(OR(orders_Q4[[#This Row],[Qty]]&gt;5,orders_Q4[[#This Row],[Qty]]&lt;0),"Invalid Quantity","OK")</f>
        <v>OK</v>
      </c>
      <c r="Y77" t="b">
        <f>OR(orders_Q4[[#This Row],[Unit Price]]&gt;20000,orders_Q4[[#This Row],[Unit Price]]&lt;0,orders_Q4[[#This Row],[Unit Price]]=0)</f>
        <v>0</v>
      </c>
      <c r="Z7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77">
        <f>orders_Q4[[#This Row],[Unit Price]] * orders_Q4[[#This Row],[Qty]] * (1 - orders_Q4[[#This Row],[Disc %]]/100)</f>
        <v>1899</v>
      </c>
      <c r="AB77" t="str">
        <f>IF(ABS(orders_Q4[[#This Row],[Total]] - orders_Q4[[#This Row],[Calculated_order_total]]) &gt; 1, "Mismatch", "OK")</f>
        <v>OK</v>
      </c>
      <c r="AC77">
        <f>COUNTIF(C:C,orders_Q4[[#This Row],[Customer ID]])</f>
        <v>1</v>
      </c>
      <c r="AD77" t="str">
        <f>IF(AND(orders_Q4[[#This Row],[Type]]="New",orders_Q4[[#This Row],[Customer_id_count]]&gt;1),"Existing customer","OK")</f>
        <v>OK</v>
      </c>
      <c r="AE77">
        <f>orders_Q4[[#This Row],[Del Date]]-orders_Q4[[#This Row],[Order Date]]</f>
        <v>12</v>
      </c>
      <c r="AF77" t="str">
        <f>IF(OR(orders_Q4[[#This Row],[Delivery_time]]&gt;30,orders_Q4[[#This Row],[Delivery_time]]&lt;0),"Invalid_delivery_time","OK")</f>
        <v>OK</v>
      </c>
      <c r="AG77" s="20">
        <f>IF(
   AND(NOT(ISBLANK(orders_Q4[[#This Row],[return_received]])), NOT(ISBLANK(orders_Q4[[#This Row],[Del Date]]))),
   orders_Q4[[#This Row],[return_received]] - orders_Q4[[#This Row],[Del Date]],0)</f>
        <v>29</v>
      </c>
      <c r="AH77" t="str">
        <f>TEXT(orders_Q4[[#This Row],[Order Date]],"mmm-yyyy")</f>
        <v>Oct-2024</v>
      </c>
      <c r="AI77" s="1" t="str">
        <f>TEXT(orders_Q4[[#This Row],[Order Date]],"yyyy") &amp; "-" &amp; WEEKNUM(orders_Q4[[#This Row],[Order Date]])</f>
        <v>2024-42</v>
      </c>
      <c r="AJ77" t="str">
        <f>IF(orders_Q4[[#This Row],[Payment]]="COD","COD","Prepaid")</f>
        <v>Prepaid</v>
      </c>
    </row>
    <row r="78" spans="1:36" x14ac:dyDescent="0.3">
      <c r="A78" t="s">
        <v>395</v>
      </c>
      <c r="B78" s="1">
        <v>45584</v>
      </c>
      <c r="C78" t="s">
        <v>396</v>
      </c>
      <c r="D78" t="s">
        <v>25</v>
      </c>
      <c r="E78" t="s">
        <v>397</v>
      </c>
      <c r="F78" t="s">
        <v>40</v>
      </c>
      <c r="G78" t="s">
        <v>398</v>
      </c>
      <c r="H78">
        <v>2199</v>
      </c>
      <c r="I78">
        <v>1</v>
      </c>
      <c r="J78">
        <v>2199</v>
      </c>
      <c r="L78">
        <v>0</v>
      </c>
      <c r="M78" t="s">
        <v>43</v>
      </c>
      <c r="N78" t="s">
        <v>65</v>
      </c>
      <c r="O78" t="s">
        <v>161</v>
      </c>
      <c r="P78" t="s">
        <v>162</v>
      </c>
      <c r="Q78" t="s">
        <v>45</v>
      </c>
      <c r="R78" s="1">
        <v>45596</v>
      </c>
      <c r="S78" t="s">
        <v>33</v>
      </c>
      <c r="T78" t="s">
        <v>34</v>
      </c>
      <c r="W78" t="s">
        <v>35</v>
      </c>
      <c r="X78" t="str">
        <f>IF(OR(orders_Q4[[#This Row],[Qty]]&gt;5,orders_Q4[[#This Row],[Qty]]&lt;0),"Invalid Quantity","OK")</f>
        <v>OK</v>
      </c>
      <c r="Y78" t="b">
        <f>OR(orders_Q4[[#This Row],[Unit Price]]&gt;20000,orders_Q4[[#This Row],[Unit Price]]&lt;0,orders_Q4[[#This Row],[Unit Price]]=0)</f>
        <v>0</v>
      </c>
      <c r="Z7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78">
        <f>orders_Q4[[#This Row],[Unit Price]] * orders_Q4[[#This Row],[Qty]] * (1 - orders_Q4[[#This Row],[Disc %]]/100)</f>
        <v>2199</v>
      </c>
      <c r="AB78" t="str">
        <f>IF(ABS(orders_Q4[[#This Row],[Total]] - orders_Q4[[#This Row],[Calculated_order_total]]) &gt; 1, "Mismatch", "OK")</f>
        <v>OK</v>
      </c>
      <c r="AC78">
        <f>COUNTIF(C:C,orders_Q4[[#This Row],[Customer ID]])</f>
        <v>1</v>
      </c>
      <c r="AD78" t="str">
        <f>IF(AND(orders_Q4[[#This Row],[Type]]="New",orders_Q4[[#This Row],[Customer_id_count]]&gt;1),"Existing customer","OK")</f>
        <v>OK</v>
      </c>
      <c r="AE78">
        <f>orders_Q4[[#This Row],[Del Date]]-orders_Q4[[#This Row],[Order Date]]</f>
        <v>12</v>
      </c>
      <c r="AF78" t="str">
        <f>IF(OR(orders_Q4[[#This Row],[Delivery_time]]&gt;30,orders_Q4[[#This Row],[Delivery_time]]&lt;0),"Invalid_delivery_time","OK")</f>
        <v>OK</v>
      </c>
      <c r="AG78" s="20">
        <f>IF(
   AND(NOT(ISBLANK(orders_Q4[[#This Row],[return_received]])), NOT(ISBLANK(orders_Q4[[#This Row],[Del Date]]))),
   orders_Q4[[#This Row],[return_received]] - orders_Q4[[#This Row],[Del Date]],0)</f>
        <v>0</v>
      </c>
      <c r="AH78" t="str">
        <f>TEXT(orders_Q4[[#This Row],[Order Date]],"mmm-yyyy")</f>
        <v>Oct-2024</v>
      </c>
      <c r="AI78" s="1" t="str">
        <f>TEXT(orders_Q4[[#This Row],[Order Date]],"yyyy") &amp; "-" &amp; WEEKNUM(orders_Q4[[#This Row],[Order Date]])</f>
        <v>2024-42</v>
      </c>
      <c r="AJ78" t="str">
        <f>IF(orders_Q4[[#This Row],[Payment]]="COD","COD","Prepaid")</f>
        <v>Prepaid</v>
      </c>
    </row>
    <row r="79" spans="1:36" x14ac:dyDescent="0.3">
      <c r="A79" t="s">
        <v>399</v>
      </c>
      <c r="B79" s="1">
        <v>45584</v>
      </c>
      <c r="C79" t="s">
        <v>400</v>
      </c>
      <c r="D79" t="s">
        <v>25</v>
      </c>
      <c r="E79" t="s">
        <v>401</v>
      </c>
      <c r="F79" t="s">
        <v>27</v>
      </c>
      <c r="G79" t="s">
        <v>402</v>
      </c>
      <c r="H79">
        <v>1799</v>
      </c>
      <c r="I79">
        <v>1</v>
      </c>
      <c r="J79">
        <v>1799</v>
      </c>
      <c r="K79" t="s">
        <v>110</v>
      </c>
      <c r="L79">
        <v>10</v>
      </c>
      <c r="M79" t="s">
        <v>55</v>
      </c>
      <c r="N79" t="s">
        <v>44</v>
      </c>
      <c r="O79" t="s">
        <v>167</v>
      </c>
      <c r="P79" t="s">
        <v>151</v>
      </c>
      <c r="Q79" t="s">
        <v>31</v>
      </c>
      <c r="R79" s="1">
        <v>45594</v>
      </c>
      <c r="S79" t="s">
        <v>33</v>
      </c>
      <c r="T79" t="s">
        <v>46</v>
      </c>
      <c r="U79" t="s">
        <v>68</v>
      </c>
      <c r="V79" s="1">
        <v>45621</v>
      </c>
      <c r="W79" t="s">
        <v>48</v>
      </c>
      <c r="X79" t="str">
        <f>IF(OR(orders_Q4[[#This Row],[Qty]]&gt;5,orders_Q4[[#This Row],[Qty]]&lt;0),"Invalid Quantity","OK")</f>
        <v>OK</v>
      </c>
      <c r="Y79" t="b">
        <f>OR(orders_Q4[[#This Row],[Unit Price]]&gt;20000,orders_Q4[[#This Row],[Unit Price]]&lt;0,orders_Q4[[#This Row],[Unit Price]]=0)</f>
        <v>0</v>
      </c>
      <c r="Z7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79">
        <f>orders_Q4[[#This Row],[Unit Price]] * orders_Q4[[#This Row],[Qty]] * (1 - orders_Q4[[#This Row],[Disc %]]/100)</f>
        <v>1619.1000000000001</v>
      </c>
      <c r="AB79" t="str">
        <f>IF(ABS(orders_Q4[[#This Row],[Total]] - orders_Q4[[#This Row],[Calculated_order_total]]) &gt; 1, "Mismatch", "OK")</f>
        <v>Mismatch</v>
      </c>
      <c r="AC79">
        <f>COUNTIF(C:C,orders_Q4[[#This Row],[Customer ID]])</f>
        <v>1</v>
      </c>
      <c r="AD79" t="str">
        <f>IF(AND(orders_Q4[[#This Row],[Type]]="New",orders_Q4[[#This Row],[Customer_id_count]]&gt;1),"Existing customer","OK")</f>
        <v>OK</v>
      </c>
      <c r="AE79">
        <f>orders_Q4[[#This Row],[Del Date]]-orders_Q4[[#This Row],[Order Date]]</f>
        <v>10</v>
      </c>
      <c r="AF79" t="str">
        <f>IF(OR(orders_Q4[[#This Row],[Delivery_time]]&gt;30,orders_Q4[[#This Row],[Delivery_time]]&lt;0),"Invalid_delivery_time","OK")</f>
        <v>OK</v>
      </c>
      <c r="AG79" s="20">
        <f>IF(
   AND(NOT(ISBLANK(orders_Q4[[#This Row],[return_received]])), NOT(ISBLANK(orders_Q4[[#This Row],[Del Date]]))),
   orders_Q4[[#This Row],[return_received]] - orders_Q4[[#This Row],[Del Date]],0)</f>
        <v>27</v>
      </c>
      <c r="AH79" t="str">
        <f>TEXT(orders_Q4[[#This Row],[Order Date]],"mmm-yyyy")</f>
        <v>Oct-2024</v>
      </c>
      <c r="AI79" s="1" t="str">
        <f>TEXT(orders_Q4[[#This Row],[Order Date]],"yyyy") &amp; "-" &amp; WEEKNUM(orders_Q4[[#This Row],[Order Date]])</f>
        <v>2024-42</v>
      </c>
      <c r="AJ79" t="str">
        <f>IF(orders_Q4[[#This Row],[Payment]]="COD","COD","Prepaid")</f>
        <v>COD</v>
      </c>
    </row>
    <row r="80" spans="1:36" x14ac:dyDescent="0.3">
      <c r="A80" t="s">
        <v>403</v>
      </c>
      <c r="B80" s="1">
        <v>45584</v>
      </c>
      <c r="C80" t="s">
        <v>404</v>
      </c>
      <c r="D80" t="s">
        <v>38</v>
      </c>
      <c r="E80" t="s">
        <v>405</v>
      </c>
      <c r="F80" t="s">
        <v>61</v>
      </c>
      <c r="G80" t="s">
        <v>406</v>
      </c>
      <c r="H80">
        <v>4999</v>
      </c>
      <c r="I80">
        <v>1</v>
      </c>
      <c r="J80">
        <v>4999</v>
      </c>
      <c r="L80">
        <v>0</v>
      </c>
      <c r="M80" t="s">
        <v>29</v>
      </c>
      <c r="N80" t="s">
        <v>30</v>
      </c>
      <c r="O80" t="s">
        <v>172</v>
      </c>
      <c r="P80" t="s">
        <v>32</v>
      </c>
      <c r="Q80" t="s">
        <v>31</v>
      </c>
      <c r="R80" s="1">
        <v>45597</v>
      </c>
      <c r="S80" t="s">
        <v>33</v>
      </c>
      <c r="T80" t="s">
        <v>34</v>
      </c>
      <c r="W80" t="s">
        <v>35</v>
      </c>
      <c r="X80" t="str">
        <f>IF(OR(orders_Q4[[#This Row],[Qty]]&gt;5,orders_Q4[[#This Row],[Qty]]&lt;0),"Invalid Quantity","OK")</f>
        <v>OK</v>
      </c>
      <c r="Y80" t="b">
        <f>OR(orders_Q4[[#This Row],[Unit Price]]&gt;20000,orders_Q4[[#This Row],[Unit Price]]&lt;0,orders_Q4[[#This Row],[Unit Price]]=0)</f>
        <v>0</v>
      </c>
      <c r="Z8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80">
        <f>orders_Q4[[#This Row],[Unit Price]] * orders_Q4[[#This Row],[Qty]] * (1 - orders_Q4[[#This Row],[Disc %]]/100)</f>
        <v>4999</v>
      </c>
      <c r="AB80" t="str">
        <f>IF(ABS(orders_Q4[[#This Row],[Total]] - orders_Q4[[#This Row],[Calculated_order_total]]) &gt; 1, "Mismatch", "OK")</f>
        <v>OK</v>
      </c>
      <c r="AC80">
        <f>COUNTIF(C:C,orders_Q4[[#This Row],[Customer ID]])</f>
        <v>1</v>
      </c>
      <c r="AD80" t="str">
        <f>IF(AND(orders_Q4[[#This Row],[Type]]="New",orders_Q4[[#This Row],[Customer_id_count]]&gt;1),"Existing customer","OK")</f>
        <v>OK</v>
      </c>
      <c r="AE80">
        <f>orders_Q4[[#This Row],[Del Date]]-orders_Q4[[#This Row],[Order Date]]</f>
        <v>13</v>
      </c>
      <c r="AF80" t="str">
        <f>IF(OR(orders_Q4[[#This Row],[Delivery_time]]&gt;30,orders_Q4[[#This Row],[Delivery_time]]&lt;0),"Invalid_delivery_time","OK")</f>
        <v>OK</v>
      </c>
      <c r="AG80" s="20">
        <f>IF(
   AND(NOT(ISBLANK(orders_Q4[[#This Row],[return_received]])), NOT(ISBLANK(orders_Q4[[#This Row],[Del Date]]))),
   orders_Q4[[#This Row],[return_received]] - orders_Q4[[#This Row],[Del Date]],0)</f>
        <v>0</v>
      </c>
      <c r="AH80" t="str">
        <f>TEXT(orders_Q4[[#This Row],[Order Date]],"mmm-yyyy")</f>
        <v>Oct-2024</v>
      </c>
      <c r="AI80" s="1" t="str">
        <f>TEXT(orders_Q4[[#This Row],[Order Date]],"yyyy") &amp; "-" &amp; WEEKNUM(orders_Q4[[#This Row],[Order Date]])</f>
        <v>2024-42</v>
      </c>
      <c r="AJ80" t="str">
        <f>IF(orders_Q4[[#This Row],[Payment]]="COD","COD","Prepaid")</f>
        <v>Prepaid</v>
      </c>
    </row>
    <row r="81" spans="1:36" x14ac:dyDescent="0.3">
      <c r="A81" t="s">
        <v>407</v>
      </c>
      <c r="B81" s="1">
        <v>45584</v>
      </c>
      <c r="C81" t="s">
        <v>408</v>
      </c>
      <c r="D81" t="s">
        <v>25</v>
      </c>
      <c r="E81" t="s">
        <v>409</v>
      </c>
      <c r="F81" t="s">
        <v>71</v>
      </c>
      <c r="G81" t="s">
        <v>410</v>
      </c>
      <c r="H81">
        <v>999</v>
      </c>
      <c r="I81">
        <v>1</v>
      </c>
      <c r="J81">
        <v>999</v>
      </c>
      <c r="L81">
        <v>0</v>
      </c>
      <c r="M81" t="s">
        <v>111</v>
      </c>
      <c r="N81" t="s">
        <v>65</v>
      </c>
      <c r="O81" t="s">
        <v>177</v>
      </c>
      <c r="P81" t="s">
        <v>67</v>
      </c>
      <c r="Q81" t="s">
        <v>56</v>
      </c>
      <c r="R81" s="1">
        <v>45595</v>
      </c>
      <c r="S81" t="s">
        <v>33</v>
      </c>
      <c r="T81" t="s">
        <v>46</v>
      </c>
      <c r="U81" t="s">
        <v>47</v>
      </c>
      <c r="V81" s="1">
        <v>45624</v>
      </c>
      <c r="W81" t="s">
        <v>48</v>
      </c>
      <c r="X81" t="str">
        <f>IF(OR(orders_Q4[[#This Row],[Qty]]&gt;5,orders_Q4[[#This Row],[Qty]]&lt;0),"Invalid Quantity","OK")</f>
        <v>OK</v>
      </c>
      <c r="Y81" t="b">
        <f>OR(orders_Q4[[#This Row],[Unit Price]]&gt;20000,orders_Q4[[#This Row],[Unit Price]]&lt;0,orders_Q4[[#This Row],[Unit Price]]=0)</f>
        <v>0</v>
      </c>
      <c r="Z8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81">
        <f>orders_Q4[[#This Row],[Unit Price]] * orders_Q4[[#This Row],[Qty]] * (1 - orders_Q4[[#This Row],[Disc %]]/100)</f>
        <v>999</v>
      </c>
      <c r="AB81" t="str">
        <f>IF(ABS(orders_Q4[[#This Row],[Total]] - orders_Q4[[#This Row],[Calculated_order_total]]) &gt; 1, "Mismatch", "OK")</f>
        <v>OK</v>
      </c>
      <c r="AC81">
        <f>COUNTIF(C:C,orders_Q4[[#This Row],[Customer ID]])</f>
        <v>1</v>
      </c>
      <c r="AD81" t="str">
        <f>IF(AND(orders_Q4[[#This Row],[Type]]="New",orders_Q4[[#This Row],[Customer_id_count]]&gt;1),"Existing customer","OK")</f>
        <v>OK</v>
      </c>
      <c r="AE81">
        <f>orders_Q4[[#This Row],[Del Date]]-orders_Q4[[#This Row],[Order Date]]</f>
        <v>11</v>
      </c>
      <c r="AF81" t="str">
        <f>IF(OR(orders_Q4[[#This Row],[Delivery_time]]&gt;30,orders_Q4[[#This Row],[Delivery_time]]&lt;0),"Invalid_delivery_time","OK")</f>
        <v>OK</v>
      </c>
      <c r="AG81" s="20">
        <f>IF(
   AND(NOT(ISBLANK(orders_Q4[[#This Row],[return_received]])), NOT(ISBLANK(orders_Q4[[#This Row],[Del Date]]))),
   orders_Q4[[#This Row],[return_received]] - orders_Q4[[#This Row],[Del Date]],0)</f>
        <v>29</v>
      </c>
      <c r="AH81" t="str">
        <f>TEXT(orders_Q4[[#This Row],[Order Date]],"mmm-yyyy")</f>
        <v>Oct-2024</v>
      </c>
      <c r="AI81" s="1" t="str">
        <f>TEXT(orders_Q4[[#This Row],[Order Date]],"yyyy") &amp; "-" &amp; WEEKNUM(orders_Q4[[#This Row],[Order Date]])</f>
        <v>2024-42</v>
      </c>
      <c r="AJ81" t="str">
        <f>IF(orders_Q4[[#This Row],[Payment]]="COD","COD","Prepaid")</f>
        <v>Prepaid</v>
      </c>
    </row>
    <row r="82" spans="1:36" x14ac:dyDescent="0.3">
      <c r="A82" t="s">
        <v>411</v>
      </c>
      <c r="B82" s="1">
        <v>45585</v>
      </c>
      <c r="C82" t="s">
        <v>412</v>
      </c>
      <c r="D82" t="s">
        <v>25</v>
      </c>
      <c r="E82" t="s">
        <v>413</v>
      </c>
      <c r="F82" t="s">
        <v>53</v>
      </c>
      <c r="G82" t="s">
        <v>414</v>
      </c>
      <c r="H82">
        <v>1499</v>
      </c>
      <c r="I82">
        <v>1</v>
      </c>
      <c r="J82">
        <v>1499</v>
      </c>
      <c r="K82" t="s">
        <v>42</v>
      </c>
      <c r="L82">
        <v>20</v>
      </c>
      <c r="M82" t="s">
        <v>43</v>
      </c>
      <c r="N82" t="s">
        <v>44</v>
      </c>
      <c r="O82" t="s">
        <v>182</v>
      </c>
      <c r="P82" t="s">
        <v>183</v>
      </c>
      <c r="Q82" t="s">
        <v>56</v>
      </c>
      <c r="R82" s="1">
        <v>45596</v>
      </c>
      <c r="S82" t="s">
        <v>33</v>
      </c>
      <c r="T82" t="s">
        <v>34</v>
      </c>
      <c r="W82" t="s">
        <v>35</v>
      </c>
      <c r="X82" t="str">
        <f>IF(OR(orders_Q4[[#This Row],[Qty]]&gt;5,orders_Q4[[#This Row],[Qty]]&lt;0),"Invalid Quantity","OK")</f>
        <v>OK</v>
      </c>
      <c r="Y82" t="b">
        <f>OR(orders_Q4[[#This Row],[Unit Price]]&gt;20000,orders_Q4[[#This Row],[Unit Price]]&lt;0,orders_Q4[[#This Row],[Unit Price]]=0)</f>
        <v>0</v>
      </c>
      <c r="Z8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82">
        <f>orders_Q4[[#This Row],[Unit Price]] * orders_Q4[[#This Row],[Qty]] * (1 - orders_Q4[[#This Row],[Disc %]]/100)</f>
        <v>1199.2</v>
      </c>
      <c r="AB82" t="str">
        <f>IF(ABS(orders_Q4[[#This Row],[Total]] - orders_Q4[[#This Row],[Calculated_order_total]]) &gt; 1, "Mismatch", "OK")</f>
        <v>Mismatch</v>
      </c>
      <c r="AC82">
        <f>COUNTIF(C:C,orders_Q4[[#This Row],[Customer ID]])</f>
        <v>1</v>
      </c>
      <c r="AD82" t="str">
        <f>IF(AND(orders_Q4[[#This Row],[Type]]="New",orders_Q4[[#This Row],[Customer_id_count]]&gt;1),"Existing customer","OK")</f>
        <v>OK</v>
      </c>
      <c r="AE82">
        <f>orders_Q4[[#This Row],[Del Date]]-orders_Q4[[#This Row],[Order Date]]</f>
        <v>11</v>
      </c>
      <c r="AF82" t="str">
        <f>IF(OR(orders_Q4[[#This Row],[Delivery_time]]&gt;30,orders_Q4[[#This Row],[Delivery_time]]&lt;0),"Invalid_delivery_time","OK")</f>
        <v>OK</v>
      </c>
      <c r="AG82" s="20">
        <f>IF(
   AND(NOT(ISBLANK(orders_Q4[[#This Row],[return_received]])), NOT(ISBLANK(orders_Q4[[#This Row],[Del Date]]))),
   orders_Q4[[#This Row],[return_received]] - orders_Q4[[#This Row],[Del Date]],0)</f>
        <v>0</v>
      </c>
      <c r="AH82" t="str">
        <f>TEXT(orders_Q4[[#This Row],[Order Date]],"mmm-yyyy")</f>
        <v>Oct-2024</v>
      </c>
      <c r="AI82" s="1" t="str">
        <f>TEXT(orders_Q4[[#This Row],[Order Date]],"yyyy") &amp; "-" &amp; WEEKNUM(orders_Q4[[#This Row],[Order Date]])</f>
        <v>2024-43</v>
      </c>
      <c r="AJ82" t="str">
        <f>IF(orders_Q4[[#This Row],[Payment]]="COD","COD","Prepaid")</f>
        <v>Prepaid</v>
      </c>
    </row>
    <row r="83" spans="1:36" x14ac:dyDescent="0.3">
      <c r="A83" t="s">
        <v>415</v>
      </c>
      <c r="B83" s="1">
        <v>45585</v>
      </c>
      <c r="C83" t="s">
        <v>416</v>
      </c>
      <c r="D83" t="s">
        <v>25</v>
      </c>
      <c r="E83" t="s">
        <v>417</v>
      </c>
      <c r="F83" t="s">
        <v>40</v>
      </c>
      <c r="G83" t="s">
        <v>418</v>
      </c>
      <c r="H83">
        <v>2899</v>
      </c>
      <c r="I83">
        <v>1</v>
      </c>
      <c r="J83">
        <v>2899</v>
      </c>
      <c r="L83">
        <v>0</v>
      </c>
      <c r="M83" t="s">
        <v>64</v>
      </c>
      <c r="N83" t="s">
        <v>30</v>
      </c>
      <c r="O83" t="s">
        <v>188</v>
      </c>
      <c r="P83" t="s">
        <v>189</v>
      </c>
      <c r="Q83" t="s">
        <v>56</v>
      </c>
      <c r="R83" s="1">
        <v>45598</v>
      </c>
      <c r="S83" t="s">
        <v>33</v>
      </c>
      <c r="T83" t="s">
        <v>46</v>
      </c>
      <c r="U83" t="s">
        <v>79</v>
      </c>
      <c r="V83" s="1">
        <v>45626</v>
      </c>
      <c r="W83" t="s">
        <v>48</v>
      </c>
      <c r="X83" t="str">
        <f>IF(OR(orders_Q4[[#This Row],[Qty]]&gt;5,orders_Q4[[#This Row],[Qty]]&lt;0),"Invalid Quantity","OK")</f>
        <v>OK</v>
      </c>
      <c r="Y83" t="b">
        <f>OR(orders_Q4[[#This Row],[Unit Price]]&gt;20000,orders_Q4[[#This Row],[Unit Price]]&lt;0,orders_Q4[[#This Row],[Unit Price]]=0)</f>
        <v>0</v>
      </c>
      <c r="Z8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83">
        <f>orders_Q4[[#This Row],[Unit Price]] * orders_Q4[[#This Row],[Qty]] * (1 - orders_Q4[[#This Row],[Disc %]]/100)</f>
        <v>2899</v>
      </c>
      <c r="AB83" t="str">
        <f>IF(ABS(orders_Q4[[#This Row],[Total]] - orders_Q4[[#This Row],[Calculated_order_total]]) &gt; 1, "Mismatch", "OK")</f>
        <v>OK</v>
      </c>
      <c r="AC83">
        <f>COUNTIF(C:C,orders_Q4[[#This Row],[Customer ID]])</f>
        <v>1</v>
      </c>
      <c r="AD83" t="str">
        <f>IF(AND(orders_Q4[[#This Row],[Type]]="New",orders_Q4[[#This Row],[Customer_id_count]]&gt;1),"Existing customer","OK")</f>
        <v>OK</v>
      </c>
      <c r="AE83">
        <f>orders_Q4[[#This Row],[Del Date]]-orders_Q4[[#This Row],[Order Date]]</f>
        <v>13</v>
      </c>
      <c r="AF83" t="str">
        <f>IF(OR(orders_Q4[[#This Row],[Delivery_time]]&gt;30,orders_Q4[[#This Row],[Delivery_time]]&lt;0),"Invalid_delivery_time","OK")</f>
        <v>OK</v>
      </c>
      <c r="AG83" s="20">
        <f>IF(
   AND(NOT(ISBLANK(orders_Q4[[#This Row],[return_received]])), NOT(ISBLANK(orders_Q4[[#This Row],[Del Date]]))),
   orders_Q4[[#This Row],[return_received]] - orders_Q4[[#This Row],[Del Date]],0)</f>
        <v>28</v>
      </c>
      <c r="AH83" t="str">
        <f>TEXT(orders_Q4[[#This Row],[Order Date]],"mmm-yyyy")</f>
        <v>Oct-2024</v>
      </c>
      <c r="AI83" s="1" t="str">
        <f>TEXT(orders_Q4[[#This Row],[Order Date]],"yyyy") &amp; "-" &amp; WEEKNUM(orders_Q4[[#This Row],[Order Date]])</f>
        <v>2024-43</v>
      </c>
      <c r="AJ83" t="str">
        <f>IF(orders_Q4[[#This Row],[Payment]]="COD","COD","Prepaid")</f>
        <v>Prepaid</v>
      </c>
    </row>
    <row r="84" spans="1:36" x14ac:dyDescent="0.3">
      <c r="A84" t="s">
        <v>419</v>
      </c>
      <c r="B84" s="1">
        <v>45585</v>
      </c>
      <c r="C84" t="s">
        <v>420</v>
      </c>
      <c r="D84" t="s">
        <v>38</v>
      </c>
      <c r="E84" t="s">
        <v>421</v>
      </c>
      <c r="F84" t="s">
        <v>27</v>
      </c>
      <c r="G84" t="s">
        <v>422</v>
      </c>
      <c r="H84">
        <v>1099</v>
      </c>
      <c r="I84">
        <v>2</v>
      </c>
      <c r="J84">
        <v>2198</v>
      </c>
      <c r="L84">
        <v>0</v>
      </c>
      <c r="M84" t="s">
        <v>29</v>
      </c>
      <c r="N84" t="s">
        <v>65</v>
      </c>
      <c r="O84" t="s">
        <v>194</v>
      </c>
      <c r="P84" t="s">
        <v>183</v>
      </c>
      <c r="Q84" t="s">
        <v>56</v>
      </c>
      <c r="R84" s="1">
        <v>45595</v>
      </c>
      <c r="S84" t="s">
        <v>33</v>
      </c>
      <c r="T84" t="s">
        <v>34</v>
      </c>
      <c r="W84" t="s">
        <v>35</v>
      </c>
      <c r="X84" t="str">
        <f>IF(OR(orders_Q4[[#This Row],[Qty]]&gt;5,orders_Q4[[#This Row],[Qty]]&lt;0),"Invalid Quantity","OK")</f>
        <v>OK</v>
      </c>
      <c r="Y84" t="b">
        <f>OR(orders_Q4[[#This Row],[Unit Price]]&gt;20000,orders_Q4[[#This Row],[Unit Price]]&lt;0,orders_Q4[[#This Row],[Unit Price]]=0)</f>
        <v>0</v>
      </c>
      <c r="Z8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84">
        <f>orders_Q4[[#This Row],[Unit Price]] * orders_Q4[[#This Row],[Qty]] * (1 - orders_Q4[[#This Row],[Disc %]]/100)</f>
        <v>2198</v>
      </c>
      <c r="AB84" t="str">
        <f>IF(ABS(orders_Q4[[#This Row],[Total]] - orders_Q4[[#This Row],[Calculated_order_total]]) &gt; 1, "Mismatch", "OK")</f>
        <v>OK</v>
      </c>
      <c r="AC84">
        <f>COUNTIF(C:C,orders_Q4[[#This Row],[Customer ID]])</f>
        <v>1</v>
      </c>
      <c r="AD84" t="str">
        <f>IF(AND(orders_Q4[[#This Row],[Type]]="New",orders_Q4[[#This Row],[Customer_id_count]]&gt;1),"Existing customer","OK")</f>
        <v>OK</v>
      </c>
      <c r="AE84">
        <f>orders_Q4[[#This Row],[Del Date]]-orders_Q4[[#This Row],[Order Date]]</f>
        <v>10</v>
      </c>
      <c r="AF84" t="str">
        <f>IF(OR(orders_Q4[[#This Row],[Delivery_time]]&gt;30,orders_Q4[[#This Row],[Delivery_time]]&lt;0),"Invalid_delivery_time","OK")</f>
        <v>OK</v>
      </c>
      <c r="AG84" s="20">
        <f>IF(
   AND(NOT(ISBLANK(orders_Q4[[#This Row],[return_received]])), NOT(ISBLANK(orders_Q4[[#This Row],[Del Date]]))),
   orders_Q4[[#This Row],[return_received]] - orders_Q4[[#This Row],[Del Date]],0)</f>
        <v>0</v>
      </c>
      <c r="AH84" t="str">
        <f>TEXT(orders_Q4[[#This Row],[Order Date]],"mmm-yyyy")</f>
        <v>Oct-2024</v>
      </c>
      <c r="AI84" s="1" t="str">
        <f>TEXT(orders_Q4[[#This Row],[Order Date]],"yyyy") &amp; "-" &amp; WEEKNUM(orders_Q4[[#This Row],[Order Date]])</f>
        <v>2024-43</v>
      </c>
      <c r="AJ84" t="str">
        <f>IF(orders_Q4[[#This Row],[Payment]]="COD","COD","Prepaid")</f>
        <v>Prepaid</v>
      </c>
    </row>
    <row r="85" spans="1:36" x14ac:dyDescent="0.3">
      <c r="A85" t="s">
        <v>423</v>
      </c>
      <c r="B85" s="1">
        <v>45585</v>
      </c>
      <c r="C85" t="s">
        <v>424</v>
      </c>
      <c r="D85" t="s">
        <v>25</v>
      </c>
      <c r="E85" t="s">
        <v>425</v>
      </c>
      <c r="F85" t="s">
        <v>61</v>
      </c>
      <c r="G85" t="s">
        <v>198</v>
      </c>
      <c r="H85">
        <v>5499</v>
      </c>
      <c r="I85">
        <v>1</v>
      </c>
      <c r="J85">
        <v>5499</v>
      </c>
      <c r="K85" t="s">
        <v>63</v>
      </c>
      <c r="L85">
        <v>15</v>
      </c>
      <c r="M85" t="s">
        <v>43</v>
      </c>
      <c r="N85" t="s">
        <v>44</v>
      </c>
      <c r="O85" t="s">
        <v>199</v>
      </c>
      <c r="P85" t="s">
        <v>57</v>
      </c>
      <c r="Q85" t="s">
        <v>56</v>
      </c>
      <c r="R85" s="1">
        <v>45599</v>
      </c>
      <c r="S85" t="s">
        <v>33</v>
      </c>
      <c r="T85" t="s">
        <v>46</v>
      </c>
      <c r="U85" t="s">
        <v>47</v>
      </c>
      <c r="V85" s="1">
        <v>45627</v>
      </c>
      <c r="W85" t="s">
        <v>48</v>
      </c>
      <c r="X85" t="str">
        <f>IF(OR(orders_Q4[[#This Row],[Qty]]&gt;5,orders_Q4[[#This Row],[Qty]]&lt;0),"Invalid Quantity","OK")</f>
        <v>OK</v>
      </c>
      <c r="Y85" t="b">
        <f>OR(orders_Q4[[#This Row],[Unit Price]]&gt;20000,orders_Q4[[#This Row],[Unit Price]]&lt;0,orders_Q4[[#This Row],[Unit Price]]=0)</f>
        <v>0</v>
      </c>
      <c r="Z8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85">
        <f>orders_Q4[[#This Row],[Unit Price]] * orders_Q4[[#This Row],[Qty]] * (1 - orders_Q4[[#This Row],[Disc %]]/100)</f>
        <v>4674.1499999999996</v>
      </c>
      <c r="AB85" t="str">
        <f>IF(ABS(orders_Q4[[#This Row],[Total]] - orders_Q4[[#This Row],[Calculated_order_total]]) &gt; 1, "Mismatch", "OK")</f>
        <v>Mismatch</v>
      </c>
      <c r="AC85">
        <f>COUNTIF(C:C,orders_Q4[[#This Row],[Customer ID]])</f>
        <v>1</v>
      </c>
      <c r="AD85" t="str">
        <f>IF(AND(orders_Q4[[#This Row],[Type]]="New",orders_Q4[[#This Row],[Customer_id_count]]&gt;1),"Existing customer","OK")</f>
        <v>OK</v>
      </c>
      <c r="AE85">
        <f>orders_Q4[[#This Row],[Del Date]]-orders_Q4[[#This Row],[Order Date]]</f>
        <v>14</v>
      </c>
      <c r="AF85" t="str">
        <f>IF(OR(orders_Q4[[#This Row],[Delivery_time]]&gt;30,orders_Q4[[#This Row],[Delivery_time]]&lt;0),"Invalid_delivery_time","OK")</f>
        <v>OK</v>
      </c>
      <c r="AG85" s="20">
        <f>IF(
   AND(NOT(ISBLANK(orders_Q4[[#This Row],[return_received]])), NOT(ISBLANK(orders_Q4[[#This Row],[Del Date]]))),
   orders_Q4[[#This Row],[return_received]] - orders_Q4[[#This Row],[Del Date]],0)</f>
        <v>28</v>
      </c>
      <c r="AH85" t="str">
        <f>TEXT(orders_Q4[[#This Row],[Order Date]],"mmm-yyyy")</f>
        <v>Oct-2024</v>
      </c>
      <c r="AI85" s="1" t="str">
        <f>TEXT(orders_Q4[[#This Row],[Order Date]],"yyyy") &amp; "-" &amp; WEEKNUM(orders_Q4[[#This Row],[Order Date]])</f>
        <v>2024-43</v>
      </c>
      <c r="AJ85" t="str">
        <f>IF(orders_Q4[[#This Row],[Payment]]="COD","COD","Prepaid")</f>
        <v>Prepaid</v>
      </c>
    </row>
    <row r="86" spans="1:36" x14ac:dyDescent="0.3">
      <c r="A86" t="s">
        <v>426</v>
      </c>
      <c r="B86" s="1">
        <v>45586</v>
      </c>
      <c r="C86" t="s">
        <v>427</v>
      </c>
      <c r="D86" t="s">
        <v>25</v>
      </c>
      <c r="E86" t="s">
        <v>428</v>
      </c>
      <c r="F86" t="s">
        <v>71</v>
      </c>
      <c r="G86" t="s">
        <v>429</v>
      </c>
      <c r="H86">
        <v>799</v>
      </c>
      <c r="I86">
        <v>1</v>
      </c>
      <c r="J86">
        <v>799</v>
      </c>
      <c r="L86">
        <v>0</v>
      </c>
      <c r="M86" t="s">
        <v>55</v>
      </c>
      <c r="N86" t="s">
        <v>30</v>
      </c>
      <c r="O86" t="s">
        <v>204</v>
      </c>
      <c r="P86" t="s">
        <v>97</v>
      </c>
      <c r="Q86" t="s">
        <v>31</v>
      </c>
      <c r="S86" t="s">
        <v>120</v>
      </c>
      <c r="T86" t="s">
        <v>34</v>
      </c>
      <c r="W86" t="s">
        <v>35</v>
      </c>
      <c r="X86" t="str">
        <f>IF(OR(orders_Q4[[#This Row],[Qty]]&gt;5,orders_Q4[[#This Row],[Qty]]&lt;0),"Invalid Quantity","OK")</f>
        <v>OK</v>
      </c>
      <c r="Y86" t="b">
        <f>OR(orders_Q4[[#This Row],[Unit Price]]&gt;20000,orders_Q4[[#This Row],[Unit Price]]&lt;0,orders_Q4[[#This Row],[Unit Price]]=0)</f>
        <v>0</v>
      </c>
      <c r="Z8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86">
        <f>orders_Q4[[#This Row],[Unit Price]] * orders_Q4[[#This Row],[Qty]] * (1 - orders_Q4[[#This Row],[Disc %]]/100)</f>
        <v>799</v>
      </c>
      <c r="AB86" t="str">
        <f>IF(ABS(orders_Q4[[#This Row],[Total]] - orders_Q4[[#This Row],[Calculated_order_total]]) &gt; 1, "Mismatch", "OK")</f>
        <v>OK</v>
      </c>
      <c r="AC86">
        <f>COUNTIF(C:C,orders_Q4[[#This Row],[Customer ID]])</f>
        <v>1</v>
      </c>
      <c r="AD86" t="str">
        <f>IF(AND(orders_Q4[[#This Row],[Type]]="New",orders_Q4[[#This Row],[Customer_id_count]]&gt;1),"Existing customer","OK")</f>
        <v>OK</v>
      </c>
      <c r="AE86">
        <f>orders_Q4[[#This Row],[Del Date]]-orders_Q4[[#This Row],[Order Date]]</f>
        <v>-45586</v>
      </c>
      <c r="AF86" t="str">
        <f>IF(OR(orders_Q4[[#This Row],[Delivery_time]]&gt;30,orders_Q4[[#This Row],[Delivery_time]]&lt;0),"Invalid_delivery_time","OK")</f>
        <v>Invalid_delivery_time</v>
      </c>
      <c r="AG86" s="20">
        <f>IF(
   AND(NOT(ISBLANK(orders_Q4[[#This Row],[return_received]])), NOT(ISBLANK(orders_Q4[[#This Row],[Del Date]]))),
   orders_Q4[[#This Row],[return_received]] - orders_Q4[[#This Row],[Del Date]],0)</f>
        <v>0</v>
      </c>
      <c r="AH86" t="str">
        <f>TEXT(orders_Q4[[#This Row],[Order Date]],"mmm-yyyy")</f>
        <v>Oct-2024</v>
      </c>
      <c r="AI86" s="1" t="str">
        <f>TEXT(orders_Q4[[#This Row],[Order Date]],"yyyy") &amp; "-" &amp; WEEKNUM(orders_Q4[[#This Row],[Order Date]])</f>
        <v>2024-43</v>
      </c>
      <c r="AJ86" t="str">
        <f>IF(orders_Q4[[#This Row],[Payment]]="COD","COD","Prepaid")</f>
        <v>COD</v>
      </c>
    </row>
    <row r="87" spans="1:36" x14ac:dyDescent="0.3">
      <c r="A87" t="s">
        <v>430</v>
      </c>
      <c r="B87" s="1">
        <v>45586</v>
      </c>
      <c r="C87" t="s">
        <v>431</v>
      </c>
      <c r="D87" t="s">
        <v>25</v>
      </c>
      <c r="E87" t="s">
        <v>432</v>
      </c>
      <c r="F87" t="s">
        <v>53</v>
      </c>
      <c r="G87" t="s">
        <v>433</v>
      </c>
      <c r="H87">
        <v>1599</v>
      </c>
      <c r="I87">
        <v>1</v>
      </c>
      <c r="J87">
        <v>1599</v>
      </c>
      <c r="L87">
        <v>0</v>
      </c>
      <c r="M87" t="s">
        <v>111</v>
      </c>
      <c r="N87" t="s">
        <v>65</v>
      </c>
      <c r="O87" t="s">
        <v>209</v>
      </c>
      <c r="P87" t="s">
        <v>97</v>
      </c>
      <c r="Q87" t="s">
        <v>31</v>
      </c>
      <c r="R87" s="1">
        <v>45598</v>
      </c>
      <c r="S87" t="s">
        <v>33</v>
      </c>
      <c r="T87" t="s">
        <v>34</v>
      </c>
      <c r="W87" t="s">
        <v>35</v>
      </c>
      <c r="X87" t="str">
        <f>IF(OR(orders_Q4[[#This Row],[Qty]]&gt;5,orders_Q4[[#This Row],[Qty]]&lt;0),"Invalid Quantity","OK")</f>
        <v>OK</v>
      </c>
      <c r="Y87" t="b">
        <f>OR(orders_Q4[[#This Row],[Unit Price]]&gt;20000,orders_Q4[[#This Row],[Unit Price]]&lt;0,orders_Q4[[#This Row],[Unit Price]]=0)</f>
        <v>0</v>
      </c>
      <c r="Z8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87">
        <f>orders_Q4[[#This Row],[Unit Price]] * orders_Q4[[#This Row],[Qty]] * (1 - orders_Q4[[#This Row],[Disc %]]/100)</f>
        <v>1599</v>
      </c>
      <c r="AB87" t="str">
        <f>IF(ABS(orders_Q4[[#This Row],[Total]] - orders_Q4[[#This Row],[Calculated_order_total]]) &gt; 1, "Mismatch", "OK")</f>
        <v>OK</v>
      </c>
      <c r="AC87">
        <f>COUNTIF(C:C,orders_Q4[[#This Row],[Customer ID]])</f>
        <v>1</v>
      </c>
      <c r="AD87" t="str">
        <f>IF(AND(orders_Q4[[#This Row],[Type]]="New",orders_Q4[[#This Row],[Customer_id_count]]&gt;1),"Existing customer","OK")</f>
        <v>OK</v>
      </c>
      <c r="AE87">
        <f>orders_Q4[[#This Row],[Del Date]]-orders_Q4[[#This Row],[Order Date]]</f>
        <v>12</v>
      </c>
      <c r="AF87" t="str">
        <f>IF(OR(orders_Q4[[#This Row],[Delivery_time]]&gt;30,orders_Q4[[#This Row],[Delivery_time]]&lt;0),"Invalid_delivery_time","OK")</f>
        <v>OK</v>
      </c>
      <c r="AG87" s="20">
        <f>IF(
   AND(NOT(ISBLANK(orders_Q4[[#This Row],[return_received]])), NOT(ISBLANK(orders_Q4[[#This Row],[Del Date]]))),
   orders_Q4[[#This Row],[return_received]] - orders_Q4[[#This Row],[Del Date]],0)</f>
        <v>0</v>
      </c>
      <c r="AH87" t="str">
        <f>TEXT(orders_Q4[[#This Row],[Order Date]],"mmm-yyyy")</f>
        <v>Oct-2024</v>
      </c>
      <c r="AI87" s="1" t="str">
        <f>TEXT(orders_Q4[[#This Row],[Order Date]],"yyyy") &amp; "-" &amp; WEEKNUM(orders_Q4[[#This Row],[Order Date]])</f>
        <v>2024-43</v>
      </c>
      <c r="AJ87" t="str">
        <f>IF(orders_Q4[[#This Row],[Payment]]="COD","COD","Prepaid")</f>
        <v>Prepaid</v>
      </c>
    </row>
    <row r="88" spans="1:36" x14ac:dyDescent="0.3">
      <c r="A88" t="s">
        <v>434</v>
      </c>
      <c r="B88" s="1">
        <v>45586</v>
      </c>
      <c r="C88" t="s">
        <v>435</v>
      </c>
      <c r="D88" t="s">
        <v>38</v>
      </c>
      <c r="E88" t="s">
        <v>436</v>
      </c>
      <c r="F88" t="s">
        <v>40</v>
      </c>
      <c r="G88" t="s">
        <v>437</v>
      </c>
      <c r="H88">
        <v>2699</v>
      </c>
      <c r="I88">
        <v>1</v>
      </c>
      <c r="J88">
        <v>2699</v>
      </c>
      <c r="K88" t="s">
        <v>42</v>
      </c>
      <c r="L88">
        <v>20</v>
      </c>
      <c r="M88" t="s">
        <v>43</v>
      </c>
      <c r="N88" t="s">
        <v>44</v>
      </c>
      <c r="O88" t="s">
        <v>214</v>
      </c>
      <c r="P88" t="s">
        <v>113</v>
      </c>
      <c r="Q88" t="s">
        <v>45</v>
      </c>
      <c r="R88" s="1">
        <v>45597</v>
      </c>
      <c r="S88" t="s">
        <v>33</v>
      </c>
      <c r="T88" t="s">
        <v>46</v>
      </c>
      <c r="U88" t="s">
        <v>68</v>
      </c>
      <c r="V88" s="1">
        <v>45626</v>
      </c>
      <c r="W88" t="s">
        <v>48</v>
      </c>
      <c r="X88" t="str">
        <f>IF(OR(orders_Q4[[#This Row],[Qty]]&gt;5,orders_Q4[[#This Row],[Qty]]&lt;0),"Invalid Quantity","OK")</f>
        <v>OK</v>
      </c>
      <c r="Y88" t="b">
        <f>OR(orders_Q4[[#This Row],[Unit Price]]&gt;20000,orders_Q4[[#This Row],[Unit Price]]&lt;0,orders_Q4[[#This Row],[Unit Price]]=0)</f>
        <v>0</v>
      </c>
      <c r="Z8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88">
        <f>orders_Q4[[#This Row],[Unit Price]] * orders_Q4[[#This Row],[Qty]] * (1 - orders_Q4[[#This Row],[Disc %]]/100)</f>
        <v>2159.2000000000003</v>
      </c>
      <c r="AB88" t="str">
        <f>IF(ABS(orders_Q4[[#This Row],[Total]] - orders_Q4[[#This Row],[Calculated_order_total]]) &gt; 1, "Mismatch", "OK")</f>
        <v>Mismatch</v>
      </c>
      <c r="AC88">
        <f>COUNTIF(C:C,orders_Q4[[#This Row],[Customer ID]])</f>
        <v>1</v>
      </c>
      <c r="AD88" t="str">
        <f>IF(AND(orders_Q4[[#This Row],[Type]]="New",orders_Q4[[#This Row],[Customer_id_count]]&gt;1),"Existing customer","OK")</f>
        <v>OK</v>
      </c>
      <c r="AE88">
        <f>orders_Q4[[#This Row],[Del Date]]-orders_Q4[[#This Row],[Order Date]]</f>
        <v>11</v>
      </c>
      <c r="AF88" t="str">
        <f>IF(OR(orders_Q4[[#This Row],[Delivery_time]]&gt;30,orders_Q4[[#This Row],[Delivery_time]]&lt;0),"Invalid_delivery_time","OK")</f>
        <v>OK</v>
      </c>
      <c r="AG88" s="20">
        <f>IF(
   AND(NOT(ISBLANK(orders_Q4[[#This Row],[return_received]])), NOT(ISBLANK(orders_Q4[[#This Row],[Del Date]]))),
   orders_Q4[[#This Row],[return_received]] - orders_Q4[[#This Row],[Del Date]],0)</f>
        <v>29</v>
      </c>
      <c r="AH88" t="str">
        <f>TEXT(orders_Q4[[#This Row],[Order Date]],"mmm-yyyy")</f>
        <v>Oct-2024</v>
      </c>
      <c r="AI88" s="1" t="str">
        <f>TEXT(orders_Q4[[#This Row],[Order Date]],"yyyy") &amp; "-" &amp; WEEKNUM(orders_Q4[[#This Row],[Order Date]])</f>
        <v>2024-43</v>
      </c>
      <c r="AJ88" t="str">
        <f>IF(orders_Q4[[#This Row],[Payment]]="COD","COD","Prepaid")</f>
        <v>Prepaid</v>
      </c>
    </row>
    <row r="89" spans="1:36" x14ac:dyDescent="0.3">
      <c r="A89" t="s">
        <v>438</v>
      </c>
      <c r="B89" s="1">
        <v>45586</v>
      </c>
      <c r="C89" t="s">
        <v>439</v>
      </c>
      <c r="D89" t="s">
        <v>25</v>
      </c>
      <c r="E89" t="s">
        <v>440</v>
      </c>
      <c r="F89" t="s">
        <v>27</v>
      </c>
      <c r="G89" t="s">
        <v>441</v>
      </c>
      <c r="H89">
        <v>1499</v>
      </c>
      <c r="I89">
        <v>1</v>
      </c>
      <c r="J89">
        <v>1499</v>
      </c>
      <c r="L89">
        <v>0</v>
      </c>
      <c r="M89" t="s">
        <v>29</v>
      </c>
      <c r="N89" t="s">
        <v>30</v>
      </c>
      <c r="O89" t="s">
        <v>31</v>
      </c>
      <c r="P89" t="s">
        <v>32</v>
      </c>
      <c r="Q89" t="s">
        <v>31</v>
      </c>
      <c r="R89" s="1">
        <v>45598</v>
      </c>
      <c r="S89" t="s">
        <v>33</v>
      </c>
      <c r="T89" t="s">
        <v>34</v>
      </c>
      <c r="W89" t="s">
        <v>35</v>
      </c>
      <c r="X89" t="str">
        <f>IF(OR(orders_Q4[[#This Row],[Qty]]&gt;5,orders_Q4[[#This Row],[Qty]]&lt;0),"Invalid Quantity","OK")</f>
        <v>OK</v>
      </c>
      <c r="Y89" t="b">
        <f>OR(orders_Q4[[#This Row],[Unit Price]]&gt;20000,orders_Q4[[#This Row],[Unit Price]]&lt;0,orders_Q4[[#This Row],[Unit Price]]=0)</f>
        <v>0</v>
      </c>
      <c r="Z8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89">
        <f>orders_Q4[[#This Row],[Unit Price]] * orders_Q4[[#This Row],[Qty]] * (1 - orders_Q4[[#This Row],[Disc %]]/100)</f>
        <v>1499</v>
      </c>
      <c r="AB89" t="str">
        <f>IF(ABS(orders_Q4[[#This Row],[Total]] - orders_Q4[[#This Row],[Calculated_order_total]]) &gt; 1, "Mismatch", "OK")</f>
        <v>OK</v>
      </c>
      <c r="AC89">
        <f>COUNTIF(C:C,orders_Q4[[#This Row],[Customer ID]])</f>
        <v>1</v>
      </c>
      <c r="AD89" t="str">
        <f>IF(AND(orders_Q4[[#This Row],[Type]]="New",orders_Q4[[#This Row],[Customer_id_count]]&gt;1),"Existing customer","OK")</f>
        <v>OK</v>
      </c>
      <c r="AE89">
        <f>orders_Q4[[#This Row],[Del Date]]-orders_Q4[[#This Row],[Order Date]]</f>
        <v>12</v>
      </c>
      <c r="AF89" t="str">
        <f>IF(OR(orders_Q4[[#This Row],[Delivery_time]]&gt;30,orders_Q4[[#This Row],[Delivery_time]]&lt;0),"Invalid_delivery_time","OK")</f>
        <v>OK</v>
      </c>
      <c r="AG89" s="20">
        <f>IF(
   AND(NOT(ISBLANK(orders_Q4[[#This Row],[return_received]])), NOT(ISBLANK(orders_Q4[[#This Row],[Del Date]]))),
   orders_Q4[[#This Row],[return_received]] - orders_Q4[[#This Row],[Del Date]],0)</f>
        <v>0</v>
      </c>
      <c r="AH89" t="str">
        <f>TEXT(orders_Q4[[#This Row],[Order Date]],"mmm-yyyy")</f>
        <v>Oct-2024</v>
      </c>
      <c r="AI89" s="1" t="str">
        <f>TEXT(orders_Q4[[#This Row],[Order Date]],"yyyy") &amp; "-" &amp; WEEKNUM(orders_Q4[[#This Row],[Order Date]])</f>
        <v>2024-43</v>
      </c>
      <c r="AJ89" t="str">
        <f>IF(orders_Q4[[#This Row],[Payment]]="COD","COD","Prepaid")</f>
        <v>Prepaid</v>
      </c>
    </row>
    <row r="90" spans="1:36" x14ac:dyDescent="0.3">
      <c r="A90" t="s">
        <v>442</v>
      </c>
      <c r="B90" s="1">
        <v>45587</v>
      </c>
      <c r="C90" t="s">
        <v>443</v>
      </c>
      <c r="D90" t="s">
        <v>25</v>
      </c>
      <c r="E90" t="s">
        <v>444</v>
      </c>
      <c r="F90" t="s">
        <v>61</v>
      </c>
      <c r="G90" t="s">
        <v>445</v>
      </c>
      <c r="H90">
        <v>3299</v>
      </c>
      <c r="I90">
        <v>1</v>
      </c>
      <c r="J90">
        <v>3299</v>
      </c>
      <c r="L90">
        <v>0</v>
      </c>
      <c r="M90" t="s">
        <v>64</v>
      </c>
      <c r="N90" t="s">
        <v>65</v>
      </c>
      <c r="O90" t="s">
        <v>45</v>
      </c>
      <c r="P90" t="s">
        <v>45</v>
      </c>
      <c r="Q90" t="s">
        <v>45</v>
      </c>
      <c r="R90" s="1">
        <v>45600</v>
      </c>
      <c r="S90" t="s">
        <v>33</v>
      </c>
      <c r="T90" t="s">
        <v>46</v>
      </c>
      <c r="U90" t="s">
        <v>104</v>
      </c>
      <c r="V90" s="1">
        <v>45629</v>
      </c>
      <c r="W90" t="s">
        <v>48</v>
      </c>
      <c r="X90" t="str">
        <f>IF(OR(orders_Q4[[#This Row],[Qty]]&gt;5,orders_Q4[[#This Row],[Qty]]&lt;0),"Invalid Quantity","OK")</f>
        <v>OK</v>
      </c>
      <c r="Y90" t="b">
        <f>OR(orders_Q4[[#This Row],[Unit Price]]&gt;20000,orders_Q4[[#This Row],[Unit Price]]&lt;0,orders_Q4[[#This Row],[Unit Price]]=0)</f>
        <v>0</v>
      </c>
      <c r="Z9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90">
        <f>orders_Q4[[#This Row],[Unit Price]] * orders_Q4[[#This Row],[Qty]] * (1 - orders_Q4[[#This Row],[Disc %]]/100)</f>
        <v>3299</v>
      </c>
      <c r="AB90" t="str">
        <f>IF(ABS(orders_Q4[[#This Row],[Total]] - orders_Q4[[#This Row],[Calculated_order_total]]) &gt; 1, "Mismatch", "OK")</f>
        <v>OK</v>
      </c>
      <c r="AC90">
        <f>COUNTIF(C:C,orders_Q4[[#This Row],[Customer ID]])</f>
        <v>1</v>
      </c>
      <c r="AD90" t="str">
        <f>IF(AND(orders_Q4[[#This Row],[Type]]="New",orders_Q4[[#This Row],[Customer_id_count]]&gt;1),"Existing customer","OK")</f>
        <v>OK</v>
      </c>
      <c r="AE90">
        <f>orders_Q4[[#This Row],[Del Date]]-orders_Q4[[#This Row],[Order Date]]</f>
        <v>13</v>
      </c>
      <c r="AF90" t="str">
        <f>IF(OR(orders_Q4[[#This Row],[Delivery_time]]&gt;30,orders_Q4[[#This Row],[Delivery_time]]&lt;0),"Invalid_delivery_time","OK")</f>
        <v>OK</v>
      </c>
      <c r="AG90" s="20">
        <f>IF(
   AND(NOT(ISBLANK(orders_Q4[[#This Row],[return_received]])), NOT(ISBLANK(orders_Q4[[#This Row],[Del Date]]))),
   orders_Q4[[#This Row],[return_received]] - orders_Q4[[#This Row],[Del Date]],0)</f>
        <v>29</v>
      </c>
      <c r="AH90" t="str">
        <f>TEXT(orders_Q4[[#This Row],[Order Date]],"mmm-yyyy")</f>
        <v>Oct-2024</v>
      </c>
      <c r="AI90" s="1" t="str">
        <f>TEXT(orders_Q4[[#This Row],[Order Date]],"yyyy") &amp; "-" &amp; WEEKNUM(orders_Q4[[#This Row],[Order Date]])</f>
        <v>2024-43</v>
      </c>
      <c r="AJ90" t="str">
        <f>IF(orders_Q4[[#This Row],[Payment]]="COD","COD","Prepaid")</f>
        <v>Prepaid</v>
      </c>
    </row>
    <row r="91" spans="1:36" x14ac:dyDescent="0.3">
      <c r="A91" t="s">
        <v>446</v>
      </c>
      <c r="B91" s="1">
        <v>45587</v>
      </c>
      <c r="C91" t="s">
        <v>447</v>
      </c>
      <c r="D91" t="s">
        <v>25</v>
      </c>
      <c r="E91" t="s">
        <v>448</v>
      </c>
      <c r="F91" t="s">
        <v>71</v>
      </c>
      <c r="G91" t="s">
        <v>449</v>
      </c>
      <c r="H91">
        <v>499</v>
      </c>
      <c r="I91">
        <v>2</v>
      </c>
      <c r="J91">
        <v>998</v>
      </c>
      <c r="K91" t="s">
        <v>110</v>
      </c>
      <c r="L91">
        <v>10</v>
      </c>
      <c r="M91" t="s">
        <v>43</v>
      </c>
      <c r="N91" t="s">
        <v>44</v>
      </c>
      <c r="O91" t="s">
        <v>90</v>
      </c>
      <c r="P91" t="s">
        <v>91</v>
      </c>
      <c r="Q91" t="s">
        <v>45</v>
      </c>
      <c r="R91" s="1">
        <v>45597</v>
      </c>
      <c r="S91" t="s">
        <v>33</v>
      </c>
      <c r="T91" t="s">
        <v>34</v>
      </c>
      <c r="W91" t="s">
        <v>35</v>
      </c>
      <c r="X91" t="str">
        <f>IF(OR(orders_Q4[[#This Row],[Qty]]&gt;5,orders_Q4[[#This Row],[Qty]]&lt;0),"Invalid Quantity","OK")</f>
        <v>OK</v>
      </c>
      <c r="Y91" t="b">
        <f>OR(orders_Q4[[#This Row],[Unit Price]]&gt;20000,orders_Q4[[#This Row],[Unit Price]]&lt;0,orders_Q4[[#This Row],[Unit Price]]=0)</f>
        <v>0</v>
      </c>
      <c r="Z9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91">
        <f>orders_Q4[[#This Row],[Unit Price]] * orders_Q4[[#This Row],[Qty]] * (1 - orders_Q4[[#This Row],[Disc %]]/100)</f>
        <v>898.2</v>
      </c>
      <c r="AB91" t="str">
        <f>IF(ABS(orders_Q4[[#This Row],[Total]] - orders_Q4[[#This Row],[Calculated_order_total]]) &gt; 1, "Mismatch", "OK")</f>
        <v>Mismatch</v>
      </c>
      <c r="AC91">
        <f>COUNTIF(C:C,orders_Q4[[#This Row],[Customer ID]])</f>
        <v>1</v>
      </c>
      <c r="AD91" t="str">
        <f>IF(AND(orders_Q4[[#This Row],[Type]]="New",orders_Q4[[#This Row],[Customer_id_count]]&gt;1),"Existing customer","OK")</f>
        <v>OK</v>
      </c>
      <c r="AE91">
        <f>orders_Q4[[#This Row],[Del Date]]-orders_Q4[[#This Row],[Order Date]]</f>
        <v>10</v>
      </c>
      <c r="AF91" t="str">
        <f>IF(OR(orders_Q4[[#This Row],[Delivery_time]]&gt;30,orders_Q4[[#This Row],[Delivery_time]]&lt;0),"Invalid_delivery_time","OK")</f>
        <v>OK</v>
      </c>
      <c r="AG91" s="20">
        <f>IF(
   AND(NOT(ISBLANK(orders_Q4[[#This Row],[return_received]])), NOT(ISBLANK(orders_Q4[[#This Row],[Del Date]]))),
   orders_Q4[[#This Row],[return_received]] - orders_Q4[[#This Row],[Del Date]],0)</f>
        <v>0</v>
      </c>
      <c r="AH91" t="str">
        <f>TEXT(orders_Q4[[#This Row],[Order Date]],"mmm-yyyy")</f>
        <v>Oct-2024</v>
      </c>
      <c r="AI91" s="1" t="str">
        <f>TEXT(orders_Q4[[#This Row],[Order Date]],"yyyy") &amp; "-" &amp; WEEKNUM(orders_Q4[[#This Row],[Order Date]])</f>
        <v>2024-43</v>
      </c>
      <c r="AJ91" t="str">
        <f>IF(orders_Q4[[#This Row],[Payment]]="COD","COD","Prepaid")</f>
        <v>Prepaid</v>
      </c>
    </row>
    <row r="92" spans="1:36" x14ac:dyDescent="0.3">
      <c r="A92" t="s">
        <v>450</v>
      </c>
      <c r="B92" s="1">
        <v>45587</v>
      </c>
      <c r="C92" t="s">
        <v>451</v>
      </c>
      <c r="D92" t="s">
        <v>38</v>
      </c>
      <c r="E92" t="s">
        <v>452</v>
      </c>
      <c r="F92" t="s">
        <v>53</v>
      </c>
      <c r="G92" t="s">
        <v>453</v>
      </c>
      <c r="H92">
        <v>2399</v>
      </c>
      <c r="I92">
        <v>1</v>
      </c>
      <c r="J92">
        <v>2399</v>
      </c>
      <c r="L92">
        <v>0</v>
      </c>
      <c r="M92" t="s">
        <v>29</v>
      </c>
      <c r="N92" t="s">
        <v>30</v>
      </c>
      <c r="O92" t="s">
        <v>66</v>
      </c>
      <c r="P92" t="s">
        <v>67</v>
      </c>
      <c r="Q92" t="s">
        <v>56</v>
      </c>
      <c r="R92" s="1">
        <v>45599</v>
      </c>
      <c r="S92" t="s">
        <v>33</v>
      </c>
      <c r="T92" t="s">
        <v>34</v>
      </c>
      <c r="W92" t="s">
        <v>35</v>
      </c>
      <c r="X92" t="str">
        <f>IF(OR(orders_Q4[[#This Row],[Qty]]&gt;5,orders_Q4[[#This Row],[Qty]]&lt;0),"Invalid Quantity","OK")</f>
        <v>OK</v>
      </c>
      <c r="Y92" t="b">
        <f>OR(orders_Q4[[#This Row],[Unit Price]]&gt;20000,orders_Q4[[#This Row],[Unit Price]]&lt;0,orders_Q4[[#This Row],[Unit Price]]=0)</f>
        <v>0</v>
      </c>
      <c r="Z9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92">
        <f>orders_Q4[[#This Row],[Unit Price]] * orders_Q4[[#This Row],[Qty]] * (1 - orders_Q4[[#This Row],[Disc %]]/100)</f>
        <v>2399</v>
      </c>
      <c r="AB92" t="str">
        <f>IF(ABS(orders_Q4[[#This Row],[Total]] - orders_Q4[[#This Row],[Calculated_order_total]]) &gt; 1, "Mismatch", "OK")</f>
        <v>OK</v>
      </c>
      <c r="AC92">
        <f>COUNTIF(C:C,orders_Q4[[#This Row],[Customer ID]])</f>
        <v>1</v>
      </c>
      <c r="AD92" t="str">
        <f>IF(AND(orders_Q4[[#This Row],[Type]]="New",orders_Q4[[#This Row],[Customer_id_count]]&gt;1),"Existing customer","OK")</f>
        <v>OK</v>
      </c>
      <c r="AE92">
        <f>orders_Q4[[#This Row],[Del Date]]-orders_Q4[[#This Row],[Order Date]]</f>
        <v>12</v>
      </c>
      <c r="AF92" t="str">
        <f>IF(OR(orders_Q4[[#This Row],[Delivery_time]]&gt;30,orders_Q4[[#This Row],[Delivery_time]]&lt;0),"Invalid_delivery_time","OK")</f>
        <v>OK</v>
      </c>
      <c r="AG92" s="20">
        <f>IF(
   AND(NOT(ISBLANK(orders_Q4[[#This Row],[return_received]])), NOT(ISBLANK(orders_Q4[[#This Row],[Del Date]]))),
   orders_Q4[[#This Row],[return_received]] - orders_Q4[[#This Row],[Del Date]],0)</f>
        <v>0</v>
      </c>
      <c r="AH92" t="str">
        <f>TEXT(orders_Q4[[#This Row],[Order Date]],"mmm-yyyy")</f>
        <v>Oct-2024</v>
      </c>
      <c r="AI92" s="1" t="str">
        <f>TEXT(orders_Q4[[#This Row],[Order Date]],"yyyy") &amp; "-" &amp; WEEKNUM(orders_Q4[[#This Row],[Order Date]])</f>
        <v>2024-43</v>
      </c>
      <c r="AJ92" t="str">
        <f>IF(orders_Q4[[#This Row],[Payment]]="COD","COD","Prepaid")</f>
        <v>Prepaid</v>
      </c>
    </row>
    <row r="93" spans="1:36" x14ac:dyDescent="0.3">
      <c r="A93" t="s">
        <v>454</v>
      </c>
      <c r="B93" s="1">
        <v>45587</v>
      </c>
      <c r="C93" t="s">
        <v>455</v>
      </c>
      <c r="D93" t="s">
        <v>25</v>
      </c>
      <c r="E93" t="s">
        <v>456</v>
      </c>
      <c r="F93" t="s">
        <v>40</v>
      </c>
      <c r="G93" t="s">
        <v>457</v>
      </c>
      <c r="H93">
        <v>2599</v>
      </c>
      <c r="I93">
        <v>1</v>
      </c>
      <c r="J93">
        <v>2599</v>
      </c>
      <c r="L93">
        <v>0</v>
      </c>
      <c r="M93" t="s">
        <v>55</v>
      </c>
      <c r="N93" t="s">
        <v>65</v>
      </c>
      <c r="O93" t="s">
        <v>77</v>
      </c>
      <c r="P93" t="s">
        <v>78</v>
      </c>
      <c r="Q93" t="s">
        <v>56</v>
      </c>
      <c r="S93" t="s">
        <v>120</v>
      </c>
      <c r="T93" t="s">
        <v>34</v>
      </c>
      <c r="W93" t="s">
        <v>35</v>
      </c>
      <c r="X93" t="str">
        <f>IF(OR(orders_Q4[[#This Row],[Qty]]&gt;5,orders_Q4[[#This Row],[Qty]]&lt;0),"Invalid Quantity","OK")</f>
        <v>OK</v>
      </c>
      <c r="Y93" t="b">
        <f>OR(orders_Q4[[#This Row],[Unit Price]]&gt;20000,orders_Q4[[#This Row],[Unit Price]]&lt;0,orders_Q4[[#This Row],[Unit Price]]=0)</f>
        <v>0</v>
      </c>
      <c r="Z9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93">
        <f>orders_Q4[[#This Row],[Unit Price]] * orders_Q4[[#This Row],[Qty]] * (1 - orders_Q4[[#This Row],[Disc %]]/100)</f>
        <v>2599</v>
      </c>
      <c r="AB93" t="str">
        <f>IF(ABS(orders_Q4[[#This Row],[Total]] - orders_Q4[[#This Row],[Calculated_order_total]]) &gt; 1, "Mismatch", "OK")</f>
        <v>OK</v>
      </c>
      <c r="AC93">
        <f>COUNTIF(C:C,orders_Q4[[#This Row],[Customer ID]])</f>
        <v>1</v>
      </c>
      <c r="AD93" t="str">
        <f>IF(AND(orders_Q4[[#This Row],[Type]]="New",orders_Q4[[#This Row],[Customer_id_count]]&gt;1),"Existing customer","OK")</f>
        <v>OK</v>
      </c>
      <c r="AE93">
        <f>orders_Q4[[#This Row],[Del Date]]-orders_Q4[[#This Row],[Order Date]]</f>
        <v>-45587</v>
      </c>
      <c r="AF93" t="str">
        <f>IF(OR(orders_Q4[[#This Row],[Delivery_time]]&gt;30,orders_Q4[[#This Row],[Delivery_time]]&lt;0),"Invalid_delivery_time","OK")</f>
        <v>Invalid_delivery_time</v>
      </c>
      <c r="AG93" s="20">
        <f>IF(
   AND(NOT(ISBLANK(orders_Q4[[#This Row],[return_received]])), NOT(ISBLANK(orders_Q4[[#This Row],[Del Date]]))),
   orders_Q4[[#This Row],[return_received]] - orders_Q4[[#This Row],[Del Date]],0)</f>
        <v>0</v>
      </c>
      <c r="AH93" t="str">
        <f>TEXT(orders_Q4[[#This Row],[Order Date]],"mmm-yyyy")</f>
        <v>Oct-2024</v>
      </c>
      <c r="AI93" s="1" t="str">
        <f>TEXT(orders_Q4[[#This Row],[Order Date]],"yyyy") &amp; "-" &amp; WEEKNUM(orders_Q4[[#This Row],[Order Date]])</f>
        <v>2024-43</v>
      </c>
      <c r="AJ93" t="str">
        <f>IF(orders_Q4[[#This Row],[Payment]]="COD","COD","Prepaid")</f>
        <v>COD</v>
      </c>
    </row>
    <row r="94" spans="1:36" x14ac:dyDescent="0.3">
      <c r="A94" t="s">
        <v>458</v>
      </c>
      <c r="B94" s="1">
        <v>45588</v>
      </c>
      <c r="C94" t="s">
        <v>459</v>
      </c>
      <c r="D94" t="s">
        <v>25</v>
      </c>
      <c r="E94" t="s">
        <v>460</v>
      </c>
      <c r="F94" t="s">
        <v>27</v>
      </c>
      <c r="G94" t="s">
        <v>461</v>
      </c>
      <c r="H94">
        <v>1399</v>
      </c>
      <c r="I94">
        <v>1</v>
      </c>
      <c r="J94">
        <v>1399</v>
      </c>
      <c r="K94" t="s">
        <v>42</v>
      </c>
      <c r="L94">
        <v>20</v>
      </c>
      <c r="M94" t="s">
        <v>111</v>
      </c>
      <c r="N94" t="s">
        <v>44</v>
      </c>
      <c r="O94" t="s">
        <v>84</v>
      </c>
      <c r="P94" t="s">
        <v>32</v>
      </c>
      <c r="Q94" t="s">
        <v>31</v>
      </c>
      <c r="R94" s="1">
        <v>45599</v>
      </c>
      <c r="S94" t="s">
        <v>33</v>
      </c>
      <c r="T94" t="s">
        <v>46</v>
      </c>
      <c r="U94" t="s">
        <v>47</v>
      </c>
      <c r="V94" s="1">
        <v>45628</v>
      </c>
      <c r="W94" t="s">
        <v>48</v>
      </c>
      <c r="X94" t="str">
        <f>IF(OR(orders_Q4[[#This Row],[Qty]]&gt;5,orders_Q4[[#This Row],[Qty]]&lt;0),"Invalid Quantity","OK")</f>
        <v>OK</v>
      </c>
      <c r="Y94" t="b">
        <f>OR(orders_Q4[[#This Row],[Unit Price]]&gt;20000,orders_Q4[[#This Row],[Unit Price]]&lt;0,orders_Q4[[#This Row],[Unit Price]]=0)</f>
        <v>0</v>
      </c>
      <c r="Z9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94">
        <f>orders_Q4[[#This Row],[Unit Price]] * orders_Q4[[#This Row],[Qty]] * (1 - orders_Q4[[#This Row],[Disc %]]/100)</f>
        <v>1119.2</v>
      </c>
      <c r="AB94" t="str">
        <f>IF(ABS(orders_Q4[[#This Row],[Total]] - orders_Q4[[#This Row],[Calculated_order_total]]) &gt; 1, "Mismatch", "OK")</f>
        <v>Mismatch</v>
      </c>
      <c r="AC94">
        <f>COUNTIF(C:C,orders_Q4[[#This Row],[Customer ID]])</f>
        <v>1</v>
      </c>
      <c r="AD94" t="str">
        <f>IF(AND(orders_Q4[[#This Row],[Type]]="New",orders_Q4[[#This Row],[Customer_id_count]]&gt;1),"Existing customer","OK")</f>
        <v>OK</v>
      </c>
      <c r="AE94">
        <f>orders_Q4[[#This Row],[Del Date]]-orders_Q4[[#This Row],[Order Date]]</f>
        <v>11</v>
      </c>
      <c r="AF94" t="str">
        <f>IF(OR(orders_Q4[[#This Row],[Delivery_time]]&gt;30,orders_Q4[[#This Row],[Delivery_time]]&lt;0),"Invalid_delivery_time","OK")</f>
        <v>OK</v>
      </c>
      <c r="AG94" s="20">
        <f>IF(
   AND(NOT(ISBLANK(orders_Q4[[#This Row],[return_received]])), NOT(ISBLANK(orders_Q4[[#This Row],[Del Date]]))),
   orders_Q4[[#This Row],[return_received]] - orders_Q4[[#This Row],[Del Date]],0)</f>
        <v>29</v>
      </c>
      <c r="AH94" t="str">
        <f>TEXT(orders_Q4[[#This Row],[Order Date]],"mmm-yyyy")</f>
        <v>Oct-2024</v>
      </c>
      <c r="AI94" s="1" t="str">
        <f>TEXT(orders_Q4[[#This Row],[Order Date]],"yyyy") &amp; "-" &amp; WEEKNUM(orders_Q4[[#This Row],[Order Date]])</f>
        <v>2024-43</v>
      </c>
      <c r="AJ94" t="str">
        <f>IF(orders_Q4[[#This Row],[Payment]]="COD","COD","Prepaid")</f>
        <v>Prepaid</v>
      </c>
    </row>
    <row r="95" spans="1:36" x14ac:dyDescent="0.3">
      <c r="A95" t="s">
        <v>462</v>
      </c>
      <c r="B95" s="1">
        <v>45588</v>
      </c>
      <c r="C95" t="s">
        <v>463</v>
      </c>
      <c r="D95" t="s">
        <v>25</v>
      </c>
      <c r="E95" t="s">
        <v>464</v>
      </c>
      <c r="F95" t="s">
        <v>61</v>
      </c>
      <c r="G95" t="s">
        <v>465</v>
      </c>
      <c r="H95">
        <v>4299</v>
      </c>
      <c r="I95">
        <v>1</v>
      </c>
      <c r="J95">
        <v>4299</v>
      </c>
      <c r="L95">
        <v>0</v>
      </c>
      <c r="M95" t="s">
        <v>43</v>
      </c>
      <c r="N95" t="s">
        <v>30</v>
      </c>
      <c r="O95" t="s">
        <v>96</v>
      </c>
      <c r="P95" t="s">
        <v>97</v>
      </c>
      <c r="Q95" t="s">
        <v>31</v>
      </c>
      <c r="R95" s="1">
        <v>45601</v>
      </c>
      <c r="S95" t="s">
        <v>33</v>
      </c>
      <c r="T95" t="s">
        <v>34</v>
      </c>
      <c r="W95" t="s">
        <v>35</v>
      </c>
      <c r="X95" t="str">
        <f>IF(OR(orders_Q4[[#This Row],[Qty]]&gt;5,orders_Q4[[#This Row],[Qty]]&lt;0),"Invalid Quantity","OK")</f>
        <v>OK</v>
      </c>
      <c r="Y95" t="b">
        <f>OR(orders_Q4[[#This Row],[Unit Price]]&gt;20000,orders_Q4[[#This Row],[Unit Price]]&lt;0,orders_Q4[[#This Row],[Unit Price]]=0)</f>
        <v>0</v>
      </c>
      <c r="Z9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95">
        <f>orders_Q4[[#This Row],[Unit Price]] * orders_Q4[[#This Row],[Qty]] * (1 - orders_Q4[[#This Row],[Disc %]]/100)</f>
        <v>4299</v>
      </c>
      <c r="AB95" t="str">
        <f>IF(ABS(orders_Q4[[#This Row],[Total]] - orders_Q4[[#This Row],[Calculated_order_total]]) &gt; 1, "Mismatch", "OK")</f>
        <v>OK</v>
      </c>
      <c r="AC95">
        <f>COUNTIF(C:C,orders_Q4[[#This Row],[Customer ID]])</f>
        <v>1</v>
      </c>
      <c r="AD95" t="str">
        <f>IF(AND(orders_Q4[[#This Row],[Type]]="New",orders_Q4[[#This Row],[Customer_id_count]]&gt;1),"Existing customer","OK")</f>
        <v>OK</v>
      </c>
      <c r="AE95">
        <f>orders_Q4[[#This Row],[Del Date]]-orders_Q4[[#This Row],[Order Date]]</f>
        <v>13</v>
      </c>
      <c r="AF95" t="str">
        <f>IF(OR(orders_Q4[[#This Row],[Delivery_time]]&gt;30,orders_Q4[[#This Row],[Delivery_time]]&lt;0),"Invalid_delivery_time","OK")</f>
        <v>OK</v>
      </c>
      <c r="AG95" s="20">
        <f>IF(
   AND(NOT(ISBLANK(orders_Q4[[#This Row],[return_received]])), NOT(ISBLANK(orders_Q4[[#This Row],[Del Date]]))),
   orders_Q4[[#This Row],[return_received]] - orders_Q4[[#This Row],[Del Date]],0)</f>
        <v>0</v>
      </c>
      <c r="AH95" t="str">
        <f>TEXT(orders_Q4[[#This Row],[Order Date]],"mmm-yyyy")</f>
        <v>Oct-2024</v>
      </c>
      <c r="AI95" s="1" t="str">
        <f>TEXT(orders_Q4[[#This Row],[Order Date]],"yyyy") &amp; "-" &amp; WEEKNUM(orders_Q4[[#This Row],[Order Date]])</f>
        <v>2024-43</v>
      </c>
      <c r="AJ95" t="str">
        <f>IF(orders_Q4[[#This Row],[Payment]]="COD","COD","Prepaid")</f>
        <v>Prepaid</v>
      </c>
    </row>
    <row r="96" spans="1:36" x14ac:dyDescent="0.3">
      <c r="A96" t="s">
        <v>466</v>
      </c>
      <c r="B96" s="1">
        <v>45588</v>
      </c>
      <c r="C96" t="s">
        <v>467</v>
      </c>
      <c r="D96" t="s">
        <v>38</v>
      </c>
      <c r="E96" t="s">
        <v>468</v>
      </c>
      <c r="F96" t="s">
        <v>71</v>
      </c>
      <c r="G96" t="s">
        <v>469</v>
      </c>
      <c r="H96">
        <v>399</v>
      </c>
      <c r="I96">
        <v>3</v>
      </c>
      <c r="J96">
        <v>1197</v>
      </c>
      <c r="L96">
        <v>0</v>
      </c>
      <c r="M96" t="s">
        <v>29</v>
      </c>
      <c r="N96" t="s">
        <v>65</v>
      </c>
      <c r="O96" t="s">
        <v>102</v>
      </c>
      <c r="P96" t="s">
        <v>103</v>
      </c>
      <c r="Q96" t="s">
        <v>45</v>
      </c>
      <c r="R96" s="1">
        <v>45598</v>
      </c>
      <c r="S96" t="s">
        <v>33</v>
      </c>
      <c r="T96" t="s">
        <v>34</v>
      </c>
      <c r="W96" t="s">
        <v>35</v>
      </c>
      <c r="X96" t="str">
        <f>IF(OR(orders_Q4[[#This Row],[Qty]]&gt;5,orders_Q4[[#This Row],[Qty]]&lt;0),"Invalid Quantity","OK")</f>
        <v>OK</v>
      </c>
      <c r="Y96" t="b">
        <f>OR(orders_Q4[[#This Row],[Unit Price]]&gt;20000,orders_Q4[[#This Row],[Unit Price]]&lt;0,orders_Q4[[#This Row],[Unit Price]]=0)</f>
        <v>0</v>
      </c>
      <c r="Z9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96">
        <f>orders_Q4[[#This Row],[Unit Price]] * orders_Q4[[#This Row],[Qty]] * (1 - orders_Q4[[#This Row],[Disc %]]/100)</f>
        <v>1197</v>
      </c>
      <c r="AB96" t="str">
        <f>IF(ABS(orders_Q4[[#This Row],[Total]] - orders_Q4[[#This Row],[Calculated_order_total]]) &gt; 1, "Mismatch", "OK")</f>
        <v>OK</v>
      </c>
      <c r="AC96">
        <f>COUNTIF(C:C,orders_Q4[[#This Row],[Customer ID]])</f>
        <v>1</v>
      </c>
      <c r="AD96" t="str">
        <f>IF(AND(orders_Q4[[#This Row],[Type]]="New",orders_Q4[[#This Row],[Customer_id_count]]&gt;1),"Existing customer","OK")</f>
        <v>OK</v>
      </c>
      <c r="AE96">
        <f>orders_Q4[[#This Row],[Del Date]]-orders_Q4[[#This Row],[Order Date]]</f>
        <v>10</v>
      </c>
      <c r="AF96" t="str">
        <f>IF(OR(orders_Q4[[#This Row],[Delivery_time]]&gt;30,orders_Q4[[#This Row],[Delivery_time]]&lt;0),"Invalid_delivery_time","OK")</f>
        <v>OK</v>
      </c>
      <c r="AG96" s="20">
        <f>IF(
   AND(NOT(ISBLANK(orders_Q4[[#This Row],[return_received]])), NOT(ISBLANK(orders_Q4[[#This Row],[Del Date]]))),
   orders_Q4[[#This Row],[return_received]] - orders_Q4[[#This Row],[Del Date]],0)</f>
        <v>0</v>
      </c>
      <c r="AH96" t="str">
        <f>TEXT(orders_Q4[[#This Row],[Order Date]],"mmm-yyyy")</f>
        <v>Oct-2024</v>
      </c>
      <c r="AI96" s="1" t="str">
        <f>TEXT(orders_Q4[[#This Row],[Order Date]],"yyyy") &amp; "-" &amp; WEEKNUM(orders_Q4[[#This Row],[Order Date]])</f>
        <v>2024-43</v>
      </c>
      <c r="AJ96" t="str">
        <f>IF(orders_Q4[[#This Row],[Payment]]="COD","COD","Prepaid")</f>
        <v>Prepaid</v>
      </c>
    </row>
    <row r="97" spans="1:36" x14ac:dyDescent="0.3">
      <c r="A97" t="s">
        <v>470</v>
      </c>
      <c r="B97" s="1">
        <v>45588</v>
      </c>
      <c r="C97" t="s">
        <v>471</v>
      </c>
      <c r="D97" t="s">
        <v>25</v>
      </c>
      <c r="E97" t="s">
        <v>472</v>
      </c>
      <c r="F97" t="s">
        <v>53</v>
      </c>
      <c r="G97" t="s">
        <v>473</v>
      </c>
      <c r="H97">
        <v>2199</v>
      </c>
      <c r="I97">
        <v>1</v>
      </c>
      <c r="J97">
        <v>2199</v>
      </c>
      <c r="K97" t="s">
        <v>63</v>
      </c>
      <c r="L97">
        <v>15</v>
      </c>
      <c r="M97" t="s">
        <v>64</v>
      </c>
      <c r="N97" t="s">
        <v>44</v>
      </c>
      <c r="O97" t="s">
        <v>112</v>
      </c>
      <c r="P97" t="s">
        <v>113</v>
      </c>
      <c r="Q97" t="s">
        <v>45</v>
      </c>
      <c r="R97" s="1">
        <v>45601</v>
      </c>
      <c r="S97" t="s">
        <v>33</v>
      </c>
      <c r="T97" t="s">
        <v>46</v>
      </c>
      <c r="U97" t="s">
        <v>138</v>
      </c>
      <c r="V97" s="1">
        <v>45631</v>
      </c>
      <c r="W97" t="s">
        <v>48</v>
      </c>
      <c r="X97" t="str">
        <f>IF(OR(orders_Q4[[#This Row],[Qty]]&gt;5,orders_Q4[[#This Row],[Qty]]&lt;0),"Invalid Quantity","OK")</f>
        <v>OK</v>
      </c>
      <c r="Y97" t="b">
        <f>OR(orders_Q4[[#This Row],[Unit Price]]&gt;20000,orders_Q4[[#This Row],[Unit Price]]&lt;0,orders_Q4[[#This Row],[Unit Price]]=0)</f>
        <v>0</v>
      </c>
      <c r="Z9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97">
        <f>orders_Q4[[#This Row],[Unit Price]] * orders_Q4[[#This Row],[Qty]] * (1 - orders_Q4[[#This Row],[Disc %]]/100)</f>
        <v>1869.1499999999999</v>
      </c>
      <c r="AB97" t="str">
        <f>IF(ABS(orders_Q4[[#This Row],[Total]] - orders_Q4[[#This Row],[Calculated_order_total]]) &gt; 1, "Mismatch", "OK")</f>
        <v>Mismatch</v>
      </c>
      <c r="AC97">
        <f>COUNTIF(C:C,orders_Q4[[#This Row],[Customer ID]])</f>
        <v>1</v>
      </c>
      <c r="AD97" t="str">
        <f>IF(AND(orders_Q4[[#This Row],[Type]]="New",orders_Q4[[#This Row],[Customer_id_count]]&gt;1),"Existing customer","OK")</f>
        <v>OK</v>
      </c>
      <c r="AE97">
        <f>orders_Q4[[#This Row],[Del Date]]-orders_Q4[[#This Row],[Order Date]]</f>
        <v>13</v>
      </c>
      <c r="AF97" t="str">
        <f>IF(OR(orders_Q4[[#This Row],[Delivery_time]]&gt;30,orders_Q4[[#This Row],[Delivery_time]]&lt;0),"Invalid_delivery_time","OK")</f>
        <v>OK</v>
      </c>
      <c r="AG97" s="20">
        <f>IF(
   AND(NOT(ISBLANK(orders_Q4[[#This Row],[return_received]])), NOT(ISBLANK(orders_Q4[[#This Row],[Del Date]]))),
   orders_Q4[[#This Row],[return_received]] - orders_Q4[[#This Row],[Del Date]],0)</f>
        <v>30</v>
      </c>
      <c r="AH97" t="str">
        <f>TEXT(orders_Q4[[#This Row],[Order Date]],"mmm-yyyy")</f>
        <v>Oct-2024</v>
      </c>
      <c r="AI97" s="1" t="str">
        <f>TEXT(orders_Q4[[#This Row],[Order Date]],"yyyy") &amp; "-" &amp; WEEKNUM(orders_Q4[[#This Row],[Order Date]])</f>
        <v>2024-43</v>
      </c>
      <c r="AJ97" t="str">
        <f>IF(orders_Q4[[#This Row],[Payment]]="COD","COD","Prepaid")</f>
        <v>Prepaid</v>
      </c>
    </row>
    <row r="98" spans="1:36" x14ac:dyDescent="0.3">
      <c r="A98" t="s">
        <v>474</v>
      </c>
      <c r="B98" s="1">
        <v>45589</v>
      </c>
      <c r="C98" t="s">
        <v>475</v>
      </c>
      <c r="D98" t="s">
        <v>25</v>
      </c>
      <c r="E98" t="s">
        <v>476</v>
      </c>
      <c r="F98" t="s">
        <v>40</v>
      </c>
      <c r="G98" t="s">
        <v>477</v>
      </c>
      <c r="H98">
        <v>2399</v>
      </c>
      <c r="I98">
        <v>1</v>
      </c>
      <c r="J98">
        <v>2399</v>
      </c>
      <c r="L98">
        <v>0</v>
      </c>
      <c r="M98" t="s">
        <v>43</v>
      </c>
      <c r="N98" t="s">
        <v>30</v>
      </c>
      <c r="O98" t="s">
        <v>56</v>
      </c>
      <c r="P98" t="s">
        <v>57</v>
      </c>
      <c r="Q98" t="s">
        <v>56</v>
      </c>
      <c r="R98" s="1">
        <v>45600</v>
      </c>
      <c r="S98" t="s">
        <v>33</v>
      </c>
      <c r="T98" t="s">
        <v>34</v>
      </c>
      <c r="W98" t="s">
        <v>35</v>
      </c>
      <c r="X98" t="str">
        <f>IF(OR(orders_Q4[[#This Row],[Qty]]&gt;5,orders_Q4[[#This Row],[Qty]]&lt;0),"Invalid Quantity","OK")</f>
        <v>OK</v>
      </c>
      <c r="Y98" t="b">
        <f>OR(orders_Q4[[#This Row],[Unit Price]]&gt;20000,orders_Q4[[#This Row],[Unit Price]]&lt;0,orders_Q4[[#This Row],[Unit Price]]=0)</f>
        <v>0</v>
      </c>
      <c r="Z9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98">
        <f>orders_Q4[[#This Row],[Unit Price]] * orders_Q4[[#This Row],[Qty]] * (1 - orders_Q4[[#This Row],[Disc %]]/100)</f>
        <v>2399</v>
      </c>
      <c r="AB98" t="str">
        <f>IF(ABS(orders_Q4[[#This Row],[Total]] - orders_Q4[[#This Row],[Calculated_order_total]]) &gt; 1, "Mismatch", "OK")</f>
        <v>OK</v>
      </c>
      <c r="AC98">
        <f>COUNTIF(C:C,orders_Q4[[#This Row],[Customer ID]])</f>
        <v>1</v>
      </c>
      <c r="AD98" t="str">
        <f>IF(AND(orders_Q4[[#This Row],[Type]]="New",orders_Q4[[#This Row],[Customer_id_count]]&gt;1),"Existing customer","OK")</f>
        <v>OK</v>
      </c>
      <c r="AE98">
        <f>orders_Q4[[#This Row],[Del Date]]-orders_Q4[[#This Row],[Order Date]]</f>
        <v>11</v>
      </c>
      <c r="AF98" t="str">
        <f>IF(OR(orders_Q4[[#This Row],[Delivery_time]]&gt;30,orders_Q4[[#This Row],[Delivery_time]]&lt;0),"Invalid_delivery_time","OK")</f>
        <v>OK</v>
      </c>
      <c r="AG98" s="20">
        <f>IF(
   AND(NOT(ISBLANK(orders_Q4[[#This Row],[return_received]])), NOT(ISBLANK(orders_Q4[[#This Row],[Del Date]]))),
   orders_Q4[[#This Row],[return_received]] - orders_Q4[[#This Row],[Del Date]],0)</f>
        <v>0</v>
      </c>
      <c r="AH98" t="str">
        <f>TEXT(orders_Q4[[#This Row],[Order Date]],"mmm-yyyy")</f>
        <v>Oct-2024</v>
      </c>
      <c r="AI98" s="1" t="str">
        <f>TEXT(orders_Q4[[#This Row],[Order Date]],"yyyy") &amp; "-" &amp; WEEKNUM(orders_Q4[[#This Row],[Order Date]])</f>
        <v>2024-43</v>
      </c>
      <c r="AJ98" t="str">
        <f>IF(orders_Q4[[#This Row],[Payment]]="COD","COD","Prepaid")</f>
        <v>Prepaid</v>
      </c>
    </row>
    <row r="99" spans="1:36" x14ac:dyDescent="0.3">
      <c r="A99" t="s">
        <v>478</v>
      </c>
      <c r="B99" s="1">
        <v>45589</v>
      </c>
      <c r="C99" t="s">
        <v>479</v>
      </c>
      <c r="D99" t="s">
        <v>25</v>
      </c>
      <c r="E99" t="s">
        <v>480</v>
      </c>
      <c r="F99" t="s">
        <v>27</v>
      </c>
      <c r="G99" t="s">
        <v>481</v>
      </c>
      <c r="H99">
        <v>1299</v>
      </c>
      <c r="I99">
        <v>1</v>
      </c>
      <c r="J99">
        <v>1299</v>
      </c>
      <c r="L99">
        <v>0</v>
      </c>
      <c r="M99" t="s">
        <v>55</v>
      </c>
      <c r="N99" t="s">
        <v>65</v>
      </c>
      <c r="O99" t="s">
        <v>31</v>
      </c>
      <c r="P99" t="s">
        <v>32</v>
      </c>
      <c r="Q99" t="s">
        <v>31</v>
      </c>
      <c r="R99" s="1">
        <v>45602</v>
      </c>
      <c r="S99" t="s">
        <v>33</v>
      </c>
      <c r="T99" t="s">
        <v>46</v>
      </c>
      <c r="U99" t="s">
        <v>79</v>
      </c>
      <c r="V99" s="1">
        <v>45631</v>
      </c>
      <c r="W99" t="s">
        <v>48</v>
      </c>
      <c r="X99" t="str">
        <f>IF(OR(orders_Q4[[#This Row],[Qty]]&gt;5,orders_Q4[[#This Row],[Qty]]&lt;0),"Invalid Quantity","OK")</f>
        <v>OK</v>
      </c>
      <c r="Y99" t="b">
        <f>OR(orders_Q4[[#This Row],[Unit Price]]&gt;20000,orders_Q4[[#This Row],[Unit Price]]&lt;0,orders_Q4[[#This Row],[Unit Price]]=0)</f>
        <v>0</v>
      </c>
      <c r="Z9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99">
        <f>orders_Q4[[#This Row],[Unit Price]] * orders_Q4[[#This Row],[Qty]] * (1 - orders_Q4[[#This Row],[Disc %]]/100)</f>
        <v>1299</v>
      </c>
      <c r="AB99" t="str">
        <f>IF(ABS(orders_Q4[[#This Row],[Total]] - orders_Q4[[#This Row],[Calculated_order_total]]) &gt; 1, "Mismatch", "OK")</f>
        <v>OK</v>
      </c>
      <c r="AC99">
        <f>COUNTIF(C:C,orders_Q4[[#This Row],[Customer ID]])</f>
        <v>1</v>
      </c>
      <c r="AD99" t="str">
        <f>IF(AND(orders_Q4[[#This Row],[Type]]="New",orders_Q4[[#This Row],[Customer_id_count]]&gt;1),"Existing customer","OK")</f>
        <v>OK</v>
      </c>
      <c r="AE99">
        <f>orders_Q4[[#This Row],[Del Date]]-orders_Q4[[#This Row],[Order Date]]</f>
        <v>13</v>
      </c>
      <c r="AF99" t="str">
        <f>IF(OR(orders_Q4[[#This Row],[Delivery_time]]&gt;30,orders_Q4[[#This Row],[Delivery_time]]&lt;0),"Invalid_delivery_time","OK")</f>
        <v>OK</v>
      </c>
      <c r="AG99" s="20">
        <f>IF(
   AND(NOT(ISBLANK(orders_Q4[[#This Row],[return_received]])), NOT(ISBLANK(orders_Q4[[#This Row],[Del Date]]))),
   orders_Q4[[#This Row],[return_received]] - orders_Q4[[#This Row],[Del Date]],0)</f>
        <v>29</v>
      </c>
      <c r="AH99" t="str">
        <f>TEXT(orders_Q4[[#This Row],[Order Date]],"mmm-yyyy")</f>
        <v>Oct-2024</v>
      </c>
      <c r="AI99" s="1" t="str">
        <f>TEXT(orders_Q4[[#This Row],[Order Date]],"yyyy") &amp; "-" &amp; WEEKNUM(orders_Q4[[#This Row],[Order Date]])</f>
        <v>2024-43</v>
      </c>
      <c r="AJ99" t="str">
        <f>IF(orders_Q4[[#This Row],[Payment]]="COD","COD","Prepaid")</f>
        <v>COD</v>
      </c>
    </row>
    <row r="100" spans="1:36" x14ac:dyDescent="0.3">
      <c r="A100" t="s">
        <v>482</v>
      </c>
      <c r="B100" s="1">
        <v>45589</v>
      </c>
      <c r="C100" t="s">
        <v>483</v>
      </c>
      <c r="D100" t="s">
        <v>38</v>
      </c>
      <c r="E100" t="s">
        <v>484</v>
      </c>
      <c r="F100" t="s">
        <v>61</v>
      </c>
      <c r="G100" t="s">
        <v>485</v>
      </c>
      <c r="H100">
        <v>2799</v>
      </c>
      <c r="I100">
        <v>1</v>
      </c>
      <c r="J100">
        <v>2799</v>
      </c>
      <c r="K100" t="s">
        <v>42</v>
      </c>
      <c r="L100">
        <v>20</v>
      </c>
      <c r="M100" t="s">
        <v>29</v>
      </c>
      <c r="N100" t="s">
        <v>44</v>
      </c>
      <c r="O100" t="s">
        <v>45</v>
      </c>
      <c r="P100" t="s">
        <v>45</v>
      </c>
      <c r="Q100" t="s">
        <v>45</v>
      </c>
      <c r="R100" s="1">
        <v>45601</v>
      </c>
      <c r="S100" t="s">
        <v>33</v>
      </c>
      <c r="T100" t="s">
        <v>34</v>
      </c>
      <c r="W100" t="s">
        <v>35</v>
      </c>
      <c r="X100" t="str">
        <f>IF(OR(orders_Q4[[#This Row],[Qty]]&gt;5,orders_Q4[[#This Row],[Qty]]&lt;0),"Invalid Quantity","OK")</f>
        <v>OK</v>
      </c>
      <c r="Y100" t="b">
        <f>OR(orders_Q4[[#This Row],[Unit Price]]&gt;20000,orders_Q4[[#This Row],[Unit Price]]&lt;0,orders_Q4[[#This Row],[Unit Price]]=0)</f>
        <v>0</v>
      </c>
      <c r="Z10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00">
        <f>orders_Q4[[#This Row],[Unit Price]] * orders_Q4[[#This Row],[Qty]] * (1 - orders_Q4[[#This Row],[Disc %]]/100)</f>
        <v>2239.2000000000003</v>
      </c>
      <c r="AB100" t="str">
        <f>IF(ABS(orders_Q4[[#This Row],[Total]] - orders_Q4[[#This Row],[Calculated_order_total]]) &gt; 1, "Mismatch", "OK")</f>
        <v>Mismatch</v>
      </c>
      <c r="AC100">
        <f>COUNTIF(C:C,orders_Q4[[#This Row],[Customer ID]])</f>
        <v>1</v>
      </c>
      <c r="AD100" t="str">
        <f>IF(AND(orders_Q4[[#This Row],[Type]]="New",orders_Q4[[#This Row],[Customer_id_count]]&gt;1),"Existing customer","OK")</f>
        <v>OK</v>
      </c>
      <c r="AE100">
        <f>orders_Q4[[#This Row],[Del Date]]-orders_Q4[[#This Row],[Order Date]]</f>
        <v>12</v>
      </c>
      <c r="AF100" t="str">
        <f>IF(OR(orders_Q4[[#This Row],[Delivery_time]]&gt;30,orders_Q4[[#This Row],[Delivery_time]]&lt;0),"Invalid_delivery_time","OK")</f>
        <v>OK</v>
      </c>
      <c r="AG100" s="20">
        <f>IF(
   AND(NOT(ISBLANK(orders_Q4[[#This Row],[return_received]])), NOT(ISBLANK(orders_Q4[[#This Row],[Del Date]]))),
   orders_Q4[[#This Row],[return_received]] - orders_Q4[[#This Row],[Del Date]],0)</f>
        <v>0</v>
      </c>
      <c r="AH100" t="str">
        <f>TEXT(orders_Q4[[#This Row],[Order Date]],"mmm-yyyy")</f>
        <v>Oct-2024</v>
      </c>
      <c r="AI100" s="1" t="str">
        <f>TEXT(orders_Q4[[#This Row],[Order Date]],"yyyy") &amp; "-" &amp; WEEKNUM(orders_Q4[[#This Row],[Order Date]])</f>
        <v>2024-43</v>
      </c>
      <c r="AJ100" t="str">
        <f>IF(orders_Q4[[#This Row],[Payment]]="COD","COD","Prepaid")</f>
        <v>Prepaid</v>
      </c>
    </row>
    <row r="101" spans="1:36" x14ac:dyDescent="0.3">
      <c r="A101" t="s">
        <v>486</v>
      </c>
      <c r="B101" s="1">
        <v>45589</v>
      </c>
      <c r="C101" t="s">
        <v>487</v>
      </c>
      <c r="D101" t="s">
        <v>25</v>
      </c>
      <c r="E101" t="s">
        <v>488</v>
      </c>
      <c r="F101" t="s">
        <v>71</v>
      </c>
      <c r="G101" t="s">
        <v>489</v>
      </c>
      <c r="H101">
        <v>699</v>
      </c>
      <c r="I101">
        <v>1</v>
      </c>
      <c r="J101">
        <v>699</v>
      </c>
      <c r="L101">
        <v>0</v>
      </c>
      <c r="M101" t="s">
        <v>111</v>
      </c>
      <c r="N101" t="s">
        <v>30</v>
      </c>
      <c r="O101" t="s">
        <v>118</v>
      </c>
      <c r="P101" t="s">
        <v>119</v>
      </c>
      <c r="Q101" t="s">
        <v>45</v>
      </c>
      <c r="R101" s="1">
        <v>45600</v>
      </c>
      <c r="S101" t="s">
        <v>33</v>
      </c>
      <c r="T101" t="s">
        <v>34</v>
      </c>
      <c r="W101" t="s">
        <v>35</v>
      </c>
      <c r="X101" t="str">
        <f>IF(OR(orders_Q4[[#This Row],[Qty]]&gt;5,orders_Q4[[#This Row],[Qty]]&lt;0),"Invalid Quantity","OK")</f>
        <v>OK</v>
      </c>
      <c r="Y101" t="b">
        <f>OR(orders_Q4[[#This Row],[Unit Price]]&gt;20000,orders_Q4[[#This Row],[Unit Price]]&lt;0,orders_Q4[[#This Row],[Unit Price]]=0)</f>
        <v>0</v>
      </c>
      <c r="Z10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01">
        <f>orders_Q4[[#This Row],[Unit Price]] * orders_Q4[[#This Row],[Qty]] * (1 - orders_Q4[[#This Row],[Disc %]]/100)</f>
        <v>699</v>
      </c>
      <c r="AB101" t="str">
        <f>IF(ABS(orders_Q4[[#This Row],[Total]] - orders_Q4[[#This Row],[Calculated_order_total]]) &gt; 1, "Mismatch", "OK")</f>
        <v>OK</v>
      </c>
      <c r="AC101">
        <f>COUNTIF(C:C,orders_Q4[[#This Row],[Customer ID]])</f>
        <v>1</v>
      </c>
      <c r="AD101" t="str">
        <f>IF(AND(orders_Q4[[#This Row],[Type]]="New",orders_Q4[[#This Row],[Customer_id_count]]&gt;1),"Existing customer","OK")</f>
        <v>OK</v>
      </c>
      <c r="AE101">
        <f>orders_Q4[[#This Row],[Del Date]]-orders_Q4[[#This Row],[Order Date]]</f>
        <v>11</v>
      </c>
      <c r="AF101" t="str">
        <f>IF(OR(orders_Q4[[#This Row],[Delivery_time]]&gt;30,orders_Q4[[#This Row],[Delivery_time]]&lt;0),"Invalid_delivery_time","OK")</f>
        <v>OK</v>
      </c>
      <c r="AG101" s="20">
        <f>IF(
   AND(NOT(ISBLANK(orders_Q4[[#This Row],[return_received]])), NOT(ISBLANK(orders_Q4[[#This Row],[Del Date]]))),
   orders_Q4[[#This Row],[return_received]] - orders_Q4[[#This Row],[Del Date]],0)</f>
        <v>0</v>
      </c>
      <c r="AH101" t="str">
        <f>TEXT(orders_Q4[[#This Row],[Order Date]],"mmm-yyyy")</f>
        <v>Oct-2024</v>
      </c>
      <c r="AI101" s="1" t="str">
        <f>TEXT(orders_Q4[[#This Row],[Order Date]],"yyyy") &amp; "-" &amp; WEEKNUM(orders_Q4[[#This Row],[Order Date]])</f>
        <v>2024-43</v>
      </c>
      <c r="AJ101" t="str">
        <f>IF(orders_Q4[[#This Row],[Payment]]="COD","COD","Prepaid")</f>
        <v>Prepaid</v>
      </c>
    </row>
    <row r="102" spans="1:36" x14ac:dyDescent="0.3">
      <c r="A102" t="s">
        <v>490</v>
      </c>
      <c r="B102" s="1">
        <v>45590</v>
      </c>
      <c r="C102" t="s">
        <v>491</v>
      </c>
      <c r="D102" t="s">
        <v>25</v>
      </c>
      <c r="E102" t="s">
        <v>492</v>
      </c>
      <c r="F102" t="s">
        <v>53</v>
      </c>
      <c r="G102" t="s">
        <v>493</v>
      </c>
      <c r="H102">
        <v>1699</v>
      </c>
      <c r="I102">
        <v>1</v>
      </c>
      <c r="J102">
        <v>1699</v>
      </c>
      <c r="L102">
        <v>0</v>
      </c>
      <c r="M102" t="s">
        <v>64</v>
      </c>
      <c r="N102" t="s">
        <v>65</v>
      </c>
      <c r="O102" t="s">
        <v>137</v>
      </c>
      <c r="P102" t="s">
        <v>113</v>
      </c>
      <c r="Q102" t="s">
        <v>45</v>
      </c>
      <c r="R102" s="1">
        <v>45603</v>
      </c>
      <c r="S102" t="s">
        <v>33</v>
      </c>
      <c r="T102" t="s">
        <v>46</v>
      </c>
      <c r="U102" t="s">
        <v>47</v>
      </c>
      <c r="V102" s="1">
        <v>45632</v>
      </c>
      <c r="W102" t="s">
        <v>48</v>
      </c>
      <c r="X102" t="str">
        <f>IF(OR(orders_Q4[[#This Row],[Qty]]&gt;5,orders_Q4[[#This Row],[Qty]]&lt;0),"Invalid Quantity","OK")</f>
        <v>OK</v>
      </c>
      <c r="Y102" t="b">
        <f>OR(orders_Q4[[#This Row],[Unit Price]]&gt;20000,orders_Q4[[#This Row],[Unit Price]]&lt;0,orders_Q4[[#This Row],[Unit Price]]=0)</f>
        <v>0</v>
      </c>
      <c r="Z10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02">
        <f>orders_Q4[[#This Row],[Unit Price]] * orders_Q4[[#This Row],[Qty]] * (1 - orders_Q4[[#This Row],[Disc %]]/100)</f>
        <v>1699</v>
      </c>
      <c r="AB102" t="str">
        <f>IF(ABS(orders_Q4[[#This Row],[Total]] - orders_Q4[[#This Row],[Calculated_order_total]]) &gt; 1, "Mismatch", "OK")</f>
        <v>OK</v>
      </c>
      <c r="AC102">
        <f>COUNTIF(C:C,orders_Q4[[#This Row],[Customer ID]])</f>
        <v>1</v>
      </c>
      <c r="AD102" t="str">
        <f>IF(AND(orders_Q4[[#This Row],[Type]]="New",orders_Q4[[#This Row],[Customer_id_count]]&gt;1),"Existing customer","OK")</f>
        <v>OK</v>
      </c>
      <c r="AE102">
        <f>orders_Q4[[#This Row],[Del Date]]-orders_Q4[[#This Row],[Order Date]]</f>
        <v>13</v>
      </c>
      <c r="AF102" t="str">
        <f>IF(OR(orders_Q4[[#This Row],[Delivery_time]]&gt;30,orders_Q4[[#This Row],[Delivery_time]]&lt;0),"Invalid_delivery_time","OK")</f>
        <v>OK</v>
      </c>
      <c r="AG102" s="20">
        <f>IF(
   AND(NOT(ISBLANK(orders_Q4[[#This Row],[return_received]])), NOT(ISBLANK(orders_Q4[[#This Row],[Del Date]]))),
   orders_Q4[[#This Row],[return_received]] - orders_Q4[[#This Row],[Del Date]],0)</f>
        <v>29</v>
      </c>
      <c r="AH102" t="str">
        <f>TEXT(orders_Q4[[#This Row],[Order Date]],"mmm-yyyy")</f>
        <v>Oct-2024</v>
      </c>
      <c r="AI102" s="1" t="str">
        <f>TEXT(orders_Q4[[#This Row],[Order Date]],"yyyy") &amp; "-" &amp; WEEKNUM(orders_Q4[[#This Row],[Order Date]])</f>
        <v>2024-43</v>
      </c>
      <c r="AJ102" t="str">
        <f>IF(orders_Q4[[#This Row],[Payment]]="COD","COD","Prepaid")</f>
        <v>Prepaid</v>
      </c>
    </row>
    <row r="103" spans="1:36" x14ac:dyDescent="0.3">
      <c r="A103" t="s">
        <v>494</v>
      </c>
      <c r="B103" s="1">
        <v>45590</v>
      </c>
      <c r="C103" t="s">
        <v>495</v>
      </c>
      <c r="D103" t="s">
        <v>25</v>
      </c>
      <c r="E103" t="s">
        <v>496</v>
      </c>
      <c r="F103" t="s">
        <v>40</v>
      </c>
      <c r="G103" t="s">
        <v>149</v>
      </c>
      <c r="H103">
        <v>2799</v>
      </c>
      <c r="I103">
        <v>1</v>
      </c>
      <c r="J103">
        <v>2799</v>
      </c>
      <c r="K103" t="s">
        <v>110</v>
      </c>
      <c r="L103">
        <v>10</v>
      </c>
      <c r="M103" t="s">
        <v>43</v>
      </c>
      <c r="N103" t="s">
        <v>44</v>
      </c>
      <c r="O103" t="s">
        <v>143</v>
      </c>
      <c r="P103" t="s">
        <v>144</v>
      </c>
      <c r="Q103" t="s">
        <v>45</v>
      </c>
      <c r="R103" s="1">
        <v>45602</v>
      </c>
      <c r="S103" t="s">
        <v>33</v>
      </c>
      <c r="T103" t="s">
        <v>34</v>
      </c>
      <c r="W103" t="s">
        <v>35</v>
      </c>
      <c r="X103" t="str">
        <f>IF(OR(orders_Q4[[#This Row],[Qty]]&gt;5,orders_Q4[[#This Row],[Qty]]&lt;0),"Invalid Quantity","OK")</f>
        <v>OK</v>
      </c>
      <c r="Y103" t="b">
        <f>OR(orders_Q4[[#This Row],[Unit Price]]&gt;20000,orders_Q4[[#This Row],[Unit Price]]&lt;0,orders_Q4[[#This Row],[Unit Price]]=0)</f>
        <v>0</v>
      </c>
      <c r="Z10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03">
        <f>orders_Q4[[#This Row],[Unit Price]] * orders_Q4[[#This Row],[Qty]] * (1 - orders_Q4[[#This Row],[Disc %]]/100)</f>
        <v>2519.1</v>
      </c>
      <c r="AB103" t="str">
        <f>IF(ABS(orders_Q4[[#This Row],[Total]] - orders_Q4[[#This Row],[Calculated_order_total]]) &gt; 1, "Mismatch", "OK")</f>
        <v>Mismatch</v>
      </c>
      <c r="AC103">
        <f>COUNTIF(C:C,orders_Q4[[#This Row],[Customer ID]])</f>
        <v>1</v>
      </c>
      <c r="AD103" t="str">
        <f>IF(AND(orders_Q4[[#This Row],[Type]]="New",orders_Q4[[#This Row],[Customer_id_count]]&gt;1),"Existing customer","OK")</f>
        <v>OK</v>
      </c>
      <c r="AE103">
        <f>orders_Q4[[#This Row],[Del Date]]-orders_Q4[[#This Row],[Order Date]]</f>
        <v>12</v>
      </c>
      <c r="AF103" t="str">
        <f>IF(OR(orders_Q4[[#This Row],[Delivery_time]]&gt;30,orders_Q4[[#This Row],[Delivery_time]]&lt;0),"Invalid_delivery_time","OK")</f>
        <v>OK</v>
      </c>
      <c r="AG103" s="20">
        <f>IF(
   AND(NOT(ISBLANK(orders_Q4[[#This Row],[return_received]])), NOT(ISBLANK(orders_Q4[[#This Row],[Del Date]]))),
   orders_Q4[[#This Row],[return_received]] - orders_Q4[[#This Row],[Del Date]],0)</f>
        <v>0</v>
      </c>
      <c r="AH103" t="str">
        <f>TEXT(orders_Q4[[#This Row],[Order Date]],"mmm-yyyy")</f>
        <v>Oct-2024</v>
      </c>
      <c r="AI103" s="1" t="str">
        <f>TEXT(orders_Q4[[#This Row],[Order Date]],"yyyy") &amp; "-" &amp; WEEKNUM(orders_Q4[[#This Row],[Order Date]])</f>
        <v>2024-43</v>
      </c>
      <c r="AJ103" t="str">
        <f>IF(orders_Q4[[#This Row],[Payment]]="COD","COD","Prepaid")</f>
        <v>Prepaid</v>
      </c>
    </row>
    <row r="104" spans="1:36" x14ac:dyDescent="0.3">
      <c r="A104" t="s">
        <v>497</v>
      </c>
      <c r="B104" s="1">
        <v>45590</v>
      </c>
      <c r="C104" t="s">
        <v>498</v>
      </c>
      <c r="D104" t="s">
        <v>38</v>
      </c>
      <c r="E104" t="s">
        <v>499</v>
      </c>
      <c r="F104" t="s">
        <v>27</v>
      </c>
      <c r="G104" t="s">
        <v>500</v>
      </c>
      <c r="H104">
        <v>1199</v>
      </c>
      <c r="I104">
        <v>2</v>
      </c>
      <c r="J104">
        <v>2398</v>
      </c>
      <c r="L104">
        <v>0</v>
      </c>
      <c r="M104" t="s">
        <v>29</v>
      </c>
      <c r="N104" t="s">
        <v>30</v>
      </c>
      <c r="O104" t="s">
        <v>150</v>
      </c>
      <c r="P104" t="s">
        <v>151</v>
      </c>
      <c r="Q104" t="s">
        <v>31</v>
      </c>
      <c r="R104" s="1">
        <v>45601</v>
      </c>
      <c r="S104" t="s">
        <v>33</v>
      </c>
      <c r="T104" t="s">
        <v>46</v>
      </c>
      <c r="U104" t="s">
        <v>68</v>
      </c>
      <c r="V104" s="1">
        <v>45630</v>
      </c>
      <c r="W104" t="s">
        <v>48</v>
      </c>
      <c r="X104" t="str">
        <f>IF(OR(orders_Q4[[#This Row],[Qty]]&gt;5,orders_Q4[[#This Row],[Qty]]&lt;0),"Invalid Quantity","OK")</f>
        <v>OK</v>
      </c>
      <c r="Y104" t="b">
        <f>OR(orders_Q4[[#This Row],[Unit Price]]&gt;20000,orders_Q4[[#This Row],[Unit Price]]&lt;0,orders_Q4[[#This Row],[Unit Price]]=0)</f>
        <v>0</v>
      </c>
      <c r="Z10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04">
        <f>orders_Q4[[#This Row],[Unit Price]] * orders_Q4[[#This Row],[Qty]] * (1 - orders_Q4[[#This Row],[Disc %]]/100)</f>
        <v>2398</v>
      </c>
      <c r="AB104" t="str">
        <f>IF(ABS(orders_Q4[[#This Row],[Total]] - orders_Q4[[#This Row],[Calculated_order_total]]) &gt; 1, "Mismatch", "OK")</f>
        <v>OK</v>
      </c>
      <c r="AC104">
        <f>COUNTIF(C:C,orders_Q4[[#This Row],[Customer ID]])</f>
        <v>1</v>
      </c>
      <c r="AD104" t="str">
        <f>IF(AND(orders_Q4[[#This Row],[Type]]="New",orders_Q4[[#This Row],[Customer_id_count]]&gt;1),"Existing customer","OK")</f>
        <v>OK</v>
      </c>
      <c r="AE104">
        <f>orders_Q4[[#This Row],[Del Date]]-orders_Q4[[#This Row],[Order Date]]</f>
        <v>11</v>
      </c>
      <c r="AF104" t="str">
        <f>IF(OR(orders_Q4[[#This Row],[Delivery_time]]&gt;30,orders_Q4[[#This Row],[Delivery_time]]&lt;0),"Invalid_delivery_time","OK")</f>
        <v>OK</v>
      </c>
      <c r="AG104" s="20">
        <f>IF(
   AND(NOT(ISBLANK(orders_Q4[[#This Row],[return_received]])), NOT(ISBLANK(orders_Q4[[#This Row],[Del Date]]))),
   orders_Q4[[#This Row],[return_received]] - orders_Q4[[#This Row],[Del Date]],0)</f>
        <v>29</v>
      </c>
      <c r="AH104" t="str">
        <f>TEXT(orders_Q4[[#This Row],[Order Date]],"mmm-yyyy")</f>
        <v>Oct-2024</v>
      </c>
      <c r="AI104" s="1" t="str">
        <f>TEXT(orders_Q4[[#This Row],[Order Date]],"yyyy") &amp; "-" &amp; WEEKNUM(orders_Q4[[#This Row],[Order Date]])</f>
        <v>2024-43</v>
      </c>
      <c r="AJ104" t="str">
        <f>IF(orders_Q4[[#This Row],[Payment]]="COD","COD","Prepaid")</f>
        <v>Prepaid</v>
      </c>
    </row>
    <row r="105" spans="1:36" x14ac:dyDescent="0.3">
      <c r="A105" t="s">
        <v>501</v>
      </c>
      <c r="B105" s="1">
        <v>45590</v>
      </c>
      <c r="C105" t="s">
        <v>502</v>
      </c>
      <c r="D105" t="s">
        <v>25</v>
      </c>
      <c r="E105" t="s">
        <v>503</v>
      </c>
      <c r="F105" t="s">
        <v>61</v>
      </c>
      <c r="G105" t="s">
        <v>504</v>
      </c>
      <c r="H105">
        <v>5999</v>
      </c>
      <c r="I105">
        <v>1</v>
      </c>
      <c r="J105">
        <v>5999</v>
      </c>
      <c r="L105">
        <v>0</v>
      </c>
      <c r="M105" t="s">
        <v>43</v>
      </c>
      <c r="N105" t="s">
        <v>65</v>
      </c>
      <c r="O105" t="s">
        <v>156</v>
      </c>
      <c r="P105" t="s">
        <v>97</v>
      </c>
      <c r="Q105" t="s">
        <v>31</v>
      </c>
      <c r="R105" s="1">
        <v>45604</v>
      </c>
      <c r="S105" t="s">
        <v>33</v>
      </c>
      <c r="T105" t="s">
        <v>34</v>
      </c>
      <c r="W105" t="s">
        <v>35</v>
      </c>
      <c r="X105" t="str">
        <f>IF(OR(orders_Q4[[#This Row],[Qty]]&gt;5,orders_Q4[[#This Row],[Qty]]&lt;0),"Invalid Quantity","OK")</f>
        <v>OK</v>
      </c>
      <c r="Y105" t="b">
        <f>OR(orders_Q4[[#This Row],[Unit Price]]&gt;20000,orders_Q4[[#This Row],[Unit Price]]&lt;0,orders_Q4[[#This Row],[Unit Price]]=0)</f>
        <v>0</v>
      </c>
      <c r="Z10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05">
        <f>orders_Q4[[#This Row],[Unit Price]] * orders_Q4[[#This Row],[Qty]] * (1 - orders_Q4[[#This Row],[Disc %]]/100)</f>
        <v>5999</v>
      </c>
      <c r="AB105" t="str">
        <f>IF(ABS(orders_Q4[[#This Row],[Total]] - orders_Q4[[#This Row],[Calculated_order_total]]) &gt; 1, "Mismatch", "OK")</f>
        <v>OK</v>
      </c>
      <c r="AC105">
        <f>COUNTIF(C:C,orders_Q4[[#This Row],[Customer ID]])</f>
        <v>1</v>
      </c>
      <c r="AD105" t="str">
        <f>IF(AND(orders_Q4[[#This Row],[Type]]="New",orders_Q4[[#This Row],[Customer_id_count]]&gt;1),"Existing customer","OK")</f>
        <v>OK</v>
      </c>
      <c r="AE105">
        <f>orders_Q4[[#This Row],[Del Date]]-orders_Q4[[#This Row],[Order Date]]</f>
        <v>14</v>
      </c>
      <c r="AF105" t="str">
        <f>IF(OR(orders_Q4[[#This Row],[Delivery_time]]&gt;30,orders_Q4[[#This Row],[Delivery_time]]&lt;0),"Invalid_delivery_time","OK")</f>
        <v>OK</v>
      </c>
      <c r="AG105" s="20">
        <f>IF(
   AND(NOT(ISBLANK(orders_Q4[[#This Row],[return_received]])), NOT(ISBLANK(orders_Q4[[#This Row],[Del Date]]))),
   orders_Q4[[#This Row],[return_received]] - orders_Q4[[#This Row],[Del Date]],0)</f>
        <v>0</v>
      </c>
      <c r="AH105" t="str">
        <f>TEXT(orders_Q4[[#This Row],[Order Date]],"mmm-yyyy")</f>
        <v>Oct-2024</v>
      </c>
      <c r="AI105" s="1" t="str">
        <f>TEXT(orders_Q4[[#This Row],[Order Date]],"yyyy") &amp; "-" &amp; WEEKNUM(orders_Q4[[#This Row],[Order Date]])</f>
        <v>2024-43</v>
      </c>
      <c r="AJ105" t="str">
        <f>IF(orders_Q4[[#This Row],[Payment]]="COD","COD","Prepaid")</f>
        <v>Prepaid</v>
      </c>
    </row>
    <row r="106" spans="1:36" x14ac:dyDescent="0.3">
      <c r="A106" t="s">
        <v>505</v>
      </c>
      <c r="B106" s="1">
        <v>45591</v>
      </c>
      <c r="C106" t="s">
        <v>506</v>
      </c>
      <c r="D106" t="s">
        <v>25</v>
      </c>
      <c r="E106" t="s">
        <v>507</v>
      </c>
      <c r="F106" t="s">
        <v>71</v>
      </c>
      <c r="G106" t="s">
        <v>508</v>
      </c>
      <c r="H106">
        <v>1799</v>
      </c>
      <c r="I106">
        <v>1</v>
      </c>
      <c r="J106">
        <v>1799</v>
      </c>
      <c r="K106" t="s">
        <v>42</v>
      </c>
      <c r="L106">
        <v>20</v>
      </c>
      <c r="M106" t="s">
        <v>55</v>
      </c>
      <c r="N106" t="s">
        <v>44</v>
      </c>
      <c r="O106" t="s">
        <v>161</v>
      </c>
      <c r="P106" t="s">
        <v>162</v>
      </c>
      <c r="Q106" t="s">
        <v>45</v>
      </c>
      <c r="S106" t="s">
        <v>120</v>
      </c>
      <c r="T106" t="s">
        <v>34</v>
      </c>
      <c r="W106" t="s">
        <v>35</v>
      </c>
      <c r="X106" t="str">
        <f>IF(OR(orders_Q4[[#This Row],[Qty]]&gt;5,orders_Q4[[#This Row],[Qty]]&lt;0),"Invalid Quantity","OK")</f>
        <v>OK</v>
      </c>
      <c r="Y106" t="b">
        <f>OR(orders_Q4[[#This Row],[Unit Price]]&gt;20000,orders_Q4[[#This Row],[Unit Price]]&lt;0,orders_Q4[[#This Row],[Unit Price]]=0)</f>
        <v>0</v>
      </c>
      <c r="Z10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06">
        <f>orders_Q4[[#This Row],[Unit Price]] * orders_Q4[[#This Row],[Qty]] * (1 - orders_Q4[[#This Row],[Disc %]]/100)</f>
        <v>1439.2</v>
      </c>
      <c r="AB106" t="str">
        <f>IF(ABS(orders_Q4[[#This Row],[Total]] - orders_Q4[[#This Row],[Calculated_order_total]]) &gt; 1, "Mismatch", "OK")</f>
        <v>Mismatch</v>
      </c>
      <c r="AC106">
        <f>COUNTIF(C:C,orders_Q4[[#This Row],[Customer ID]])</f>
        <v>1</v>
      </c>
      <c r="AD106" t="str">
        <f>IF(AND(orders_Q4[[#This Row],[Type]]="New",orders_Q4[[#This Row],[Customer_id_count]]&gt;1),"Existing customer","OK")</f>
        <v>OK</v>
      </c>
      <c r="AE106">
        <f>orders_Q4[[#This Row],[Del Date]]-orders_Q4[[#This Row],[Order Date]]</f>
        <v>-45591</v>
      </c>
      <c r="AF106" t="str">
        <f>IF(OR(orders_Q4[[#This Row],[Delivery_time]]&gt;30,orders_Q4[[#This Row],[Delivery_time]]&lt;0),"Invalid_delivery_time","OK")</f>
        <v>Invalid_delivery_time</v>
      </c>
      <c r="AG106" s="20">
        <f>IF(
   AND(NOT(ISBLANK(orders_Q4[[#This Row],[return_received]])), NOT(ISBLANK(orders_Q4[[#This Row],[Del Date]]))),
   orders_Q4[[#This Row],[return_received]] - orders_Q4[[#This Row],[Del Date]],0)</f>
        <v>0</v>
      </c>
      <c r="AH106" t="str">
        <f>TEXT(orders_Q4[[#This Row],[Order Date]],"mmm-yyyy")</f>
        <v>Oct-2024</v>
      </c>
      <c r="AI106" s="1" t="str">
        <f>TEXT(orders_Q4[[#This Row],[Order Date]],"yyyy") &amp; "-" &amp; WEEKNUM(orders_Q4[[#This Row],[Order Date]])</f>
        <v>2024-43</v>
      </c>
      <c r="AJ106" t="str">
        <f>IF(orders_Q4[[#This Row],[Payment]]="COD","COD","Prepaid")</f>
        <v>COD</v>
      </c>
    </row>
    <row r="107" spans="1:36" x14ac:dyDescent="0.3">
      <c r="A107" t="s">
        <v>509</v>
      </c>
      <c r="B107" s="1">
        <v>45591</v>
      </c>
      <c r="C107" t="s">
        <v>510</v>
      </c>
      <c r="D107" t="s">
        <v>25</v>
      </c>
      <c r="E107" t="s">
        <v>511</v>
      </c>
      <c r="F107" t="s">
        <v>53</v>
      </c>
      <c r="G107" t="s">
        <v>512</v>
      </c>
      <c r="H107">
        <v>1999</v>
      </c>
      <c r="I107">
        <v>1</v>
      </c>
      <c r="J107">
        <v>1999</v>
      </c>
      <c r="L107">
        <v>0</v>
      </c>
      <c r="M107" t="s">
        <v>111</v>
      </c>
      <c r="N107" t="s">
        <v>30</v>
      </c>
      <c r="O107" t="s">
        <v>167</v>
      </c>
      <c r="P107" t="s">
        <v>151</v>
      </c>
      <c r="Q107" t="s">
        <v>31</v>
      </c>
      <c r="R107" s="1">
        <v>45603</v>
      </c>
      <c r="S107" t="s">
        <v>33</v>
      </c>
      <c r="T107" t="s">
        <v>46</v>
      </c>
      <c r="U107" t="s">
        <v>104</v>
      </c>
      <c r="V107" s="1">
        <v>45633</v>
      </c>
      <c r="W107" t="s">
        <v>48</v>
      </c>
      <c r="X107" t="str">
        <f>IF(OR(orders_Q4[[#This Row],[Qty]]&gt;5,orders_Q4[[#This Row],[Qty]]&lt;0),"Invalid Quantity","OK")</f>
        <v>OK</v>
      </c>
      <c r="Y107" t="b">
        <f>OR(orders_Q4[[#This Row],[Unit Price]]&gt;20000,orders_Q4[[#This Row],[Unit Price]]&lt;0,orders_Q4[[#This Row],[Unit Price]]=0)</f>
        <v>0</v>
      </c>
      <c r="Z10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07">
        <f>orders_Q4[[#This Row],[Unit Price]] * orders_Q4[[#This Row],[Qty]] * (1 - orders_Q4[[#This Row],[Disc %]]/100)</f>
        <v>1999</v>
      </c>
      <c r="AB107" t="str">
        <f>IF(ABS(orders_Q4[[#This Row],[Total]] - orders_Q4[[#This Row],[Calculated_order_total]]) &gt; 1, "Mismatch", "OK")</f>
        <v>OK</v>
      </c>
      <c r="AC107">
        <f>COUNTIF(C:C,orders_Q4[[#This Row],[Customer ID]])</f>
        <v>1</v>
      </c>
      <c r="AD107" t="str">
        <f>IF(AND(orders_Q4[[#This Row],[Type]]="New",orders_Q4[[#This Row],[Customer_id_count]]&gt;1),"Existing customer","OK")</f>
        <v>OK</v>
      </c>
      <c r="AE107">
        <f>orders_Q4[[#This Row],[Del Date]]-orders_Q4[[#This Row],[Order Date]]</f>
        <v>12</v>
      </c>
      <c r="AF107" t="str">
        <f>IF(OR(orders_Q4[[#This Row],[Delivery_time]]&gt;30,orders_Q4[[#This Row],[Delivery_time]]&lt;0),"Invalid_delivery_time","OK")</f>
        <v>OK</v>
      </c>
      <c r="AG107" s="20">
        <f>IF(
   AND(NOT(ISBLANK(orders_Q4[[#This Row],[return_received]])), NOT(ISBLANK(orders_Q4[[#This Row],[Del Date]]))),
   orders_Q4[[#This Row],[return_received]] - orders_Q4[[#This Row],[Del Date]],0)</f>
        <v>30</v>
      </c>
      <c r="AH107" t="str">
        <f>TEXT(orders_Q4[[#This Row],[Order Date]],"mmm-yyyy")</f>
        <v>Oct-2024</v>
      </c>
      <c r="AI107" s="1" t="str">
        <f>TEXT(orders_Q4[[#This Row],[Order Date]],"yyyy") &amp; "-" &amp; WEEKNUM(orders_Q4[[#This Row],[Order Date]])</f>
        <v>2024-43</v>
      </c>
      <c r="AJ107" t="str">
        <f>IF(orders_Q4[[#This Row],[Payment]]="COD","COD","Prepaid")</f>
        <v>Prepaid</v>
      </c>
    </row>
    <row r="108" spans="1:36" x14ac:dyDescent="0.3">
      <c r="A108" t="s">
        <v>513</v>
      </c>
      <c r="B108" s="1">
        <v>45591</v>
      </c>
      <c r="C108" t="s">
        <v>514</v>
      </c>
      <c r="D108" t="s">
        <v>38</v>
      </c>
      <c r="E108" t="s">
        <v>515</v>
      </c>
      <c r="F108" t="s">
        <v>40</v>
      </c>
      <c r="G108" t="s">
        <v>516</v>
      </c>
      <c r="H108">
        <v>2499</v>
      </c>
      <c r="I108">
        <v>1</v>
      </c>
      <c r="J108">
        <v>2499</v>
      </c>
      <c r="L108">
        <v>0</v>
      </c>
      <c r="M108" t="s">
        <v>64</v>
      </c>
      <c r="N108" t="s">
        <v>65</v>
      </c>
      <c r="O108" t="s">
        <v>172</v>
      </c>
      <c r="P108" t="s">
        <v>32</v>
      </c>
      <c r="Q108" t="s">
        <v>31</v>
      </c>
      <c r="R108" s="1">
        <v>45604</v>
      </c>
      <c r="S108" t="s">
        <v>33</v>
      </c>
      <c r="T108" t="s">
        <v>34</v>
      </c>
      <c r="W108" t="s">
        <v>35</v>
      </c>
      <c r="X108" t="str">
        <f>IF(OR(orders_Q4[[#This Row],[Qty]]&gt;5,orders_Q4[[#This Row],[Qty]]&lt;0),"Invalid Quantity","OK")</f>
        <v>OK</v>
      </c>
      <c r="Y108" t="b">
        <f>OR(orders_Q4[[#This Row],[Unit Price]]&gt;20000,orders_Q4[[#This Row],[Unit Price]]&lt;0,orders_Q4[[#This Row],[Unit Price]]=0)</f>
        <v>0</v>
      </c>
      <c r="Z10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08">
        <f>orders_Q4[[#This Row],[Unit Price]] * orders_Q4[[#This Row],[Qty]] * (1 - orders_Q4[[#This Row],[Disc %]]/100)</f>
        <v>2499</v>
      </c>
      <c r="AB108" t="str">
        <f>IF(ABS(orders_Q4[[#This Row],[Total]] - orders_Q4[[#This Row],[Calculated_order_total]]) &gt; 1, "Mismatch", "OK")</f>
        <v>OK</v>
      </c>
      <c r="AC108">
        <f>COUNTIF(C:C,orders_Q4[[#This Row],[Customer ID]])</f>
        <v>1</v>
      </c>
      <c r="AD108" t="str">
        <f>IF(AND(orders_Q4[[#This Row],[Type]]="New",orders_Q4[[#This Row],[Customer_id_count]]&gt;1),"Existing customer","OK")</f>
        <v>OK</v>
      </c>
      <c r="AE108">
        <f>orders_Q4[[#This Row],[Del Date]]-orders_Q4[[#This Row],[Order Date]]</f>
        <v>13</v>
      </c>
      <c r="AF108" t="str">
        <f>IF(OR(orders_Q4[[#This Row],[Delivery_time]]&gt;30,orders_Q4[[#This Row],[Delivery_time]]&lt;0),"Invalid_delivery_time","OK")</f>
        <v>OK</v>
      </c>
      <c r="AG108" s="20">
        <f>IF(
   AND(NOT(ISBLANK(orders_Q4[[#This Row],[return_received]])), NOT(ISBLANK(orders_Q4[[#This Row],[Del Date]]))),
   orders_Q4[[#This Row],[return_received]] - orders_Q4[[#This Row],[Del Date]],0)</f>
        <v>0</v>
      </c>
      <c r="AH108" t="str">
        <f>TEXT(orders_Q4[[#This Row],[Order Date]],"mmm-yyyy")</f>
        <v>Oct-2024</v>
      </c>
      <c r="AI108" s="1" t="str">
        <f>TEXT(orders_Q4[[#This Row],[Order Date]],"yyyy") &amp; "-" &amp; WEEKNUM(orders_Q4[[#This Row],[Order Date]])</f>
        <v>2024-43</v>
      </c>
      <c r="AJ108" t="str">
        <f>IF(orders_Q4[[#This Row],[Payment]]="COD","COD","Prepaid")</f>
        <v>Prepaid</v>
      </c>
    </row>
    <row r="109" spans="1:36" x14ac:dyDescent="0.3">
      <c r="A109" t="s">
        <v>517</v>
      </c>
      <c r="B109" s="1">
        <v>45591</v>
      </c>
      <c r="C109" t="s">
        <v>518</v>
      </c>
      <c r="D109" t="s">
        <v>25</v>
      </c>
      <c r="E109" t="s">
        <v>519</v>
      </c>
      <c r="F109" t="s">
        <v>27</v>
      </c>
      <c r="G109" t="s">
        <v>520</v>
      </c>
      <c r="H109">
        <v>1599</v>
      </c>
      <c r="I109">
        <v>1</v>
      </c>
      <c r="J109">
        <v>1599</v>
      </c>
      <c r="K109" t="s">
        <v>63</v>
      </c>
      <c r="L109">
        <v>15</v>
      </c>
      <c r="M109" t="s">
        <v>29</v>
      </c>
      <c r="N109" t="s">
        <v>44</v>
      </c>
      <c r="O109" t="s">
        <v>177</v>
      </c>
      <c r="P109" t="s">
        <v>67</v>
      </c>
      <c r="Q109" t="s">
        <v>56</v>
      </c>
      <c r="R109" s="1">
        <v>45602</v>
      </c>
      <c r="S109" t="s">
        <v>33</v>
      </c>
      <c r="T109" t="s">
        <v>46</v>
      </c>
      <c r="U109" t="s">
        <v>47</v>
      </c>
      <c r="V109" s="1">
        <v>45631</v>
      </c>
      <c r="W109" t="s">
        <v>48</v>
      </c>
      <c r="X109" t="str">
        <f>IF(OR(orders_Q4[[#This Row],[Qty]]&gt;5,orders_Q4[[#This Row],[Qty]]&lt;0),"Invalid Quantity","OK")</f>
        <v>OK</v>
      </c>
      <c r="Y109" t="b">
        <f>OR(orders_Q4[[#This Row],[Unit Price]]&gt;20000,orders_Q4[[#This Row],[Unit Price]]&lt;0,orders_Q4[[#This Row],[Unit Price]]=0)</f>
        <v>0</v>
      </c>
      <c r="Z10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09">
        <f>orders_Q4[[#This Row],[Unit Price]] * orders_Q4[[#This Row],[Qty]] * (1 - orders_Q4[[#This Row],[Disc %]]/100)</f>
        <v>1359.1499999999999</v>
      </c>
      <c r="AB109" t="str">
        <f>IF(ABS(orders_Q4[[#This Row],[Total]] - orders_Q4[[#This Row],[Calculated_order_total]]) &gt; 1, "Mismatch", "OK")</f>
        <v>Mismatch</v>
      </c>
      <c r="AC109">
        <f>COUNTIF(C:C,orders_Q4[[#This Row],[Customer ID]])</f>
        <v>1</v>
      </c>
      <c r="AD109" t="str">
        <f>IF(AND(orders_Q4[[#This Row],[Type]]="New",orders_Q4[[#This Row],[Customer_id_count]]&gt;1),"Existing customer","OK")</f>
        <v>OK</v>
      </c>
      <c r="AE109">
        <f>orders_Q4[[#This Row],[Del Date]]-orders_Q4[[#This Row],[Order Date]]</f>
        <v>11</v>
      </c>
      <c r="AF109" t="str">
        <f>IF(OR(orders_Q4[[#This Row],[Delivery_time]]&gt;30,orders_Q4[[#This Row],[Delivery_time]]&lt;0),"Invalid_delivery_time","OK")</f>
        <v>OK</v>
      </c>
      <c r="AG109" s="20">
        <f>IF(
   AND(NOT(ISBLANK(orders_Q4[[#This Row],[return_received]])), NOT(ISBLANK(orders_Q4[[#This Row],[Del Date]]))),
   orders_Q4[[#This Row],[return_received]] - orders_Q4[[#This Row],[Del Date]],0)</f>
        <v>29</v>
      </c>
      <c r="AH109" t="str">
        <f>TEXT(orders_Q4[[#This Row],[Order Date]],"mmm-yyyy")</f>
        <v>Oct-2024</v>
      </c>
      <c r="AI109" s="1" t="str">
        <f>TEXT(orders_Q4[[#This Row],[Order Date]],"yyyy") &amp; "-" &amp; WEEKNUM(orders_Q4[[#This Row],[Order Date]])</f>
        <v>2024-43</v>
      </c>
      <c r="AJ109" t="str">
        <f>IF(orders_Q4[[#This Row],[Payment]]="COD","COD","Prepaid")</f>
        <v>Prepaid</v>
      </c>
    </row>
    <row r="110" spans="1:36" x14ac:dyDescent="0.3">
      <c r="A110" t="s">
        <v>521</v>
      </c>
      <c r="B110" s="1">
        <v>45592</v>
      </c>
      <c r="C110" t="s">
        <v>522</v>
      </c>
      <c r="D110" t="s">
        <v>25</v>
      </c>
      <c r="E110" t="s">
        <v>523</v>
      </c>
      <c r="F110" t="s">
        <v>61</v>
      </c>
      <c r="G110" t="s">
        <v>524</v>
      </c>
      <c r="H110">
        <v>3999</v>
      </c>
      <c r="I110">
        <v>1</v>
      </c>
      <c r="J110">
        <v>3999</v>
      </c>
      <c r="L110">
        <v>0</v>
      </c>
      <c r="M110" t="s">
        <v>43</v>
      </c>
      <c r="N110" t="s">
        <v>30</v>
      </c>
      <c r="O110" t="s">
        <v>182</v>
      </c>
      <c r="P110" t="s">
        <v>183</v>
      </c>
      <c r="Q110" t="s">
        <v>56</v>
      </c>
      <c r="R110" s="1">
        <v>45605</v>
      </c>
      <c r="S110" t="s">
        <v>33</v>
      </c>
      <c r="T110" t="s">
        <v>34</v>
      </c>
      <c r="W110" t="s">
        <v>35</v>
      </c>
      <c r="X110" t="str">
        <f>IF(OR(orders_Q4[[#This Row],[Qty]]&gt;5,orders_Q4[[#This Row],[Qty]]&lt;0),"Invalid Quantity","OK")</f>
        <v>OK</v>
      </c>
      <c r="Y110" t="b">
        <f>OR(orders_Q4[[#This Row],[Unit Price]]&gt;20000,orders_Q4[[#This Row],[Unit Price]]&lt;0,orders_Q4[[#This Row],[Unit Price]]=0)</f>
        <v>0</v>
      </c>
      <c r="Z11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10">
        <f>orders_Q4[[#This Row],[Unit Price]] * orders_Q4[[#This Row],[Qty]] * (1 - orders_Q4[[#This Row],[Disc %]]/100)</f>
        <v>3999</v>
      </c>
      <c r="AB110" t="str">
        <f>IF(ABS(orders_Q4[[#This Row],[Total]] - orders_Q4[[#This Row],[Calculated_order_total]]) &gt; 1, "Mismatch", "OK")</f>
        <v>OK</v>
      </c>
      <c r="AC110">
        <f>COUNTIF(C:C,orders_Q4[[#This Row],[Customer ID]])</f>
        <v>1</v>
      </c>
      <c r="AD110" t="str">
        <f>IF(AND(orders_Q4[[#This Row],[Type]]="New",orders_Q4[[#This Row],[Customer_id_count]]&gt;1),"Existing customer","OK")</f>
        <v>OK</v>
      </c>
      <c r="AE110">
        <f>orders_Q4[[#This Row],[Del Date]]-orders_Q4[[#This Row],[Order Date]]</f>
        <v>13</v>
      </c>
      <c r="AF110" t="str">
        <f>IF(OR(orders_Q4[[#This Row],[Delivery_time]]&gt;30,orders_Q4[[#This Row],[Delivery_time]]&lt;0),"Invalid_delivery_time","OK")</f>
        <v>OK</v>
      </c>
      <c r="AG110" s="20">
        <f>IF(
   AND(NOT(ISBLANK(orders_Q4[[#This Row],[return_received]])), NOT(ISBLANK(orders_Q4[[#This Row],[Del Date]]))),
   orders_Q4[[#This Row],[return_received]] - orders_Q4[[#This Row],[Del Date]],0)</f>
        <v>0</v>
      </c>
      <c r="AH110" t="str">
        <f>TEXT(orders_Q4[[#This Row],[Order Date]],"mmm-yyyy")</f>
        <v>Oct-2024</v>
      </c>
      <c r="AI110" s="1" t="str">
        <f>TEXT(orders_Q4[[#This Row],[Order Date]],"yyyy") &amp; "-" &amp; WEEKNUM(orders_Q4[[#This Row],[Order Date]])</f>
        <v>2024-44</v>
      </c>
      <c r="AJ110" t="str">
        <f>IF(orders_Q4[[#This Row],[Payment]]="COD","COD","Prepaid")</f>
        <v>Prepaid</v>
      </c>
    </row>
    <row r="111" spans="1:36" x14ac:dyDescent="0.3">
      <c r="A111" t="s">
        <v>525</v>
      </c>
      <c r="B111" s="1">
        <v>45592</v>
      </c>
      <c r="C111" t="s">
        <v>526</v>
      </c>
      <c r="D111" t="s">
        <v>25</v>
      </c>
      <c r="E111" t="s">
        <v>527</v>
      </c>
      <c r="F111" t="s">
        <v>71</v>
      </c>
      <c r="G111" t="s">
        <v>528</v>
      </c>
      <c r="H111">
        <v>599</v>
      </c>
      <c r="I111">
        <v>2</v>
      </c>
      <c r="J111">
        <v>1198</v>
      </c>
      <c r="L111">
        <v>0</v>
      </c>
      <c r="M111" t="s">
        <v>55</v>
      </c>
      <c r="N111" t="s">
        <v>65</v>
      </c>
      <c r="O111" t="s">
        <v>188</v>
      </c>
      <c r="P111" t="s">
        <v>189</v>
      </c>
      <c r="Q111" t="s">
        <v>56</v>
      </c>
      <c r="R111" s="1">
        <v>45603</v>
      </c>
      <c r="S111" t="s">
        <v>33</v>
      </c>
      <c r="T111" t="s">
        <v>46</v>
      </c>
      <c r="U111" t="s">
        <v>138</v>
      </c>
      <c r="V111" s="1">
        <v>45632</v>
      </c>
      <c r="W111" t="s">
        <v>48</v>
      </c>
      <c r="X111" t="str">
        <f>IF(OR(orders_Q4[[#This Row],[Qty]]&gt;5,orders_Q4[[#This Row],[Qty]]&lt;0),"Invalid Quantity","OK")</f>
        <v>OK</v>
      </c>
      <c r="Y111" t="b">
        <f>OR(orders_Q4[[#This Row],[Unit Price]]&gt;20000,orders_Q4[[#This Row],[Unit Price]]&lt;0,orders_Q4[[#This Row],[Unit Price]]=0)</f>
        <v>0</v>
      </c>
      <c r="Z11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11">
        <f>orders_Q4[[#This Row],[Unit Price]] * orders_Q4[[#This Row],[Qty]] * (1 - orders_Q4[[#This Row],[Disc %]]/100)</f>
        <v>1198</v>
      </c>
      <c r="AB111" t="str">
        <f>IF(ABS(orders_Q4[[#This Row],[Total]] - orders_Q4[[#This Row],[Calculated_order_total]]) &gt; 1, "Mismatch", "OK")</f>
        <v>OK</v>
      </c>
      <c r="AC111">
        <f>COUNTIF(C:C,orders_Q4[[#This Row],[Customer ID]])</f>
        <v>1</v>
      </c>
      <c r="AD111" t="str">
        <f>IF(AND(orders_Q4[[#This Row],[Type]]="New",orders_Q4[[#This Row],[Customer_id_count]]&gt;1),"Existing customer","OK")</f>
        <v>OK</v>
      </c>
      <c r="AE111">
        <f>orders_Q4[[#This Row],[Del Date]]-orders_Q4[[#This Row],[Order Date]]</f>
        <v>11</v>
      </c>
      <c r="AF111" t="str">
        <f>IF(OR(orders_Q4[[#This Row],[Delivery_time]]&gt;30,orders_Q4[[#This Row],[Delivery_time]]&lt;0),"Invalid_delivery_time","OK")</f>
        <v>OK</v>
      </c>
      <c r="AG111" s="20">
        <f>IF(
   AND(NOT(ISBLANK(orders_Q4[[#This Row],[return_received]])), NOT(ISBLANK(orders_Q4[[#This Row],[Del Date]]))),
   orders_Q4[[#This Row],[return_received]] - orders_Q4[[#This Row],[Del Date]],0)</f>
        <v>29</v>
      </c>
      <c r="AH111" t="str">
        <f>TEXT(orders_Q4[[#This Row],[Order Date]],"mmm-yyyy")</f>
        <v>Oct-2024</v>
      </c>
      <c r="AI111" s="1" t="str">
        <f>TEXT(orders_Q4[[#This Row],[Order Date]],"yyyy") &amp; "-" &amp; WEEKNUM(orders_Q4[[#This Row],[Order Date]])</f>
        <v>2024-44</v>
      </c>
      <c r="AJ111" t="str">
        <f>IF(orders_Q4[[#This Row],[Payment]]="COD","COD","Prepaid")</f>
        <v>COD</v>
      </c>
    </row>
    <row r="112" spans="1:36" x14ac:dyDescent="0.3">
      <c r="A112" t="s">
        <v>529</v>
      </c>
      <c r="B112" s="1">
        <v>45592</v>
      </c>
      <c r="C112" t="s">
        <v>530</v>
      </c>
      <c r="D112" t="s">
        <v>38</v>
      </c>
      <c r="E112" t="s">
        <v>531</v>
      </c>
      <c r="F112" t="s">
        <v>53</v>
      </c>
      <c r="G112" t="s">
        <v>532</v>
      </c>
      <c r="H112">
        <v>1799</v>
      </c>
      <c r="I112">
        <v>1</v>
      </c>
      <c r="J112">
        <v>1799</v>
      </c>
      <c r="K112" t="s">
        <v>42</v>
      </c>
      <c r="L112">
        <v>20</v>
      </c>
      <c r="M112" t="s">
        <v>29</v>
      </c>
      <c r="N112" t="s">
        <v>44</v>
      </c>
      <c r="O112" t="s">
        <v>194</v>
      </c>
      <c r="P112" t="s">
        <v>183</v>
      </c>
      <c r="Q112" t="s">
        <v>56</v>
      </c>
      <c r="R112" s="1">
        <v>45604</v>
      </c>
      <c r="S112" t="s">
        <v>33</v>
      </c>
      <c r="T112" t="s">
        <v>34</v>
      </c>
      <c r="W112" t="s">
        <v>35</v>
      </c>
      <c r="X112" t="str">
        <f>IF(OR(orders_Q4[[#This Row],[Qty]]&gt;5,orders_Q4[[#This Row],[Qty]]&lt;0),"Invalid Quantity","OK")</f>
        <v>OK</v>
      </c>
      <c r="Y112" t="b">
        <f>OR(orders_Q4[[#This Row],[Unit Price]]&gt;20000,orders_Q4[[#This Row],[Unit Price]]&lt;0,orders_Q4[[#This Row],[Unit Price]]=0)</f>
        <v>0</v>
      </c>
      <c r="Z11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12">
        <f>orders_Q4[[#This Row],[Unit Price]] * orders_Q4[[#This Row],[Qty]] * (1 - orders_Q4[[#This Row],[Disc %]]/100)</f>
        <v>1439.2</v>
      </c>
      <c r="AB112" t="str">
        <f>IF(ABS(orders_Q4[[#This Row],[Total]] - orders_Q4[[#This Row],[Calculated_order_total]]) &gt; 1, "Mismatch", "OK")</f>
        <v>Mismatch</v>
      </c>
      <c r="AC112">
        <f>COUNTIF(C:C,orders_Q4[[#This Row],[Customer ID]])</f>
        <v>1</v>
      </c>
      <c r="AD112" t="str">
        <f>IF(AND(orders_Q4[[#This Row],[Type]]="New",orders_Q4[[#This Row],[Customer_id_count]]&gt;1),"Existing customer","OK")</f>
        <v>OK</v>
      </c>
      <c r="AE112">
        <f>orders_Q4[[#This Row],[Del Date]]-orders_Q4[[#This Row],[Order Date]]</f>
        <v>12</v>
      </c>
      <c r="AF112" t="str">
        <f>IF(OR(orders_Q4[[#This Row],[Delivery_time]]&gt;30,orders_Q4[[#This Row],[Delivery_time]]&lt;0),"Invalid_delivery_time","OK")</f>
        <v>OK</v>
      </c>
      <c r="AG112" s="20">
        <f>IF(
   AND(NOT(ISBLANK(orders_Q4[[#This Row],[return_received]])), NOT(ISBLANK(orders_Q4[[#This Row],[Del Date]]))),
   orders_Q4[[#This Row],[return_received]] - orders_Q4[[#This Row],[Del Date]],0)</f>
        <v>0</v>
      </c>
      <c r="AH112" t="str">
        <f>TEXT(orders_Q4[[#This Row],[Order Date]],"mmm-yyyy")</f>
        <v>Oct-2024</v>
      </c>
      <c r="AI112" s="1" t="str">
        <f>TEXT(orders_Q4[[#This Row],[Order Date]],"yyyy") &amp; "-" &amp; WEEKNUM(orders_Q4[[#This Row],[Order Date]])</f>
        <v>2024-44</v>
      </c>
      <c r="AJ112" t="str">
        <f>IF(orders_Q4[[#This Row],[Payment]]="COD","COD","Prepaid")</f>
        <v>Prepaid</v>
      </c>
    </row>
    <row r="113" spans="1:36" x14ac:dyDescent="0.3">
      <c r="A113" t="s">
        <v>533</v>
      </c>
      <c r="B113" s="1">
        <v>45593</v>
      </c>
      <c r="C113" t="s">
        <v>534</v>
      </c>
      <c r="D113" t="s">
        <v>25</v>
      </c>
      <c r="E113" t="s">
        <v>535</v>
      </c>
      <c r="F113" t="s">
        <v>40</v>
      </c>
      <c r="G113" t="s">
        <v>536</v>
      </c>
      <c r="H113">
        <v>3499</v>
      </c>
      <c r="I113">
        <v>1</v>
      </c>
      <c r="J113">
        <v>3499</v>
      </c>
      <c r="K113" t="s">
        <v>537</v>
      </c>
      <c r="L113">
        <v>40</v>
      </c>
      <c r="M113" t="s">
        <v>43</v>
      </c>
      <c r="N113" t="s">
        <v>30</v>
      </c>
      <c r="O113" t="s">
        <v>45</v>
      </c>
      <c r="P113" t="s">
        <v>45</v>
      </c>
      <c r="Q113" t="s">
        <v>45</v>
      </c>
      <c r="R113" s="1">
        <v>45598</v>
      </c>
      <c r="S113" t="s">
        <v>33</v>
      </c>
      <c r="T113" t="s">
        <v>46</v>
      </c>
      <c r="U113" t="s">
        <v>47</v>
      </c>
      <c r="V113" s="1">
        <v>45614</v>
      </c>
      <c r="W113" t="s">
        <v>48</v>
      </c>
      <c r="X113" t="str">
        <f>IF(OR(orders_Q4[[#This Row],[Qty]]&gt;5,orders_Q4[[#This Row],[Qty]]&lt;0),"Invalid Quantity","OK")</f>
        <v>OK</v>
      </c>
      <c r="Y113" t="b">
        <f>OR(orders_Q4[[#This Row],[Unit Price]]&gt;20000,orders_Q4[[#This Row],[Unit Price]]&lt;0,orders_Q4[[#This Row],[Unit Price]]=0)</f>
        <v>0</v>
      </c>
      <c r="Z11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13">
        <f>orders_Q4[[#This Row],[Unit Price]] * orders_Q4[[#This Row],[Qty]] * (1 - orders_Q4[[#This Row],[Disc %]]/100)</f>
        <v>2099.4</v>
      </c>
      <c r="AB113" t="str">
        <f>IF(ABS(orders_Q4[[#This Row],[Total]] - orders_Q4[[#This Row],[Calculated_order_total]]) &gt; 1, "Mismatch", "OK")</f>
        <v>Mismatch</v>
      </c>
      <c r="AC113">
        <f>COUNTIF(C:C,orders_Q4[[#This Row],[Customer ID]])</f>
        <v>1</v>
      </c>
      <c r="AD113" t="str">
        <f>IF(AND(orders_Q4[[#This Row],[Type]]="New",orders_Q4[[#This Row],[Customer_id_count]]&gt;1),"Existing customer","OK")</f>
        <v>OK</v>
      </c>
      <c r="AE113">
        <f>orders_Q4[[#This Row],[Del Date]]-orders_Q4[[#This Row],[Order Date]]</f>
        <v>5</v>
      </c>
      <c r="AF113" t="str">
        <f>IF(OR(orders_Q4[[#This Row],[Delivery_time]]&gt;30,orders_Q4[[#This Row],[Delivery_time]]&lt;0),"Invalid_delivery_time","OK")</f>
        <v>OK</v>
      </c>
      <c r="AG113" s="20">
        <f>IF(
   AND(NOT(ISBLANK(orders_Q4[[#This Row],[return_received]])), NOT(ISBLANK(orders_Q4[[#This Row],[Del Date]]))),
   orders_Q4[[#This Row],[return_received]] - orders_Q4[[#This Row],[Del Date]],0)</f>
        <v>16</v>
      </c>
      <c r="AH113" t="str">
        <f>TEXT(orders_Q4[[#This Row],[Order Date]],"mmm-yyyy")</f>
        <v>Oct-2024</v>
      </c>
      <c r="AI113" s="1" t="str">
        <f>TEXT(orders_Q4[[#This Row],[Order Date]],"yyyy") &amp; "-" &amp; WEEKNUM(orders_Q4[[#This Row],[Order Date]])</f>
        <v>2024-44</v>
      </c>
      <c r="AJ113" t="str">
        <f>IF(orders_Q4[[#This Row],[Payment]]="COD","COD","Prepaid")</f>
        <v>Prepaid</v>
      </c>
    </row>
    <row r="114" spans="1:36" x14ac:dyDescent="0.3">
      <c r="A114" t="s">
        <v>538</v>
      </c>
      <c r="B114" s="1">
        <v>45593</v>
      </c>
      <c r="C114" t="s">
        <v>539</v>
      </c>
      <c r="D114" t="s">
        <v>25</v>
      </c>
      <c r="E114" t="s">
        <v>540</v>
      </c>
      <c r="F114" t="s">
        <v>61</v>
      </c>
      <c r="G114" t="s">
        <v>541</v>
      </c>
      <c r="H114">
        <v>5999</v>
      </c>
      <c r="I114">
        <v>1</v>
      </c>
      <c r="J114">
        <v>5999</v>
      </c>
      <c r="K114" t="s">
        <v>537</v>
      </c>
      <c r="L114">
        <v>40</v>
      </c>
      <c r="M114" t="s">
        <v>55</v>
      </c>
      <c r="N114" t="s">
        <v>44</v>
      </c>
      <c r="O114" t="s">
        <v>31</v>
      </c>
      <c r="P114" t="s">
        <v>32</v>
      </c>
      <c r="Q114" t="s">
        <v>31</v>
      </c>
      <c r="R114" s="1">
        <v>45599</v>
      </c>
      <c r="S114" t="s">
        <v>33</v>
      </c>
      <c r="T114" t="s">
        <v>46</v>
      </c>
      <c r="U114" t="s">
        <v>104</v>
      </c>
      <c r="V114" s="1">
        <v>45616</v>
      </c>
      <c r="W114" t="s">
        <v>48</v>
      </c>
      <c r="X114" t="str">
        <f>IF(OR(orders_Q4[[#This Row],[Qty]]&gt;5,orders_Q4[[#This Row],[Qty]]&lt;0),"Invalid Quantity","OK")</f>
        <v>OK</v>
      </c>
      <c r="Y114" t="b">
        <f>OR(orders_Q4[[#This Row],[Unit Price]]&gt;20000,orders_Q4[[#This Row],[Unit Price]]&lt;0,orders_Q4[[#This Row],[Unit Price]]=0)</f>
        <v>0</v>
      </c>
      <c r="Z11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14">
        <f>orders_Q4[[#This Row],[Unit Price]] * orders_Q4[[#This Row],[Qty]] * (1 - orders_Q4[[#This Row],[Disc %]]/100)</f>
        <v>3599.4</v>
      </c>
      <c r="AB114" t="str">
        <f>IF(ABS(orders_Q4[[#This Row],[Total]] - orders_Q4[[#This Row],[Calculated_order_total]]) &gt; 1, "Mismatch", "OK")</f>
        <v>Mismatch</v>
      </c>
      <c r="AC114">
        <f>COUNTIF(C:C,orders_Q4[[#This Row],[Customer ID]])</f>
        <v>1</v>
      </c>
      <c r="AD114" t="str">
        <f>IF(AND(orders_Q4[[#This Row],[Type]]="New",orders_Q4[[#This Row],[Customer_id_count]]&gt;1),"Existing customer","OK")</f>
        <v>OK</v>
      </c>
      <c r="AE114">
        <f>orders_Q4[[#This Row],[Del Date]]-orders_Q4[[#This Row],[Order Date]]</f>
        <v>6</v>
      </c>
      <c r="AF114" t="str">
        <f>IF(OR(orders_Q4[[#This Row],[Delivery_time]]&gt;30,orders_Q4[[#This Row],[Delivery_time]]&lt;0),"Invalid_delivery_time","OK")</f>
        <v>OK</v>
      </c>
      <c r="AG114" s="20">
        <f>IF(
   AND(NOT(ISBLANK(orders_Q4[[#This Row],[return_received]])), NOT(ISBLANK(orders_Q4[[#This Row],[Del Date]]))),
   orders_Q4[[#This Row],[return_received]] - orders_Q4[[#This Row],[Del Date]],0)</f>
        <v>17</v>
      </c>
      <c r="AH114" t="str">
        <f>TEXT(orders_Q4[[#This Row],[Order Date]],"mmm-yyyy")</f>
        <v>Oct-2024</v>
      </c>
      <c r="AI114" s="1" t="str">
        <f>TEXT(orders_Q4[[#This Row],[Order Date]],"yyyy") &amp; "-" &amp; WEEKNUM(orders_Q4[[#This Row],[Order Date]])</f>
        <v>2024-44</v>
      </c>
      <c r="AJ114" t="str">
        <f>IF(orders_Q4[[#This Row],[Payment]]="COD","COD","Prepaid")</f>
        <v>COD</v>
      </c>
    </row>
    <row r="115" spans="1:36" x14ac:dyDescent="0.3">
      <c r="A115" t="s">
        <v>542</v>
      </c>
      <c r="B115" s="1">
        <v>45593</v>
      </c>
      <c r="C115" t="s">
        <v>543</v>
      </c>
      <c r="D115" t="s">
        <v>25</v>
      </c>
      <c r="E115" t="s">
        <v>544</v>
      </c>
      <c r="F115" t="s">
        <v>27</v>
      </c>
      <c r="G115" t="s">
        <v>545</v>
      </c>
      <c r="H115">
        <v>2299</v>
      </c>
      <c r="I115">
        <v>2</v>
      </c>
      <c r="J115">
        <v>4598</v>
      </c>
      <c r="K115" t="s">
        <v>537</v>
      </c>
      <c r="L115">
        <v>40</v>
      </c>
      <c r="M115" t="s">
        <v>29</v>
      </c>
      <c r="N115" t="s">
        <v>65</v>
      </c>
      <c r="O115" t="s">
        <v>102</v>
      </c>
      <c r="P115" t="s">
        <v>103</v>
      </c>
      <c r="Q115" t="s">
        <v>45</v>
      </c>
      <c r="R115" s="1">
        <v>45600</v>
      </c>
      <c r="S115" t="s">
        <v>33</v>
      </c>
      <c r="T115" t="s">
        <v>46</v>
      </c>
      <c r="U115" t="s">
        <v>47</v>
      </c>
      <c r="V115" s="1">
        <v>45618</v>
      </c>
      <c r="W115" t="s">
        <v>48</v>
      </c>
      <c r="X115" t="str">
        <f>IF(OR(orders_Q4[[#This Row],[Qty]]&gt;5,orders_Q4[[#This Row],[Qty]]&lt;0),"Invalid Quantity","OK")</f>
        <v>OK</v>
      </c>
      <c r="Y115" t="b">
        <f>OR(orders_Q4[[#This Row],[Unit Price]]&gt;20000,orders_Q4[[#This Row],[Unit Price]]&lt;0,orders_Q4[[#This Row],[Unit Price]]=0)</f>
        <v>0</v>
      </c>
      <c r="Z11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15">
        <f>orders_Q4[[#This Row],[Unit Price]] * orders_Q4[[#This Row],[Qty]] * (1 - orders_Q4[[#This Row],[Disc %]]/100)</f>
        <v>2758.7999999999997</v>
      </c>
      <c r="AB115" t="str">
        <f>IF(ABS(orders_Q4[[#This Row],[Total]] - orders_Q4[[#This Row],[Calculated_order_total]]) &gt; 1, "Mismatch", "OK")</f>
        <v>Mismatch</v>
      </c>
      <c r="AC115">
        <f>COUNTIF(C:C,orders_Q4[[#This Row],[Customer ID]])</f>
        <v>1</v>
      </c>
      <c r="AD115" t="str">
        <f>IF(AND(orders_Q4[[#This Row],[Type]]="New",orders_Q4[[#This Row],[Customer_id_count]]&gt;1),"Existing customer","OK")</f>
        <v>OK</v>
      </c>
      <c r="AE115">
        <f>orders_Q4[[#This Row],[Del Date]]-orders_Q4[[#This Row],[Order Date]]</f>
        <v>7</v>
      </c>
      <c r="AF115" t="str">
        <f>IF(OR(orders_Q4[[#This Row],[Delivery_time]]&gt;30,orders_Q4[[#This Row],[Delivery_time]]&lt;0),"Invalid_delivery_time","OK")</f>
        <v>OK</v>
      </c>
      <c r="AG115" s="20">
        <f>IF(
   AND(NOT(ISBLANK(orders_Q4[[#This Row],[return_received]])), NOT(ISBLANK(orders_Q4[[#This Row],[Del Date]]))),
   orders_Q4[[#This Row],[return_received]] - orders_Q4[[#This Row],[Del Date]],0)</f>
        <v>18</v>
      </c>
      <c r="AH115" t="str">
        <f>TEXT(orders_Q4[[#This Row],[Order Date]],"mmm-yyyy")</f>
        <v>Oct-2024</v>
      </c>
      <c r="AI115" s="1" t="str">
        <f>TEXT(orders_Q4[[#This Row],[Order Date]],"yyyy") &amp; "-" &amp; WEEKNUM(orders_Q4[[#This Row],[Order Date]])</f>
        <v>2024-44</v>
      </c>
      <c r="AJ115" t="str">
        <f>IF(orders_Q4[[#This Row],[Payment]]="COD","COD","Prepaid")</f>
        <v>Prepaid</v>
      </c>
    </row>
    <row r="116" spans="1:36" x14ac:dyDescent="0.3">
      <c r="A116" t="s">
        <v>546</v>
      </c>
      <c r="B116" s="1">
        <v>45593</v>
      </c>
      <c r="C116" t="s">
        <v>547</v>
      </c>
      <c r="D116" t="s">
        <v>38</v>
      </c>
      <c r="E116" t="s">
        <v>369</v>
      </c>
      <c r="F116" t="s">
        <v>71</v>
      </c>
      <c r="G116" t="s">
        <v>548</v>
      </c>
      <c r="H116">
        <v>1599</v>
      </c>
      <c r="I116">
        <v>1</v>
      </c>
      <c r="J116">
        <v>1599</v>
      </c>
      <c r="K116" t="s">
        <v>537</v>
      </c>
      <c r="L116">
        <v>40</v>
      </c>
      <c r="M116" t="s">
        <v>43</v>
      </c>
      <c r="N116" t="s">
        <v>30</v>
      </c>
      <c r="O116" t="s">
        <v>112</v>
      </c>
      <c r="P116" t="s">
        <v>113</v>
      </c>
      <c r="Q116" t="s">
        <v>45</v>
      </c>
      <c r="R116" s="1">
        <v>45599</v>
      </c>
      <c r="S116" t="s">
        <v>33</v>
      </c>
      <c r="T116" t="s">
        <v>34</v>
      </c>
      <c r="W116" t="s">
        <v>35</v>
      </c>
      <c r="X116" t="str">
        <f>IF(OR(orders_Q4[[#This Row],[Qty]]&gt;5,orders_Q4[[#This Row],[Qty]]&lt;0),"Invalid Quantity","OK")</f>
        <v>OK</v>
      </c>
      <c r="Y116" t="b">
        <f>OR(orders_Q4[[#This Row],[Unit Price]]&gt;20000,orders_Q4[[#This Row],[Unit Price]]&lt;0,orders_Q4[[#This Row],[Unit Price]]=0)</f>
        <v>0</v>
      </c>
      <c r="Z11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16">
        <f>orders_Q4[[#This Row],[Unit Price]] * orders_Q4[[#This Row],[Qty]] * (1 - orders_Q4[[#This Row],[Disc %]]/100)</f>
        <v>959.4</v>
      </c>
      <c r="AB116" t="str">
        <f>IF(ABS(orders_Q4[[#This Row],[Total]] - orders_Q4[[#This Row],[Calculated_order_total]]) &gt; 1, "Mismatch", "OK")</f>
        <v>Mismatch</v>
      </c>
      <c r="AC116">
        <f>COUNTIF(C:C,orders_Q4[[#This Row],[Customer ID]])</f>
        <v>1</v>
      </c>
      <c r="AD116" t="str">
        <f>IF(AND(orders_Q4[[#This Row],[Type]]="New",orders_Q4[[#This Row],[Customer_id_count]]&gt;1),"Existing customer","OK")</f>
        <v>OK</v>
      </c>
      <c r="AE116">
        <f>orders_Q4[[#This Row],[Del Date]]-orders_Q4[[#This Row],[Order Date]]</f>
        <v>6</v>
      </c>
      <c r="AF116" t="str">
        <f>IF(OR(orders_Q4[[#This Row],[Delivery_time]]&gt;30,orders_Q4[[#This Row],[Delivery_time]]&lt;0),"Invalid_delivery_time","OK")</f>
        <v>OK</v>
      </c>
      <c r="AG116" s="20">
        <f>IF(
   AND(NOT(ISBLANK(orders_Q4[[#This Row],[return_received]])), NOT(ISBLANK(orders_Q4[[#This Row],[Del Date]]))),
   orders_Q4[[#This Row],[return_received]] - orders_Q4[[#This Row],[Del Date]],0)</f>
        <v>0</v>
      </c>
      <c r="AH116" t="str">
        <f>TEXT(orders_Q4[[#This Row],[Order Date]],"mmm-yyyy")</f>
        <v>Oct-2024</v>
      </c>
      <c r="AI116" s="1" t="str">
        <f>TEXT(orders_Q4[[#This Row],[Order Date]],"yyyy") &amp; "-" &amp; WEEKNUM(orders_Q4[[#This Row],[Order Date]])</f>
        <v>2024-44</v>
      </c>
      <c r="AJ116" t="str">
        <f>IF(orders_Q4[[#This Row],[Payment]]="COD","COD","Prepaid")</f>
        <v>Prepaid</v>
      </c>
    </row>
    <row r="117" spans="1:36" x14ac:dyDescent="0.3">
      <c r="A117" t="s">
        <v>549</v>
      </c>
      <c r="B117" s="1">
        <v>45593</v>
      </c>
      <c r="C117" t="s">
        <v>550</v>
      </c>
      <c r="D117" t="s">
        <v>25</v>
      </c>
      <c r="E117" t="s">
        <v>551</v>
      </c>
      <c r="F117" t="s">
        <v>53</v>
      </c>
      <c r="G117" t="s">
        <v>254</v>
      </c>
      <c r="H117">
        <v>1899</v>
      </c>
      <c r="I117">
        <v>1</v>
      </c>
      <c r="J117">
        <v>1899</v>
      </c>
      <c r="K117" t="s">
        <v>537</v>
      </c>
      <c r="L117">
        <v>40</v>
      </c>
      <c r="M117" t="s">
        <v>55</v>
      </c>
      <c r="N117" t="s">
        <v>44</v>
      </c>
      <c r="O117" t="s">
        <v>66</v>
      </c>
      <c r="P117" t="s">
        <v>67</v>
      </c>
      <c r="Q117" t="s">
        <v>56</v>
      </c>
      <c r="S117" t="s">
        <v>120</v>
      </c>
      <c r="T117" t="s">
        <v>34</v>
      </c>
      <c r="W117" t="s">
        <v>35</v>
      </c>
      <c r="X117" t="str">
        <f>IF(OR(orders_Q4[[#This Row],[Qty]]&gt;5,orders_Q4[[#This Row],[Qty]]&lt;0),"Invalid Quantity","OK")</f>
        <v>OK</v>
      </c>
      <c r="Y117" t="b">
        <f>OR(orders_Q4[[#This Row],[Unit Price]]&gt;20000,orders_Q4[[#This Row],[Unit Price]]&lt;0,orders_Q4[[#This Row],[Unit Price]]=0)</f>
        <v>0</v>
      </c>
      <c r="Z11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17">
        <f>orders_Q4[[#This Row],[Unit Price]] * orders_Q4[[#This Row],[Qty]] * (1 - orders_Q4[[#This Row],[Disc %]]/100)</f>
        <v>1139.3999999999999</v>
      </c>
      <c r="AB117" t="str">
        <f>IF(ABS(orders_Q4[[#This Row],[Total]] - orders_Q4[[#This Row],[Calculated_order_total]]) &gt; 1, "Mismatch", "OK")</f>
        <v>Mismatch</v>
      </c>
      <c r="AC117">
        <f>COUNTIF(C:C,orders_Q4[[#This Row],[Customer ID]])</f>
        <v>1</v>
      </c>
      <c r="AD117" t="str">
        <f>IF(AND(orders_Q4[[#This Row],[Type]]="New",orders_Q4[[#This Row],[Customer_id_count]]&gt;1),"Existing customer","OK")</f>
        <v>OK</v>
      </c>
      <c r="AE117">
        <f>orders_Q4[[#This Row],[Del Date]]-orders_Q4[[#This Row],[Order Date]]</f>
        <v>-45593</v>
      </c>
      <c r="AF117" t="str">
        <f>IF(OR(orders_Q4[[#This Row],[Delivery_time]]&gt;30,orders_Q4[[#This Row],[Delivery_time]]&lt;0),"Invalid_delivery_time","OK")</f>
        <v>Invalid_delivery_time</v>
      </c>
      <c r="AG117" s="20">
        <f>IF(
   AND(NOT(ISBLANK(orders_Q4[[#This Row],[return_received]])), NOT(ISBLANK(orders_Q4[[#This Row],[Del Date]]))),
   orders_Q4[[#This Row],[return_received]] - orders_Q4[[#This Row],[Del Date]],0)</f>
        <v>0</v>
      </c>
      <c r="AH117" t="str">
        <f>TEXT(orders_Q4[[#This Row],[Order Date]],"mmm-yyyy")</f>
        <v>Oct-2024</v>
      </c>
      <c r="AI117" s="1" t="str">
        <f>TEXT(orders_Q4[[#This Row],[Order Date]],"yyyy") &amp; "-" &amp; WEEKNUM(orders_Q4[[#This Row],[Order Date]])</f>
        <v>2024-44</v>
      </c>
      <c r="AJ117" t="str">
        <f>IF(orders_Q4[[#This Row],[Payment]]="COD","COD","Prepaid")</f>
        <v>COD</v>
      </c>
    </row>
    <row r="118" spans="1:36" x14ac:dyDescent="0.3">
      <c r="A118" t="s">
        <v>552</v>
      </c>
      <c r="B118" s="1">
        <v>45594</v>
      </c>
      <c r="C118" t="s">
        <v>553</v>
      </c>
      <c r="D118" t="s">
        <v>25</v>
      </c>
      <c r="E118" t="s">
        <v>554</v>
      </c>
      <c r="F118" t="s">
        <v>40</v>
      </c>
      <c r="G118" t="s">
        <v>555</v>
      </c>
      <c r="H118">
        <v>4299</v>
      </c>
      <c r="I118">
        <v>1</v>
      </c>
      <c r="J118">
        <v>4299</v>
      </c>
      <c r="K118" t="s">
        <v>537</v>
      </c>
      <c r="L118">
        <v>40</v>
      </c>
      <c r="M118" t="s">
        <v>64</v>
      </c>
      <c r="N118" t="s">
        <v>30</v>
      </c>
      <c r="O118" t="s">
        <v>77</v>
      </c>
      <c r="P118" t="s">
        <v>78</v>
      </c>
      <c r="Q118" t="s">
        <v>56</v>
      </c>
      <c r="R118" s="1">
        <v>45601</v>
      </c>
      <c r="S118" t="s">
        <v>33</v>
      </c>
      <c r="T118" t="s">
        <v>46</v>
      </c>
      <c r="U118" t="s">
        <v>68</v>
      </c>
      <c r="V118" s="1">
        <v>45621</v>
      </c>
      <c r="W118" t="s">
        <v>48</v>
      </c>
      <c r="X118" t="str">
        <f>IF(OR(orders_Q4[[#This Row],[Qty]]&gt;5,orders_Q4[[#This Row],[Qty]]&lt;0),"Invalid Quantity","OK")</f>
        <v>OK</v>
      </c>
      <c r="Y118" t="b">
        <f>OR(orders_Q4[[#This Row],[Unit Price]]&gt;20000,orders_Q4[[#This Row],[Unit Price]]&lt;0,orders_Q4[[#This Row],[Unit Price]]=0)</f>
        <v>0</v>
      </c>
      <c r="Z11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18">
        <f>orders_Q4[[#This Row],[Unit Price]] * orders_Q4[[#This Row],[Qty]] * (1 - orders_Q4[[#This Row],[Disc %]]/100)</f>
        <v>2579.4</v>
      </c>
      <c r="AB118" t="str">
        <f>IF(ABS(orders_Q4[[#This Row],[Total]] - orders_Q4[[#This Row],[Calculated_order_total]]) &gt; 1, "Mismatch", "OK")</f>
        <v>Mismatch</v>
      </c>
      <c r="AC118">
        <f>COUNTIF(C:C,orders_Q4[[#This Row],[Customer ID]])</f>
        <v>1</v>
      </c>
      <c r="AD118" t="str">
        <f>IF(AND(orders_Q4[[#This Row],[Type]]="New",orders_Q4[[#This Row],[Customer_id_count]]&gt;1),"Existing customer","OK")</f>
        <v>OK</v>
      </c>
      <c r="AE118">
        <f>orders_Q4[[#This Row],[Del Date]]-orders_Q4[[#This Row],[Order Date]]</f>
        <v>7</v>
      </c>
      <c r="AF118" t="str">
        <f>IF(OR(orders_Q4[[#This Row],[Delivery_time]]&gt;30,orders_Q4[[#This Row],[Delivery_time]]&lt;0),"Invalid_delivery_time","OK")</f>
        <v>OK</v>
      </c>
      <c r="AG118" s="20">
        <f>IF(
   AND(NOT(ISBLANK(orders_Q4[[#This Row],[return_received]])), NOT(ISBLANK(orders_Q4[[#This Row],[Del Date]]))),
   orders_Q4[[#This Row],[return_received]] - orders_Q4[[#This Row],[Del Date]],0)</f>
        <v>20</v>
      </c>
      <c r="AH118" t="str">
        <f>TEXT(orders_Q4[[#This Row],[Order Date]],"mmm-yyyy")</f>
        <v>Oct-2024</v>
      </c>
      <c r="AI118" s="1" t="str">
        <f>TEXT(orders_Q4[[#This Row],[Order Date]],"yyyy") &amp; "-" &amp; WEEKNUM(orders_Q4[[#This Row],[Order Date]])</f>
        <v>2024-44</v>
      </c>
      <c r="AJ118" t="str">
        <f>IF(orders_Q4[[#This Row],[Payment]]="COD","COD","Prepaid")</f>
        <v>Prepaid</v>
      </c>
    </row>
    <row r="119" spans="1:36" x14ac:dyDescent="0.3">
      <c r="A119" t="s">
        <v>556</v>
      </c>
      <c r="B119" s="1">
        <v>45594</v>
      </c>
      <c r="C119" t="s">
        <v>557</v>
      </c>
      <c r="D119" t="s">
        <v>25</v>
      </c>
      <c r="E119" t="s">
        <v>558</v>
      </c>
      <c r="F119" t="s">
        <v>27</v>
      </c>
      <c r="G119" t="s">
        <v>559</v>
      </c>
      <c r="H119">
        <v>2599</v>
      </c>
      <c r="I119">
        <v>1</v>
      </c>
      <c r="J119">
        <v>2599</v>
      </c>
      <c r="K119" t="s">
        <v>537</v>
      </c>
      <c r="L119">
        <v>40</v>
      </c>
      <c r="M119" t="s">
        <v>29</v>
      </c>
      <c r="N119" t="s">
        <v>65</v>
      </c>
      <c r="O119" t="s">
        <v>84</v>
      </c>
      <c r="P119" t="s">
        <v>32</v>
      </c>
      <c r="Q119" t="s">
        <v>31</v>
      </c>
      <c r="R119" s="1">
        <v>45602</v>
      </c>
      <c r="S119" t="s">
        <v>33</v>
      </c>
      <c r="T119" t="s">
        <v>46</v>
      </c>
      <c r="U119" t="s">
        <v>79</v>
      </c>
      <c r="V119" s="1">
        <v>45624</v>
      </c>
      <c r="W119" t="s">
        <v>105</v>
      </c>
      <c r="X119" t="str">
        <f>IF(OR(orders_Q4[[#This Row],[Qty]]&gt;5,orders_Q4[[#This Row],[Qty]]&lt;0),"Invalid Quantity","OK")</f>
        <v>OK</v>
      </c>
      <c r="Y119" t="b">
        <f>OR(orders_Q4[[#This Row],[Unit Price]]&gt;20000,orders_Q4[[#This Row],[Unit Price]]&lt;0,orders_Q4[[#This Row],[Unit Price]]=0)</f>
        <v>0</v>
      </c>
      <c r="Z11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19">
        <f>orders_Q4[[#This Row],[Unit Price]] * orders_Q4[[#This Row],[Qty]] * (1 - orders_Q4[[#This Row],[Disc %]]/100)</f>
        <v>1559.3999999999999</v>
      </c>
      <c r="AB119" t="str">
        <f>IF(ABS(orders_Q4[[#This Row],[Total]] - orders_Q4[[#This Row],[Calculated_order_total]]) &gt; 1, "Mismatch", "OK")</f>
        <v>Mismatch</v>
      </c>
      <c r="AC119">
        <f>COUNTIF(C:C,orders_Q4[[#This Row],[Customer ID]])</f>
        <v>1</v>
      </c>
      <c r="AD119" t="str">
        <f>IF(AND(orders_Q4[[#This Row],[Type]]="New",orders_Q4[[#This Row],[Customer_id_count]]&gt;1),"Existing customer","OK")</f>
        <v>OK</v>
      </c>
      <c r="AE119">
        <f>orders_Q4[[#This Row],[Del Date]]-orders_Q4[[#This Row],[Order Date]]</f>
        <v>8</v>
      </c>
      <c r="AF119" t="str">
        <f>IF(OR(orders_Q4[[#This Row],[Delivery_time]]&gt;30,orders_Q4[[#This Row],[Delivery_time]]&lt;0),"Invalid_delivery_time","OK")</f>
        <v>OK</v>
      </c>
      <c r="AG119" s="20">
        <f>IF(
   AND(NOT(ISBLANK(orders_Q4[[#This Row],[return_received]])), NOT(ISBLANK(orders_Q4[[#This Row],[Del Date]]))),
   orders_Q4[[#This Row],[return_received]] - orders_Q4[[#This Row],[Del Date]],0)</f>
        <v>22</v>
      </c>
      <c r="AH119" t="str">
        <f>TEXT(orders_Q4[[#This Row],[Order Date]],"mmm-yyyy")</f>
        <v>Oct-2024</v>
      </c>
      <c r="AI119" s="1" t="str">
        <f>TEXT(orders_Q4[[#This Row],[Order Date]],"yyyy") &amp; "-" &amp; WEEKNUM(orders_Q4[[#This Row],[Order Date]])</f>
        <v>2024-44</v>
      </c>
      <c r="AJ119" t="str">
        <f>IF(orders_Q4[[#This Row],[Payment]]="COD","COD","Prepaid")</f>
        <v>Prepaid</v>
      </c>
    </row>
    <row r="120" spans="1:36" x14ac:dyDescent="0.3">
      <c r="A120" t="s">
        <v>560</v>
      </c>
      <c r="B120" s="1">
        <v>45594</v>
      </c>
      <c r="C120" t="s">
        <v>561</v>
      </c>
      <c r="D120" t="s">
        <v>25</v>
      </c>
      <c r="E120" t="s">
        <v>484</v>
      </c>
      <c r="F120" t="s">
        <v>61</v>
      </c>
      <c r="G120" t="s">
        <v>562</v>
      </c>
      <c r="H120">
        <v>3999</v>
      </c>
      <c r="I120">
        <v>1</v>
      </c>
      <c r="J120">
        <v>3999</v>
      </c>
      <c r="K120" t="s">
        <v>537</v>
      </c>
      <c r="L120">
        <v>40</v>
      </c>
      <c r="M120" t="s">
        <v>43</v>
      </c>
      <c r="N120" t="s">
        <v>44</v>
      </c>
      <c r="O120" t="s">
        <v>563</v>
      </c>
      <c r="P120" t="s">
        <v>119</v>
      </c>
      <c r="Q120" t="s">
        <v>45</v>
      </c>
      <c r="R120" s="1">
        <v>45603</v>
      </c>
      <c r="S120" t="s">
        <v>33</v>
      </c>
      <c r="T120" t="s">
        <v>46</v>
      </c>
      <c r="U120" t="s">
        <v>47</v>
      </c>
      <c r="V120" s="1">
        <v>45627</v>
      </c>
      <c r="W120" t="s">
        <v>48</v>
      </c>
      <c r="X120" t="str">
        <f>IF(OR(orders_Q4[[#This Row],[Qty]]&gt;5,orders_Q4[[#This Row],[Qty]]&lt;0),"Invalid Quantity","OK")</f>
        <v>OK</v>
      </c>
      <c r="Y120" t="b">
        <f>OR(orders_Q4[[#This Row],[Unit Price]]&gt;20000,orders_Q4[[#This Row],[Unit Price]]&lt;0,orders_Q4[[#This Row],[Unit Price]]=0)</f>
        <v>0</v>
      </c>
      <c r="Z12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0">
        <f>orders_Q4[[#This Row],[Unit Price]] * orders_Q4[[#This Row],[Qty]] * (1 - orders_Q4[[#This Row],[Disc %]]/100)</f>
        <v>2399.4</v>
      </c>
      <c r="AB120" t="str">
        <f>IF(ABS(orders_Q4[[#This Row],[Total]] - orders_Q4[[#This Row],[Calculated_order_total]]) &gt; 1, "Mismatch", "OK")</f>
        <v>Mismatch</v>
      </c>
      <c r="AC120">
        <f>COUNTIF(C:C,orders_Q4[[#This Row],[Customer ID]])</f>
        <v>1</v>
      </c>
      <c r="AD120" t="str">
        <f>IF(AND(orders_Q4[[#This Row],[Type]]="New",orders_Q4[[#This Row],[Customer_id_count]]&gt;1),"Existing customer","OK")</f>
        <v>OK</v>
      </c>
      <c r="AE120">
        <f>orders_Q4[[#This Row],[Del Date]]-orders_Q4[[#This Row],[Order Date]]</f>
        <v>9</v>
      </c>
      <c r="AF120" t="str">
        <f>IF(OR(orders_Q4[[#This Row],[Delivery_time]]&gt;30,orders_Q4[[#This Row],[Delivery_time]]&lt;0),"Invalid_delivery_time","OK")</f>
        <v>OK</v>
      </c>
      <c r="AG120" s="20">
        <f>IF(
   AND(NOT(ISBLANK(orders_Q4[[#This Row],[return_received]])), NOT(ISBLANK(orders_Q4[[#This Row],[Del Date]]))),
   orders_Q4[[#This Row],[return_received]] - orders_Q4[[#This Row],[Del Date]],0)</f>
        <v>24</v>
      </c>
      <c r="AH120" t="str">
        <f>TEXT(orders_Q4[[#This Row],[Order Date]],"mmm-yyyy")</f>
        <v>Oct-2024</v>
      </c>
      <c r="AI120" s="1" t="str">
        <f>TEXT(orders_Q4[[#This Row],[Order Date]],"yyyy") &amp; "-" &amp; WEEKNUM(orders_Q4[[#This Row],[Order Date]])</f>
        <v>2024-44</v>
      </c>
      <c r="AJ120" t="str">
        <f>IF(orders_Q4[[#This Row],[Payment]]="COD","COD","Prepaid")</f>
        <v>Prepaid</v>
      </c>
    </row>
    <row r="121" spans="1:36" x14ac:dyDescent="0.3">
      <c r="A121" t="s">
        <v>564</v>
      </c>
      <c r="B121" s="1">
        <v>45594</v>
      </c>
      <c r="C121" t="s">
        <v>565</v>
      </c>
      <c r="D121" t="s">
        <v>38</v>
      </c>
      <c r="E121" t="s">
        <v>566</v>
      </c>
      <c r="F121" t="s">
        <v>40</v>
      </c>
      <c r="G121" t="s">
        <v>567</v>
      </c>
      <c r="H121">
        <v>8999</v>
      </c>
      <c r="I121">
        <v>1</v>
      </c>
      <c r="J121">
        <v>8999</v>
      </c>
      <c r="K121" t="s">
        <v>537</v>
      </c>
      <c r="L121">
        <v>40</v>
      </c>
      <c r="M121" t="s">
        <v>43</v>
      </c>
      <c r="N121" t="s">
        <v>30</v>
      </c>
      <c r="O121" t="s">
        <v>96</v>
      </c>
      <c r="P121" t="s">
        <v>97</v>
      </c>
      <c r="Q121" t="s">
        <v>31</v>
      </c>
      <c r="R121" s="1">
        <v>45602</v>
      </c>
      <c r="S121" t="s">
        <v>33</v>
      </c>
      <c r="T121" t="s">
        <v>46</v>
      </c>
      <c r="U121" t="s">
        <v>47</v>
      </c>
      <c r="V121" s="1">
        <v>45628</v>
      </c>
      <c r="W121" t="s">
        <v>48</v>
      </c>
      <c r="X121" t="str">
        <f>IF(OR(orders_Q4[[#This Row],[Qty]]&gt;5,orders_Q4[[#This Row],[Qty]]&lt;0),"Invalid Quantity","OK")</f>
        <v>OK</v>
      </c>
      <c r="Y121" t="b">
        <f>OR(orders_Q4[[#This Row],[Unit Price]]&gt;20000,orders_Q4[[#This Row],[Unit Price]]&lt;0,orders_Q4[[#This Row],[Unit Price]]=0)</f>
        <v>0</v>
      </c>
      <c r="Z12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1">
        <f>orders_Q4[[#This Row],[Unit Price]] * orders_Q4[[#This Row],[Qty]] * (1 - orders_Q4[[#This Row],[Disc %]]/100)</f>
        <v>5399.4</v>
      </c>
      <c r="AB121" t="str">
        <f>IF(ABS(orders_Q4[[#This Row],[Total]] - orders_Q4[[#This Row],[Calculated_order_total]]) &gt; 1, "Mismatch", "OK")</f>
        <v>Mismatch</v>
      </c>
      <c r="AC121">
        <f>COUNTIF(C:C,orders_Q4[[#This Row],[Customer ID]])</f>
        <v>1</v>
      </c>
      <c r="AD121" t="str">
        <f>IF(AND(orders_Q4[[#This Row],[Type]]="New",orders_Q4[[#This Row],[Customer_id_count]]&gt;1),"Existing customer","OK")</f>
        <v>OK</v>
      </c>
      <c r="AE121">
        <f>orders_Q4[[#This Row],[Del Date]]-orders_Q4[[#This Row],[Order Date]]</f>
        <v>8</v>
      </c>
      <c r="AF121" t="str">
        <f>IF(OR(orders_Q4[[#This Row],[Delivery_time]]&gt;30,orders_Q4[[#This Row],[Delivery_time]]&lt;0),"Invalid_delivery_time","OK")</f>
        <v>OK</v>
      </c>
      <c r="AG121" s="20">
        <f>IF(
   AND(NOT(ISBLANK(orders_Q4[[#This Row],[return_received]])), NOT(ISBLANK(orders_Q4[[#This Row],[Del Date]]))),
   orders_Q4[[#This Row],[return_received]] - orders_Q4[[#This Row],[Del Date]],0)</f>
        <v>26</v>
      </c>
      <c r="AH121" t="str">
        <f>TEXT(orders_Q4[[#This Row],[Order Date]],"mmm-yyyy")</f>
        <v>Oct-2024</v>
      </c>
      <c r="AI121" s="1" t="str">
        <f>TEXT(orders_Q4[[#This Row],[Order Date]],"yyyy") &amp; "-" &amp; WEEKNUM(orders_Q4[[#This Row],[Order Date]])</f>
        <v>2024-44</v>
      </c>
      <c r="AJ121" t="str">
        <f>IF(orders_Q4[[#This Row],[Payment]]="COD","COD","Prepaid")</f>
        <v>Prepaid</v>
      </c>
    </row>
    <row r="122" spans="1:36" x14ac:dyDescent="0.3">
      <c r="A122" t="s">
        <v>568</v>
      </c>
      <c r="B122" s="1">
        <v>45594</v>
      </c>
      <c r="C122" t="s">
        <v>569</v>
      </c>
      <c r="D122" t="s">
        <v>25</v>
      </c>
      <c r="E122" t="s">
        <v>570</v>
      </c>
      <c r="F122" t="s">
        <v>71</v>
      </c>
      <c r="G122" t="s">
        <v>571</v>
      </c>
      <c r="H122">
        <v>1299</v>
      </c>
      <c r="I122">
        <v>2</v>
      </c>
      <c r="J122">
        <v>2598</v>
      </c>
      <c r="K122" t="s">
        <v>537</v>
      </c>
      <c r="L122">
        <v>40</v>
      </c>
      <c r="M122" t="s">
        <v>55</v>
      </c>
      <c r="N122" t="s">
        <v>65</v>
      </c>
      <c r="O122" t="s">
        <v>90</v>
      </c>
      <c r="P122" t="s">
        <v>91</v>
      </c>
      <c r="Q122" t="s">
        <v>45</v>
      </c>
      <c r="R122" s="1">
        <v>45604</v>
      </c>
      <c r="S122" t="s">
        <v>33</v>
      </c>
      <c r="T122" t="s">
        <v>46</v>
      </c>
      <c r="U122" t="s">
        <v>138</v>
      </c>
      <c r="V122" s="1">
        <v>45626</v>
      </c>
      <c r="W122" t="s">
        <v>48</v>
      </c>
      <c r="X122" t="str">
        <f>IF(OR(orders_Q4[[#This Row],[Qty]]&gt;5,orders_Q4[[#This Row],[Qty]]&lt;0),"Invalid Quantity","OK")</f>
        <v>OK</v>
      </c>
      <c r="Y122" t="b">
        <f>OR(orders_Q4[[#This Row],[Unit Price]]&gt;20000,orders_Q4[[#This Row],[Unit Price]]&lt;0,orders_Q4[[#This Row],[Unit Price]]=0)</f>
        <v>0</v>
      </c>
      <c r="Z12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2">
        <f>orders_Q4[[#This Row],[Unit Price]] * orders_Q4[[#This Row],[Qty]] * (1 - orders_Q4[[#This Row],[Disc %]]/100)</f>
        <v>1558.8</v>
      </c>
      <c r="AB122" t="str">
        <f>IF(ABS(orders_Q4[[#This Row],[Total]] - orders_Q4[[#This Row],[Calculated_order_total]]) &gt; 1, "Mismatch", "OK")</f>
        <v>Mismatch</v>
      </c>
      <c r="AC122">
        <f>COUNTIF(C:C,orders_Q4[[#This Row],[Customer ID]])</f>
        <v>1</v>
      </c>
      <c r="AD122" t="str">
        <f>IF(AND(orders_Q4[[#This Row],[Type]]="New",orders_Q4[[#This Row],[Customer_id_count]]&gt;1),"Existing customer","OK")</f>
        <v>OK</v>
      </c>
      <c r="AE122">
        <f>orders_Q4[[#This Row],[Del Date]]-orders_Q4[[#This Row],[Order Date]]</f>
        <v>10</v>
      </c>
      <c r="AF122" t="str">
        <f>IF(OR(orders_Q4[[#This Row],[Delivery_time]]&gt;30,orders_Q4[[#This Row],[Delivery_time]]&lt;0),"Invalid_delivery_time","OK")</f>
        <v>OK</v>
      </c>
      <c r="AG122" s="20">
        <f>IF(
   AND(NOT(ISBLANK(orders_Q4[[#This Row],[return_received]])), NOT(ISBLANK(orders_Q4[[#This Row],[Del Date]]))),
   orders_Q4[[#This Row],[return_received]] - orders_Q4[[#This Row],[Del Date]],0)</f>
        <v>22</v>
      </c>
      <c r="AH122" t="str">
        <f>TEXT(orders_Q4[[#This Row],[Order Date]],"mmm-yyyy")</f>
        <v>Oct-2024</v>
      </c>
      <c r="AI122" s="1" t="str">
        <f>TEXT(orders_Q4[[#This Row],[Order Date]],"yyyy") &amp; "-" &amp; WEEKNUM(orders_Q4[[#This Row],[Order Date]])</f>
        <v>2024-44</v>
      </c>
      <c r="AJ122" t="str">
        <f>IF(orders_Q4[[#This Row],[Payment]]="COD","COD","Prepaid")</f>
        <v>COD</v>
      </c>
    </row>
    <row r="123" spans="1:36" x14ac:dyDescent="0.3">
      <c r="A123" t="s">
        <v>572</v>
      </c>
      <c r="B123" s="1">
        <v>45594</v>
      </c>
      <c r="C123" t="s">
        <v>573</v>
      </c>
      <c r="D123" t="s">
        <v>25</v>
      </c>
      <c r="E123" t="s">
        <v>574</v>
      </c>
      <c r="F123" t="s">
        <v>27</v>
      </c>
      <c r="G123" t="s">
        <v>575</v>
      </c>
      <c r="H123">
        <v>1999</v>
      </c>
      <c r="I123">
        <v>1</v>
      </c>
      <c r="J123">
        <v>1999</v>
      </c>
      <c r="K123" t="s">
        <v>537</v>
      </c>
      <c r="L123">
        <v>40</v>
      </c>
      <c r="M123" t="s">
        <v>29</v>
      </c>
      <c r="N123" t="s">
        <v>44</v>
      </c>
      <c r="O123" t="s">
        <v>56</v>
      </c>
      <c r="P123" t="s">
        <v>57</v>
      </c>
      <c r="Q123" t="s">
        <v>56</v>
      </c>
      <c r="R123" s="1">
        <v>45603</v>
      </c>
      <c r="S123" t="s">
        <v>33</v>
      </c>
      <c r="T123" t="s">
        <v>46</v>
      </c>
      <c r="U123" t="s">
        <v>68</v>
      </c>
      <c r="V123" s="1">
        <v>45629</v>
      </c>
      <c r="W123" t="s">
        <v>48</v>
      </c>
      <c r="X123" t="str">
        <f>IF(OR(orders_Q4[[#This Row],[Qty]]&gt;5,orders_Q4[[#This Row],[Qty]]&lt;0),"Invalid Quantity","OK")</f>
        <v>OK</v>
      </c>
      <c r="Y123" t="b">
        <f>OR(orders_Q4[[#This Row],[Unit Price]]&gt;20000,orders_Q4[[#This Row],[Unit Price]]&lt;0,orders_Q4[[#This Row],[Unit Price]]=0)</f>
        <v>0</v>
      </c>
      <c r="Z12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3">
        <f>orders_Q4[[#This Row],[Unit Price]] * orders_Q4[[#This Row],[Qty]] * (1 - orders_Q4[[#This Row],[Disc %]]/100)</f>
        <v>1199.3999999999999</v>
      </c>
      <c r="AB123" t="str">
        <f>IF(ABS(orders_Q4[[#This Row],[Total]] - orders_Q4[[#This Row],[Calculated_order_total]]) &gt; 1, "Mismatch", "OK")</f>
        <v>Mismatch</v>
      </c>
      <c r="AC123">
        <f>COUNTIF(C:C,orders_Q4[[#This Row],[Customer ID]])</f>
        <v>1</v>
      </c>
      <c r="AD123" t="str">
        <f>IF(AND(orders_Q4[[#This Row],[Type]]="New",orders_Q4[[#This Row],[Customer_id_count]]&gt;1),"Existing customer","OK")</f>
        <v>OK</v>
      </c>
      <c r="AE123">
        <f>orders_Q4[[#This Row],[Del Date]]-orders_Q4[[#This Row],[Order Date]]</f>
        <v>9</v>
      </c>
      <c r="AF123" t="str">
        <f>IF(OR(orders_Q4[[#This Row],[Delivery_time]]&gt;30,orders_Q4[[#This Row],[Delivery_time]]&lt;0),"Invalid_delivery_time","OK")</f>
        <v>OK</v>
      </c>
      <c r="AG123" s="20">
        <f>IF(
   AND(NOT(ISBLANK(orders_Q4[[#This Row],[return_received]])), NOT(ISBLANK(orders_Q4[[#This Row],[Del Date]]))),
   orders_Q4[[#This Row],[return_received]] - orders_Q4[[#This Row],[Del Date]],0)</f>
        <v>26</v>
      </c>
      <c r="AH123" t="str">
        <f>TEXT(orders_Q4[[#This Row],[Order Date]],"mmm-yyyy")</f>
        <v>Oct-2024</v>
      </c>
      <c r="AI123" s="1" t="str">
        <f>TEXT(orders_Q4[[#This Row],[Order Date]],"yyyy") &amp; "-" &amp; WEEKNUM(orders_Q4[[#This Row],[Order Date]])</f>
        <v>2024-44</v>
      </c>
      <c r="AJ123" t="str">
        <f>IF(orders_Q4[[#This Row],[Payment]]="COD","COD","Prepaid")</f>
        <v>Prepaid</v>
      </c>
    </row>
    <row r="124" spans="1:36" x14ac:dyDescent="0.3">
      <c r="A124" t="s">
        <v>576</v>
      </c>
      <c r="B124" s="1">
        <v>45595</v>
      </c>
      <c r="C124" t="s">
        <v>577</v>
      </c>
      <c r="D124" t="s">
        <v>25</v>
      </c>
      <c r="E124" t="s">
        <v>578</v>
      </c>
      <c r="F124" t="s">
        <v>53</v>
      </c>
      <c r="G124" t="s">
        <v>579</v>
      </c>
      <c r="H124">
        <v>5499</v>
      </c>
      <c r="I124">
        <v>1</v>
      </c>
      <c r="J124">
        <v>5499</v>
      </c>
      <c r="K124" t="s">
        <v>537</v>
      </c>
      <c r="L124">
        <v>40</v>
      </c>
      <c r="M124" t="s">
        <v>111</v>
      </c>
      <c r="N124" t="s">
        <v>30</v>
      </c>
      <c r="O124" t="s">
        <v>156</v>
      </c>
      <c r="P124" t="s">
        <v>97</v>
      </c>
      <c r="Q124" t="s">
        <v>31</v>
      </c>
      <c r="R124" s="1">
        <v>45604</v>
      </c>
      <c r="S124" t="s">
        <v>33</v>
      </c>
      <c r="T124" t="s">
        <v>46</v>
      </c>
      <c r="U124" t="s">
        <v>47</v>
      </c>
      <c r="V124" s="1">
        <v>45627</v>
      </c>
      <c r="W124" t="s">
        <v>48</v>
      </c>
      <c r="X124" t="str">
        <f>IF(OR(orders_Q4[[#This Row],[Qty]]&gt;5,orders_Q4[[#This Row],[Qty]]&lt;0),"Invalid Quantity","OK")</f>
        <v>OK</v>
      </c>
      <c r="Y124" t="b">
        <f>OR(orders_Q4[[#This Row],[Unit Price]]&gt;20000,orders_Q4[[#This Row],[Unit Price]]&lt;0,orders_Q4[[#This Row],[Unit Price]]=0)</f>
        <v>0</v>
      </c>
      <c r="Z12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4">
        <f>orders_Q4[[#This Row],[Unit Price]] * orders_Q4[[#This Row],[Qty]] * (1 - orders_Q4[[#This Row],[Disc %]]/100)</f>
        <v>3299.4</v>
      </c>
      <c r="AB124" t="str">
        <f>IF(ABS(orders_Q4[[#This Row],[Total]] - orders_Q4[[#This Row],[Calculated_order_total]]) &gt; 1, "Mismatch", "OK")</f>
        <v>Mismatch</v>
      </c>
      <c r="AC124">
        <f>COUNTIF(C:C,orders_Q4[[#This Row],[Customer ID]])</f>
        <v>1</v>
      </c>
      <c r="AD124" t="str">
        <f>IF(AND(orders_Q4[[#This Row],[Type]]="New",orders_Q4[[#This Row],[Customer_id_count]]&gt;1),"Existing customer","OK")</f>
        <v>OK</v>
      </c>
      <c r="AE124">
        <f>orders_Q4[[#This Row],[Del Date]]-orders_Q4[[#This Row],[Order Date]]</f>
        <v>9</v>
      </c>
      <c r="AF124" t="str">
        <f>IF(OR(orders_Q4[[#This Row],[Delivery_time]]&gt;30,orders_Q4[[#This Row],[Delivery_time]]&lt;0),"Invalid_delivery_time","OK")</f>
        <v>OK</v>
      </c>
      <c r="AG124" s="20">
        <f>IF(
   AND(NOT(ISBLANK(orders_Q4[[#This Row],[return_received]])), NOT(ISBLANK(orders_Q4[[#This Row],[Del Date]]))),
   orders_Q4[[#This Row],[return_received]] - orders_Q4[[#This Row],[Del Date]],0)</f>
        <v>23</v>
      </c>
      <c r="AH124" t="str">
        <f>TEXT(orders_Q4[[#This Row],[Order Date]],"mmm-yyyy")</f>
        <v>Oct-2024</v>
      </c>
      <c r="AI124" s="1" t="str">
        <f>TEXT(orders_Q4[[#This Row],[Order Date]],"yyyy") &amp; "-" &amp; WEEKNUM(orders_Q4[[#This Row],[Order Date]])</f>
        <v>2024-44</v>
      </c>
      <c r="AJ124" t="str">
        <f>IF(orders_Q4[[#This Row],[Payment]]="COD","COD","Prepaid")</f>
        <v>Prepaid</v>
      </c>
    </row>
    <row r="125" spans="1:36" x14ac:dyDescent="0.3">
      <c r="A125" t="s">
        <v>580</v>
      </c>
      <c r="B125" s="1">
        <v>45595</v>
      </c>
      <c r="C125" t="s">
        <v>581</v>
      </c>
      <c r="D125" t="s">
        <v>25</v>
      </c>
      <c r="E125" t="s">
        <v>582</v>
      </c>
      <c r="F125" t="s">
        <v>40</v>
      </c>
      <c r="G125" t="s">
        <v>583</v>
      </c>
      <c r="H125">
        <v>6999</v>
      </c>
      <c r="I125">
        <v>1</v>
      </c>
      <c r="J125">
        <v>6999</v>
      </c>
      <c r="K125" t="s">
        <v>537</v>
      </c>
      <c r="L125">
        <v>40</v>
      </c>
      <c r="M125" t="s">
        <v>43</v>
      </c>
      <c r="N125" t="s">
        <v>65</v>
      </c>
      <c r="O125" t="s">
        <v>31</v>
      </c>
      <c r="P125" t="s">
        <v>32</v>
      </c>
      <c r="Q125" t="s">
        <v>31</v>
      </c>
      <c r="R125" s="1">
        <v>45605</v>
      </c>
      <c r="S125" t="s">
        <v>33</v>
      </c>
      <c r="T125" t="s">
        <v>46</v>
      </c>
      <c r="U125" t="s">
        <v>47</v>
      </c>
      <c r="V125" s="1">
        <v>45629</v>
      </c>
      <c r="W125" t="s">
        <v>48</v>
      </c>
      <c r="X125" t="str">
        <f>IF(OR(orders_Q4[[#This Row],[Qty]]&gt;5,orders_Q4[[#This Row],[Qty]]&lt;0),"Invalid Quantity","OK")</f>
        <v>OK</v>
      </c>
      <c r="Y125" t="b">
        <f>OR(orders_Q4[[#This Row],[Unit Price]]&gt;20000,orders_Q4[[#This Row],[Unit Price]]&lt;0,orders_Q4[[#This Row],[Unit Price]]=0)</f>
        <v>0</v>
      </c>
      <c r="Z12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5">
        <f>orders_Q4[[#This Row],[Unit Price]] * orders_Q4[[#This Row],[Qty]] * (1 - orders_Q4[[#This Row],[Disc %]]/100)</f>
        <v>4199.3999999999996</v>
      </c>
      <c r="AB125" t="str">
        <f>IF(ABS(orders_Q4[[#This Row],[Total]] - orders_Q4[[#This Row],[Calculated_order_total]]) &gt; 1, "Mismatch", "OK")</f>
        <v>Mismatch</v>
      </c>
      <c r="AC125">
        <f>COUNTIF(C:C,orders_Q4[[#This Row],[Customer ID]])</f>
        <v>1</v>
      </c>
      <c r="AD125" t="str">
        <f>IF(AND(orders_Q4[[#This Row],[Type]]="New",orders_Q4[[#This Row],[Customer_id_count]]&gt;1),"Existing customer","OK")</f>
        <v>OK</v>
      </c>
      <c r="AE125">
        <f>orders_Q4[[#This Row],[Del Date]]-orders_Q4[[#This Row],[Order Date]]</f>
        <v>10</v>
      </c>
      <c r="AF125" t="str">
        <f>IF(OR(orders_Q4[[#This Row],[Delivery_time]]&gt;30,orders_Q4[[#This Row],[Delivery_time]]&lt;0),"Invalid_delivery_time","OK")</f>
        <v>OK</v>
      </c>
      <c r="AG125" s="20">
        <f>IF(
   AND(NOT(ISBLANK(orders_Q4[[#This Row],[return_received]])), NOT(ISBLANK(orders_Q4[[#This Row],[Del Date]]))),
   orders_Q4[[#This Row],[return_received]] - orders_Q4[[#This Row],[Del Date]],0)</f>
        <v>24</v>
      </c>
      <c r="AH125" t="str">
        <f>TEXT(orders_Q4[[#This Row],[Order Date]],"mmm-yyyy")</f>
        <v>Oct-2024</v>
      </c>
      <c r="AI125" s="1" t="str">
        <f>TEXT(orders_Q4[[#This Row],[Order Date]],"yyyy") &amp; "-" &amp; WEEKNUM(orders_Q4[[#This Row],[Order Date]])</f>
        <v>2024-44</v>
      </c>
      <c r="AJ125" t="str">
        <f>IF(orders_Q4[[#This Row],[Payment]]="COD","COD","Prepaid")</f>
        <v>Prepaid</v>
      </c>
    </row>
    <row r="126" spans="1:36" x14ac:dyDescent="0.3">
      <c r="A126" t="s">
        <v>584</v>
      </c>
      <c r="B126" s="1">
        <v>45595</v>
      </c>
      <c r="C126" t="s">
        <v>585</v>
      </c>
      <c r="D126" t="s">
        <v>38</v>
      </c>
      <c r="E126" t="s">
        <v>586</v>
      </c>
      <c r="F126" t="s">
        <v>61</v>
      </c>
      <c r="G126" t="s">
        <v>587</v>
      </c>
      <c r="H126">
        <v>4999</v>
      </c>
      <c r="I126">
        <v>1</v>
      </c>
      <c r="J126">
        <v>4999</v>
      </c>
      <c r="K126" t="s">
        <v>537</v>
      </c>
      <c r="L126">
        <v>40</v>
      </c>
      <c r="M126" t="s">
        <v>64</v>
      </c>
      <c r="N126" t="s">
        <v>44</v>
      </c>
      <c r="O126" t="s">
        <v>45</v>
      </c>
      <c r="P126" t="s">
        <v>45</v>
      </c>
      <c r="Q126" t="s">
        <v>45</v>
      </c>
      <c r="R126" s="1">
        <v>45606</v>
      </c>
      <c r="S126" t="s">
        <v>33</v>
      </c>
      <c r="T126" t="s">
        <v>34</v>
      </c>
      <c r="W126" t="s">
        <v>35</v>
      </c>
      <c r="X126" t="str">
        <f>IF(OR(orders_Q4[[#This Row],[Qty]]&gt;5,orders_Q4[[#This Row],[Qty]]&lt;0),"Invalid Quantity","OK")</f>
        <v>OK</v>
      </c>
      <c r="Y126" t="b">
        <f>OR(orders_Q4[[#This Row],[Unit Price]]&gt;20000,orders_Q4[[#This Row],[Unit Price]]&lt;0,orders_Q4[[#This Row],[Unit Price]]=0)</f>
        <v>0</v>
      </c>
      <c r="Z12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6">
        <f>orders_Q4[[#This Row],[Unit Price]] * orders_Q4[[#This Row],[Qty]] * (1 - orders_Q4[[#This Row],[Disc %]]/100)</f>
        <v>2999.4</v>
      </c>
      <c r="AB126" t="str">
        <f>IF(ABS(orders_Q4[[#This Row],[Total]] - orders_Q4[[#This Row],[Calculated_order_total]]) &gt; 1, "Mismatch", "OK")</f>
        <v>Mismatch</v>
      </c>
      <c r="AC126">
        <f>COUNTIF(C:C,orders_Q4[[#This Row],[Customer ID]])</f>
        <v>1</v>
      </c>
      <c r="AD126" t="str">
        <f>IF(AND(orders_Q4[[#This Row],[Type]]="New",orders_Q4[[#This Row],[Customer_id_count]]&gt;1),"Existing customer","OK")</f>
        <v>OK</v>
      </c>
      <c r="AE126">
        <f>orders_Q4[[#This Row],[Del Date]]-orders_Q4[[#This Row],[Order Date]]</f>
        <v>11</v>
      </c>
      <c r="AF126" t="str">
        <f>IF(OR(orders_Q4[[#This Row],[Delivery_time]]&gt;30,orders_Q4[[#This Row],[Delivery_time]]&lt;0),"Invalid_delivery_time","OK")</f>
        <v>OK</v>
      </c>
      <c r="AG126" s="20">
        <f>IF(
   AND(NOT(ISBLANK(orders_Q4[[#This Row],[return_received]])), NOT(ISBLANK(orders_Q4[[#This Row],[Del Date]]))),
   orders_Q4[[#This Row],[return_received]] - orders_Q4[[#This Row],[Del Date]],0)</f>
        <v>0</v>
      </c>
      <c r="AH126" t="str">
        <f>TEXT(orders_Q4[[#This Row],[Order Date]],"mmm-yyyy")</f>
        <v>Oct-2024</v>
      </c>
      <c r="AI126" s="1" t="str">
        <f>TEXT(orders_Q4[[#This Row],[Order Date]],"yyyy") &amp; "-" &amp; WEEKNUM(orders_Q4[[#This Row],[Order Date]])</f>
        <v>2024-44</v>
      </c>
      <c r="AJ126" t="str">
        <f>IF(orders_Q4[[#This Row],[Payment]]="COD","COD","Prepaid")</f>
        <v>Prepaid</v>
      </c>
    </row>
    <row r="127" spans="1:36" x14ac:dyDescent="0.3">
      <c r="A127" t="s">
        <v>588</v>
      </c>
      <c r="B127" s="1">
        <v>45595</v>
      </c>
      <c r="C127" t="s">
        <v>589</v>
      </c>
      <c r="D127" t="s">
        <v>25</v>
      </c>
      <c r="E127" t="s">
        <v>590</v>
      </c>
      <c r="F127" t="s">
        <v>71</v>
      </c>
      <c r="G127" t="s">
        <v>591</v>
      </c>
      <c r="H127">
        <v>899</v>
      </c>
      <c r="I127">
        <v>1</v>
      </c>
      <c r="J127">
        <v>899</v>
      </c>
      <c r="K127" t="s">
        <v>537</v>
      </c>
      <c r="L127">
        <v>40</v>
      </c>
      <c r="M127" t="s">
        <v>29</v>
      </c>
      <c r="N127" t="s">
        <v>30</v>
      </c>
      <c r="O127" t="s">
        <v>592</v>
      </c>
      <c r="P127" t="s">
        <v>113</v>
      </c>
      <c r="Q127" t="s">
        <v>45</v>
      </c>
      <c r="R127" s="1">
        <v>45606</v>
      </c>
      <c r="S127" t="s">
        <v>33</v>
      </c>
      <c r="T127" t="s">
        <v>34</v>
      </c>
      <c r="W127" t="s">
        <v>35</v>
      </c>
      <c r="X127" t="str">
        <f>IF(OR(orders_Q4[[#This Row],[Qty]]&gt;5,orders_Q4[[#This Row],[Qty]]&lt;0),"Invalid Quantity","OK")</f>
        <v>OK</v>
      </c>
      <c r="Y127" t="b">
        <f>OR(orders_Q4[[#This Row],[Unit Price]]&gt;20000,orders_Q4[[#This Row],[Unit Price]]&lt;0,orders_Q4[[#This Row],[Unit Price]]=0)</f>
        <v>0</v>
      </c>
      <c r="Z12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7">
        <f>orders_Q4[[#This Row],[Unit Price]] * orders_Q4[[#This Row],[Qty]] * (1 - orders_Q4[[#This Row],[Disc %]]/100)</f>
        <v>539.4</v>
      </c>
      <c r="AB127" t="str">
        <f>IF(ABS(orders_Q4[[#This Row],[Total]] - orders_Q4[[#This Row],[Calculated_order_total]]) &gt; 1, "Mismatch", "OK")</f>
        <v>Mismatch</v>
      </c>
      <c r="AC127">
        <f>COUNTIF(C:C,orders_Q4[[#This Row],[Customer ID]])</f>
        <v>1</v>
      </c>
      <c r="AD127" t="str">
        <f>IF(AND(orders_Q4[[#This Row],[Type]]="New",orders_Q4[[#This Row],[Customer_id_count]]&gt;1),"Existing customer","OK")</f>
        <v>OK</v>
      </c>
      <c r="AE127">
        <f>orders_Q4[[#This Row],[Del Date]]-orders_Q4[[#This Row],[Order Date]]</f>
        <v>11</v>
      </c>
      <c r="AF127" t="str">
        <f>IF(OR(orders_Q4[[#This Row],[Delivery_time]]&gt;30,orders_Q4[[#This Row],[Delivery_time]]&lt;0),"Invalid_delivery_time","OK")</f>
        <v>OK</v>
      </c>
      <c r="AG127" s="20">
        <f>IF(
   AND(NOT(ISBLANK(orders_Q4[[#This Row],[return_received]])), NOT(ISBLANK(orders_Q4[[#This Row],[Del Date]]))),
   orders_Q4[[#This Row],[return_received]] - orders_Q4[[#This Row],[Del Date]],0)</f>
        <v>0</v>
      </c>
      <c r="AH127" t="str">
        <f>TEXT(orders_Q4[[#This Row],[Order Date]],"mmm-yyyy")</f>
        <v>Oct-2024</v>
      </c>
      <c r="AI127" s="1" t="str">
        <f>TEXT(orders_Q4[[#This Row],[Order Date]],"yyyy") &amp; "-" &amp; WEEKNUM(orders_Q4[[#This Row],[Order Date]])</f>
        <v>2024-44</v>
      </c>
      <c r="AJ127" t="str">
        <f>IF(orders_Q4[[#This Row],[Payment]]="COD","COD","Prepaid")</f>
        <v>Prepaid</v>
      </c>
    </row>
    <row r="128" spans="1:36" x14ac:dyDescent="0.3">
      <c r="A128" t="s">
        <v>593</v>
      </c>
      <c r="B128" s="1">
        <v>45595</v>
      </c>
      <c r="C128" t="s">
        <v>594</v>
      </c>
      <c r="D128" t="s">
        <v>25</v>
      </c>
      <c r="E128" t="s">
        <v>595</v>
      </c>
      <c r="F128" t="s">
        <v>27</v>
      </c>
      <c r="G128" t="s">
        <v>596</v>
      </c>
      <c r="H128">
        <v>3299</v>
      </c>
      <c r="I128">
        <v>1</v>
      </c>
      <c r="J128">
        <v>3299</v>
      </c>
      <c r="K128" t="s">
        <v>537</v>
      </c>
      <c r="L128">
        <v>40</v>
      </c>
      <c r="M128" t="s">
        <v>55</v>
      </c>
      <c r="N128" t="s">
        <v>65</v>
      </c>
      <c r="O128" t="s">
        <v>102</v>
      </c>
      <c r="P128" t="s">
        <v>103</v>
      </c>
      <c r="Q128" t="s">
        <v>45</v>
      </c>
      <c r="R128" s="1">
        <v>45608</v>
      </c>
      <c r="S128" t="s">
        <v>33</v>
      </c>
      <c r="T128" t="s">
        <v>46</v>
      </c>
      <c r="U128" t="s">
        <v>104</v>
      </c>
      <c r="V128" s="1">
        <v>45631</v>
      </c>
      <c r="W128" t="s">
        <v>105</v>
      </c>
      <c r="X128" t="str">
        <f>IF(OR(orders_Q4[[#This Row],[Qty]]&gt;5,orders_Q4[[#This Row],[Qty]]&lt;0),"Invalid Quantity","OK")</f>
        <v>OK</v>
      </c>
      <c r="Y128" t="b">
        <f>OR(orders_Q4[[#This Row],[Unit Price]]&gt;20000,orders_Q4[[#This Row],[Unit Price]]&lt;0,orders_Q4[[#This Row],[Unit Price]]=0)</f>
        <v>0</v>
      </c>
      <c r="Z12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8">
        <f>orders_Q4[[#This Row],[Unit Price]] * orders_Q4[[#This Row],[Qty]] * (1 - orders_Q4[[#This Row],[Disc %]]/100)</f>
        <v>1979.3999999999999</v>
      </c>
      <c r="AB128" t="str">
        <f>IF(ABS(orders_Q4[[#This Row],[Total]] - orders_Q4[[#This Row],[Calculated_order_total]]) &gt; 1, "Mismatch", "OK")</f>
        <v>Mismatch</v>
      </c>
      <c r="AC128">
        <f>COUNTIF(C:C,orders_Q4[[#This Row],[Customer ID]])</f>
        <v>1</v>
      </c>
      <c r="AD128" t="str">
        <f>IF(AND(orders_Q4[[#This Row],[Type]]="New",orders_Q4[[#This Row],[Customer_id_count]]&gt;1),"Existing customer","OK")</f>
        <v>OK</v>
      </c>
      <c r="AE128">
        <f>orders_Q4[[#This Row],[Del Date]]-orders_Q4[[#This Row],[Order Date]]</f>
        <v>13</v>
      </c>
      <c r="AF128" t="str">
        <f>IF(OR(orders_Q4[[#This Row],[Delivery_time]]&gt;30,orders_Q4[[#This Row],[Delivery_time]]&lt;0),"Invalid_delivery_time","OK")</f>
        <v>OK</v>
      </c>
      <c r="AG128" s="20">
        <f>IF(
   AND(NOT(ISBLANK(orders_Q4[[#This Row],[return_received]])), NOT(ISBLANK(orders_Q4[[#This Row],[Del Date]]))),
   orders_Q4[[#This Row],[return_received]] - orders_Q4[[#This Row],[Del Date]],0)</f>
        <v>23</v>
      </c>
      <c r="AH128" t="str">
        <f>TEXT(orders_Q4[[#This Row],[Order Date]],"mmm-yyyy")</f>
        <v>Oct-2024</v>
      </c>
      <c r="AI128" s="1" t="str">
        <f>TEXT(orders_Q4[[#This Row],[Order Date]],"yyyy") &amp; "-" &amp; WEEKNUM(orders_Q4[[#This Row],[Order Date]])</f>
        <v>2024-44</v>
      </c>
      <c r="AJ128" t="str">
        <f>IF(orders_Q4[[#This Row],[Payment]]="COD","COD","Prepaid")</f>
        <v>COD</v>
      </c>
    </row>
    <row r="129" spans="1:36" x14ac:dyDescent="0.3">
      <c r="A129" t="s">
        <v>597</v>
      </c>
      <c r="B129" s="1">
        <v>45596</v>
      </c>
      <c r="C129" t="s">
        <v>598</v>
      </c>
      <c r="D129" t="s">
        <v>25</v>
      </c>
      <c r="E129" t="s">
        <v>599</v>
      </c>
      <c r="F129" t="s">
        <v>40</v>
      </c>
      <c r="G129" t="s">
        <v>600</v>
      </c>
      <c r="H129">
        <v>7499</v>
      </c>
      <c r="I129">
        <v>1</v>
      </c>
      <c r="J129">
        <v>7499</v>
      </c>
      <c r="K129" t="s">
        <v>537</v>
      </c>
      <c r="L129">
        <v>40</v>
      </c>
      <c r="M129" t="s">
        <v>43</v>
      </c>
      <c r="N129" t="s">
        <v>30</v>
      </c>
      <c r="O129" t="s">
        <v>112</v>
      </c>
      <c r="P129" t="s">
        <v>113</v>
      </c>
      <c r="Q129" t="s">
        <v>45</v>
      </c>
      <c r="R129" s="1">
        <v>45607</v>
      </c>
      <c r="S129" t="s">
        <v>33</v>
      </c>
      <c r="T129" t="s">
        <v>46</v>
      </c>
      <c r="U129" t="s">
        <v>47</v>
      </c>
      <c r="V129" s="1">
        <v>45630</v>
      </c>
      <c r="W129" t="s">
        <v>48</v>
      </c>
      <c r="X129" t="str">
        <f>IF(OR(orders_Q4[[#This Row],[Qty]]&gt;5,orders_Q4[[#This Row],[Qty]]&lt;0),"Invalid Quantity","OK")</f>
        <v>OK</v>
      </c>
      <c r="Y129" t="b">
        <f>OR(orders_Q4[[#This Row],[Unit Price]]&gt;20000,orders_Q4[[#This Row],[Unit Price]]&lt;0,orders_Q4[[#This Row],[Unit Price]]=0)</f>
        <v>0</v>
      </c>
      <c r="Z12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29">
        <f>orders_Q4[[#This Row],[Unit Price]] * orders_Q4[[#This Row],[Qty]] * (1 - orders_Q4[[#This Row],[Disc %]]/100)</f>
        <v>4499.3999999999996</v>
      </c>
      <c r="AB129" t="str">
        <f>IF(ABS(orders_Q4[[#This Row],[Total]] - orders_Q4[[#This Row],[Calculated_order_total]]) &gt; 1, "Mismatch", "OK")</f>
        <v>Mismatch</v>
      </c>
      <c r="AC129">
        <f>COUNTIF(C:C,orders_Q4[[#This Row],[Customer ID]])</f>
        <v>1</v>
      </c>
      <c r="AD129" t="str">
        <f>IF(AND(orders_Q4[[#This Row],[Type]]="New",orders_Q4[[#This Row],[Customer_id_count]]&gt;1),"Existing customer","OK")</f>
        <v>OK</v>
      </c>
      <c r="AE129">
        <f>orders_Q4[[#This Row],[Del Date]]-orders_Q4[[#This Row],[Order Date]]</f>
        <v>11</v>
      </c>
      <c r="AF129" t="str">
        <f>IF(OR(orders_Q4[[#This Row],[Delivery_time]]&gt;30,orders_Q4[[#This Row],[Delivery_time]]&lt;0),"Invalid_delivery_time","OK")</f>
        <v>OK</v>
      </c>
      <c r="AG129" s="20">
        <f>IF(
   AND(NOT(ISBLANK(orders_Q4[[#This Row],[return_received]])), NOT(ISBLANK(orders_Q4[[#This Row],[Del Date]]))),
   orders_Q4[[#This Row],[return_received]] - orders_Q4[[#This Row],[Del Date]],0)</f>
        <v>23</v>
      </c>
      <c r="AH129" t="str">
        <f>TEXT(orders_Q4[[#This Row],[Order Date]],"mmm-yyyy")</f>
        <v>Oct-2024</v>
      </c>
      <c r="AI129" s="1" t="str">
        <f>TEXT(orders_Q4[[#This Row],[Order Date]],"yyyy") &amp; "-" &amp; WEEKNUM(orders_Q4[[#This Row],[Order Date]])</f>
        <v>2024-44</v>
      </c>
      <c r="AJ129" t="str">
        <f>IF(orders_Q4[[#This Row],[Payment]]="COD","COD","Prepaid")</f>
        <v>Prepaid</v>
      </c>
    </row>
    <row r="130" spans="1:36" x14ac:dyDescent="0.3">
      <c r="A130" t="s">
        <v>601</v>
      </c>
      <c r="B130" s="1">
        <v>45596</v>
      </c>
      <c r="C130" t="s">
        <v>602</v>
      </c>
      <c r="D130" t="s">
        <v>25</v>
      </c>
      <c r="E130" t="s">
        <v>603</v>
      </c>
      <c r="F130" t="s">
        <v>53</v>
      </c>
      <c r="G130" t="s">
        <v>604</v>
      </c>
      <c r="H130">
        <v>3299</v>
      </c>
      <c r="I130">
        <v>1</v>
      </c>
      <c r="J130">
        <v>3299</v>
      </c>
      <c r="K130" t="s">
        <v>537</v>
      </c>
      <c r="L130">
        <v>40</v>
      </c>
      <c r="M130" t="s">
        <v>29</v>
      </c>
      <c r="N130" t="s">
        <v>44</v>
      </c>
      <c r="O130" t="s">
        <v>118</v>
      </c>
      <c r="P130" t="s">
        <v>119</v>
      </c>
      <c r="Q130" t="s">
        <v>45</v>
      </c>
      <c r="R130" s="1">
        <v>45608</v>
      </c>
      <c r="S130" t="s">
        <v>33</v>
      </c>
      <c r="T130" t="s">
        <v>46</v>
      </c>
      <c r="U130" t="s">
        <v>79</v>
      </c>
      <c r="V130" s="1">
        <v>45632</v>
      </c>
      <c r="W130" t="s">
        <v>48</v>
      </c>
      <c r="X130" t="str">
        <f>IF(OR(orders_Q4[[#This Row],[Qty]]&gt;5,orders_Q4[[#This Row],[Qty]]&lt;0),"Invalid Quantity","OK")</f>
        <v>OK</v>
      </c>
      <c r="Y130" t="b">
        <f>OR(orders_Q4[[#This Row],[Unit Price]]&gt;20000,orders_Q4[[#This Row],[Unit Price]]&lt;0,orders_Q4[[#This Row],[Unit Price]]=0)</f>
        <v>0</v>
      </c>
      <c r="Z13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0">
        <f>orders_Q4[[#This Row],[Unit Price]] * orders_Q4[[#This Row],[Qty]] * (1 - orders_Q4[[#This Row],[Disc %]]/100)</f>
        <v>1979.3999999999999</v>
      </c>
      <c r="AB130" t="str">
        <f>IF(ABS(orders_Q4[[#This Row],[Total]] - orders_Q4[[#This Row],[Calculated_order_total]]) &gt; 1, "Mismatch", "OK")</f>
        <v>Mismatch</v>
      </c>
      <c r="AC130">
        <f>COUNTIF(C:C,orders_Q4[[#This Row],[Customer ID]])</f>
        <v>1</v>
      </c>
      <c r="AD130" t="str">
        <f>IF(AND(orders_Q4[[#This Row],[Type]]="New",orders_Q4[[#This Row],[Customer_id_count]]&gt;1),"Existing customer","OK")</f>
        <v>OK</v>
      </c>
      <c r="AE130">
        <f>orders_Q4[[#This Row],[Del Date]]-orders_Q4[[#This Row],[Order Date]]</f>
        <v>12</v>
      </c>
      <c r="AF130" t="str">
        <f>IF(OR(orders_Q4[[#This Row],[Delivery_time]]&gt;30,orders_Q4[[#This Row],[Delivery_time]]&lt;0),"Invalid_delivery_time","OK")</f>
        <v>OK</v>
      </c>
      <c r="AG130" s="20">
        <f>IF(
   AND(NOT(ISBLANK(orders_Q4[[#This Row],[return_received]])), NOT(ISBLANK(orders_Q4[[#This Row],[Del Date]]))),
   orders_Q4[[#This Row],[return_received]] - orders_Q4[[#This Row],[Del Date]],0)</f>
        <v>24</v>
      </c>
      <c r="AH130" t="str">
        <f>TEXT(orders_Q4[[#This Row],[Order Date]],"mmm-yyyy")</f>
        <v>Oct-2024</v>
      </c>
      <c r="AI130" s="1" t="str">
        <f>TEXT(orders_Q4[[#This Row],[Order Date]],"yyyy") &amp; "-" &amp; WEEKNUM(orders_Q4[[#This Row],[Order Date]])</f>
        <v>2024-44</v>
      </c>
      <c r="AJ130" t="str">
        <f>IF(orders_Q4[[#This Row],[Payment]]="COD","COD","Prepaid")</f>
        <v>Prepaid</v>
      </c>
    </row>
    <row r="131" spans="1:36" x14ac:dyDescent="0.3">
      <c r="A131" t="s">
        <v>605</v>
      </c>
      <c r="B131" s="1">
        <v>45596</v>
      </c>
      <c r="C131" t="s">
        <v>606</v>
      </c>
      <c r="D131" t="s">
        <v>38</v>
      </c>
      <c r="E131" t="s">
        <v>405</v>
      </c>
      <c r="F131" t="s">
        <v>61</v>
      </c>
      <c r="G131" t="s">
        <v>607</v>
      </c>
      <c r="H131">
        <v>5499</v>
      </c>
      <c r="I131">
        <v>1</v>
      </c>
      <c r="J131">
        <v>5499</v>
      </c>
      <c r="K131" t="s">
        <v>537</v>
      </c>
      <c r="L131">
        <v>40</v>
      </c>
      <c r="M131" t="s">
        <v>64</v>
      </c>
      <c r="N131" t="s">
        <v>65</v>
      </c>
      <c r="O131" t="s">
        <v>137</v>
      </c>
      <c r="P131" t="s">
        <v>113</v>
      </c>
      <c r="Q131" t="s">
        <v>45</v>
      </c>
      <c r="R131" s="1">
        <v>45609</v>
      </c>
      <c r="S131" t="s">
        <v>33</v>
      </c>
      <c r="T131" t="s">
        <v>46</v>
      </c>
      <c r="U131" t="s">
        <v>68</v>
      </c>
      <c r="V131" s="1">
        <v>45634</v>
      </c>
      <c r="W131" t="s">
        <v>48</v>
      </c>
      <c r="X131" t="str">
        <f>IF(OR(orders_Q4[[#This Row],[Qty]]&gt;5,orders_Q4[[#This Row],[Qty]]&lt;0),"Invalid Quantity","OK")</f>
        <v>OK</v>
      </c>
      <c r="Y131" t="b">
        <f>OR(orders_Q4[[#This Row],[Unit Price]]&gt;20000,orders_Q4[[#This Row],[Unit Price]]&lt;0,orders_Q4[[#This Row],[Unit Price]]=0)</f>
        <v>0</v>
      </c>
      <c r="Z13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1">
        <f>orders_Q4[[#This Row],[Unit Price]] * orders_Q4[[#This Row],[Qty]] * (1 - orders_Q4[[#This Row],[Disc %]]/100)</f>
        <v>3299.4</v>
      </c>
      <c r="AB131" t="str">
        <f>IF(ABS(orders_Q4[[#This Row],[Total]] - orders_Q4[[#This Row],[Calculated_order_total]]) &gt; 1, "Mismatch", "OK")</f>
        <v>Mismatch</v>
      </c>
      <c r="AC131">
        <f>COUNTIF(C:C,orders_Q4[[#This Row],[Customer ID]])</f>
        <v>1</v>
      </c>
      <c r="AD131" t="str">
        <f>IF(AND(orders_Q4[[#This Row],[Type]]="New",orders_Q4[[#This Row],[Customer_id_count]]&gt;1),"Existing customer","OK")</f>
        <v>OK</v>
      </c>
      <c r="AE131">
        <f>orders_Q4[[#This Row],[Del Date]]-orders_Q4[[#This Row],[Order Date]]</f>
        <v>13</v>
      </c>
      <c r="AF131" t="str">
        <f>IF(OR(orders_Q4[[#This Row],[Delivery_time]]&gt;30,orders_Q4[[#This Row],[Delivery_time]]&lt;0),"Invalid_delivery_time","OK")</f>
        <v>OK</v>
      </c>
      <c r="AG131" s="20">
        <f>IF(
   AND(NOT(ISBLANK(orders_Q4[[#This Row],[return_received]])), NOT(ISBLANK(orders_Q4[[#This Row],[Del Date]]))),
   orders_Q4[[#This Row],[return_received]] - orders_Q4[[#This Row],[Del Date]],0)</f>
        <v>25</v>
      </c>
      <c r="AH131" t="str">
        <f>TEXT(orders_Q4[[#This Row],[Order Date]],"mmm-yyyy")</f>
        <v>Oct-2024</v>
      </c>
      <c r="AI131" s="1" t="str">
        <f>TEXT(orders_Q4[[#This Row],[Order Date]],"yyyy") &amp; "-" &amp; WEEKNUM(orders_Q4[[#This Row],[Order Date]])</f>
        <v>2024-44</v>
      </c>
      <c r="AJ131" t="str">
        <f>IF(orders_Q4[[#This Row],[Payment]]="COD","COD","Prepaid")</f>
        <v>Prepaid</v>
      </c>
    </row>
    <row r="132" spans="1:36" x14ac:dyDescent="0.3">
      <c r="A132" t="s">
        <v>608</v>
      </c>
      <c r="B132" s="1">
        <v>45596</v>
      </c>
      <c r="C132" t="s">
        <v>609</v>
      </c>
      <c r="D132" t="s">
        <v>25</v>
      </c>
      <c r="E132" t="s">
        <v>610</v>
      </c>
      <c r="F132" t="s">
        <v>71</v>
      </c>
      <c r="G132" t="s">
        <v>611</v>
      </c>
      <c r="H132">
        <v>1199</v>
      </c>
      <c r="I132">
        <v>1</v>
      </c>
      <c r="J132">
        <v>1199</v>
      </c>
      <c r="K132" t="s">
        <v>537</v>
      </c>
      <c r="L132">
        <v>40</v>
      </c>
      <c r="M132" t="s">
        <v>55</v>
      </c>
      <c r="N132" t="s">
        <v>30</v>
      </c>
      <c r="O132" t="s">
        <v>143</v>
      </c>
      <c r="P132" t="s">
        <v>144</v>
      </c>
      <c r="Q132" t="s">
        <v>45</v>
      </c>
      <c r="S132" t="s">
        <v>120</v>
      </c>
      <c r="T132" t="s">
        <v>34</v>
      </c>
      <c r="W132" t="s">
        <v>35</v>
      </c>
      <c r="X132" t="str">
        <f>IF(OR(orders_Q4[[#This Row],[Qty]]&gt;5,orders_Q4[[#This Row],[Qty]]&lt;0),"Invalid Quantity","OK")</f>
        <v>OK</v>
      </c>
      <c r="Y132" t="b">
        <f>OR(orders_Q4[[#This Row],[Unit Price]]&gt;20000,orders_Q4[[#This Row],[Unit Price]]&lt;0,orders_Q4[[#This Row],[Unit Price]]=0)</f>
        <v>0</v>
      </c>
      <c r="Z13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2">
        <f>orders_Q4[[#This Row],[Unit Price]] * orders_Q4[[#This Row],[Qty]] * (1 - orders_Q4[[#This Row],[Disc %]]/100)</f>
        <v>719.4</v>
      </c>
      <c r="AB132" t="str">
        <f>IF(ABS(orders_Q4[[#This Row],[Total]] - orders_Q4[[#This Row],[Calculated_order_total]]) &gt; 1, "Mismatch", "OK")</f>
        <v>Mismatch</v>
      </c>
      <c r="AC132">
        <f>COUNTIF(C:C,orders_Q4[[#This Row],[Customer ID]])</f>
        <v>1</v>
      </c>
      <c r="AD132" t="str">
        <f>IF(AND(orders_Q4[[#This Row],[Type]]="New",orders_Q4[[#This Row],[Customer_id_count]]&gt;1),"Existing customer","OK")</f>
        <v>OK</v>
      </c>
      <c r="AE132">
        <f>orders_Q4[[#This Row],[Del Date]]-orders_Q4[[#This Row],[Order Date]]</f>
        <v>-45596</v>
      </c>
      <c r="AF132" t="str">
        <f>IF(OR(orders_Q4[[#This Row],[Delivery_time]]&gt;30,orders_Q4[[#This Row],[Delivery_time]]&lt;0),"Invalid_delivery_time","OK")</f>
        <v>Invalid_delivery_time</v>
      </c>
      <c r="AG132" s="20">
        <f>IF(
   AND(NOT(ISBLANK(orders_Q4[[#This Row],[return_received]])), NOT(ISBLANK(orders_Q4[[#This Row],[Del Date]]))),
   orders_Q4[[#This Row],[return_received]] - orders_Q4[[#This Row],[Del Date]],0)</f>
        <v>0</v>
      </c>
      <c r="AH132" t="str">
        <f>TEXT(orders_Q4[[#This Row],[Order Date]],"mmm-yyyy")</f>
        <v>Oct-2024</v>
      </c>
      <c r="AI132" s="1" t="str">
        <f>TEXT(orders_Q4[[#This Row],[Order Date]],"yyyy") &amp; "-" &amp; WEEKNUM(orders_Q4[[#This Row],[Order Date]])</f>
        <v>2024-44</v>
      </c>
      <c r="AJ132" t="str">
        <f>IF(orders_Q4[[#This Row],[Payment]]="COD","COD","Prepaid")</f>
        <v>COD</v>
      </c>
    </row>
    <row r="133" spans="1:36" x14ac:dyDescent="0.3">
      <c r="A133" t="s">
        <v>612</v>
      </c>
      <c r="B133" s="1">
        <v>45596</v>
      </c>
      <c r="C133" t="s">
        <v>613</v>
      </c>
      <c r="D133" t="s">
        <v>25</v>
      </c>
      <c r="E133" t="s">
        <v>614</v>
      </c>
      <c r="F133" t="s">
        <v>27</v>
      </c>
      <c r="G133" t="s">
        <v>615</v>
      </c>
      <c r="H133">
        <v>2799</v>
      </c>
      <c r="I133">
        <v>1</v>
      </c>
      <c r="J133">
        <v>2799</v>
      </c>
      <c r="K133" t="s">
        <v>537</v>
      </c>
      <c r="L133">
        <v>40</v>
      </c>
      <c r="M133" t="s">
        <v>111</v>
      </c>
      <c r="N133" t="s">
        <v>44</v>
      </c>
      <c r="O133" t="s">
        <v>150</v>
      </c>
      <c r="P133" t="s">
        <v>151</v>
      </c>
      <c r="Q133" t="s">
        <v>31</v>
      </c>
      <c r="R133" s="1">
        <v>45608</v>
      </c>
      <c r="S133" t="s">
        <v>33</v>
      </c>
      <c r="T133" t="s">
        <v>46</v>
      </c>
      <c r="U133" t="s">
        <v>47</v>
      </c>
      <c r="V133" s="1">
        <v>45633</v>
      </c>
      <c r="W133" t="s">
        <v>48</v>
      </c>
      <c r="X133" t="str">
        <f>IF(OR(orders_Q4[[#This Row],[Qty]]&gt;5,orders_Q4[[#This Row],[Qty]]&lt;0),"Invalid Quantity","OK")</f>
        <v>OK</v>
      </c>
      <c r="Y133" t="b">
        <f>OR(orders_Q4[[#This Row],[Unit Price]]&gt;20000,orders_Q4[[#This Row],[Unit Price]]&lt;0,orders_Q4[[#This Row],[Unit Price]]=0)</f>
        <v>0</v>
      </c>
      <c r="Z13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3">
        <f>orders_Q4[[#This Row],[Unit Price]] * orders_Q4[[#This Row],[Qty]] * (1 - orders_Q4[[#This Row],[Disc %]]/100)</f>
        <v>1679.3999999999999</v>
      </c>
      <c r="AB133" t="str">
        <f>IF(ABS(orders_Q4[[#This Row],[Total]] - orders_Q4[[#This Row],[Calculated_order_total]]) &gt; 1, "Mismatch", "OK")</f>
        <v>Mismatch</v>
      </c>
      <c r="AC133">
        <f>COUNTIF(C:C,orders_Q4[[#This Row],[Customer ID]])</f>
        <v>1</v>
      </c>
      <c r="AD133" t="str">
        <f>IF(AND(orders_Q4[[#This Row],[Type]]="New",orders_Q4[[#This Row],[Customer_id_count]]&gt;1),"Existing customer","OK")</f>
        <v>OK</v>
      </c>
      <c r="AE133">
        <f>orders_Q4[[#This Row],[Del Date]]-orders_Q4[[#This Row],[Order Date]]</f>
        <v>12</v>
      </c>
      <c r="AF133" t="str">
        <f>IF(OR(orders_Q4[[#This Row],[Delivery_time]]&gt;30,orders_Q4[[#This Row],[Delivery_time]]&lt;0),"Invalid_delivery_time","OK")</f>
        <v>OK</v>
      </c>
      <c r="AG133" s="20">
        <f>IF(
   AND(NOT(ISBLANK(orders_Q4[[#This Row],[return_received]])), NOT(ISBLANK(orders_Q4[[#This Row],[Del Date]]))),
   orders_Q4[[#This Row],[return_received]] - orders_Q4[[#This Row],[Del Date]],0)</f>
        <v>25</v>
      </c>
      <c r="AH133" t="str">
        <f>TEXT(orders_Q4[[#This Row],[Order Date]],"mmm-yyyy")</f>
        <v>Oct-2024</v>
      </c>
      <c r="AI133" s="1" t="str">
        <f>TEXT(orders_Q4[[#This Row],[Order Date]],"yyyy") &amp; "-" &amp; WEEKNUM(orders_Q4[[#This Row],[Order Date]])</f>
        <v>2024-44</v>
      </c>
      <c r="AJ133" t="str">
        <f>IF(orders_Q4[[#This Row],[Payment]]="COD","COD","Prepaid")</f>
        <v>Prepaid</v>
      </c>
    </row>
    <row r="134" spans="1:36" x14ac:dyDescent="0.3">
      <c r="A134" t="s">
        <v>616</v>
      </c>
      <c r="B134" s="1">
        <v>45597</v>
      </c>
      <c r="C134" t="s">
        <v>617</v>
      </c>
      <c r="D134" t="s">
        <v>25</v>
      </c>
      <c r="E134" t="s">
        <v>618</v>
      </c>
      <c r="F134" t="s">
        <v>40</v>
      </c>
      <c r="G134" t="s">
        <v>619</v>
      </c>
      <c r="H134">
        <v>3899</v>
      </c>
      <c r="I134">
        <v>1</v>
      </c>
      <c r="J134">
        <v>3899</v>
      </c>
      <c r="K134" t="s">
        <v>537</v>
      </c>
      <c r="L134">
        <v>40</v>
      </c>
      <c r="M134" t="s">
        <v>43</v>
      </c>
      <c r="N134" t="s">
        <v>65</v>
      </c>
      <c r="O134" t="s">
        <v>156</v>
      </c>
      <c r="P134" t="s">
        <v>97</v>
      </c>
      <c r="Q134" t="s">
        <v>31</v>
      </c>
      <c r="R134" s="1">
        <v>45606</v>
      </c>
      <c r="S134" t="s">
        <v>33</v>
      </c>
      <c r="T134" t="s">
        <v>46</v>
      </c>
      <c r="U134" t="s">
        <v>104</v>
      </c>
      <c r="V134" s="1">
        <v>45631</v>
      </c>
      <c r="W134" t="s">
        <v>48</v>
      </c>
      <c r="X134" t="str">
        <f>IF(OR(orders_Q4[[#This Row],[Qty]]&gt;5,orders_Q4[[#This Row],[Qty]]&lt;0),"Invalid Quantity","OK")</f>
        <v>OK</v>
      </c>
      <c r="Y134" t="b">
        <f>OR(orders_Q4[[#This Row],[Unit Price]]&gt;20000,orders_Q4[[#This Row],[Unit Price]]&lt;0,orders_Q4[[#This Row],[Unit Price]]=0)</f>
        <v>0</v>
      </c>
      <c r="Z13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4">
        <f>orders_Q4[[#This Row],[Unit Price]] * orders_Q4[[#This Row],[Qty]] * (1 - orders_Q4[[#This Row],[Disc %]]/100)</f>
        <v>2339.4</v>
      </c>
      <c r="AB134" t="str">
        <f>IF(ABS(orders_Q4[[#This Row],[Total]] - orders_Q4[[#This Row],[Calculated_order_total]]) &gt; 1, "Mismatch", "OK")</f>
        <v>Mismatch</v>
      </c>
      <c r="AC134">
        <f>COUNTIF(C:C,orders_Q4[[#This Row],[Customer ID]])</f>
        <v>1</v>
      </c>
      <c r="AD134" t="str">
        <f>IF(AND(orders_Q4[[#This Row],[Type]]="New",orders_Q4[[#This Row],[Customer_id_count]]&gt;1),"Existing customer","OK")</f>
        <v>OK</v>
      </c>
      <c r="AE134">
        <f>orders_Q4[[#This Row],[Del Date]]-orders_Q4[[#This Row],[Order Date]]</f>
        <v>9</v>
      </c>
      <c r="AF134" t="str">
        <f>IF(OR(orders_Q4[[#This Row],[Delivery_time]]&gt;30,orders_Q4[[#This Row],[Delivery_time]]&lt;0),"Invalid_delivery_time","OK")</f>
        <v>OK</v>
      </c>
      <c r="AG134" s="20">
        <f>IF(
   AND(NOT(ISBLANK(orders_Q4[[#This Row],[return_received]])), NOT(ISBLANK(orders_Q4[[#This Row],[Del Date]]))),
   orders_Q4[[#This Row],[return_received]] - orders_Q4[[#This Row],[Del Date]],0)</f>
        <v>25</v>
      </c>
      <c r="AH134" t="str">
        <f>TEXT(orders_Q4[[#This Row],[Order Date]],"mmm-yyyy")</f>
        <v>Nov-2024</v>
      </c>
      <c r="AI134" s="1" t="str">
        <f>TEXT(orders_Q4[[#This Row],[Order Date]],"yyyy") &amp; "-" &amp; WEEKNUM(orders_Q4[[#This Row],[Order Date]])</f>
        <v>2024-44</v>
      </c>
      <c r="AJ134" t="str">
        <f>IF(orders_Q4[[#This Row],[Payment]]="COD","COD","Prepaid")</f>
        <v>Prepaid</v>
      </c>
    </row>
    <row r="135" spans="1:36" x14ac:dyDescent="0.3">
      <c r="A135" t="s">
        <v>620</v>
      </c>
      <c r="B135" s="1">
        <v>45597</v>
      </c>
      <c r="C135" t="s">
        <v>621</v>
      </c>
      <c r="D135" t="s">
        <v>25</v>
      </c>
      <c r="E135" t="s">
        <v>622</v>
      </c>
      <c r="F135" t="s">
        <v>53</v>
      </c>
      <c r="G135" t="s">
        <v>623</v>
      </c>
      <c r="H135">
        <v>2999</v>
      </c>
      <c r="I135">
        <v>1</v>
      </c>
      <c r="J135">
        <v>2999</v>
      </c>
      <c r="K135" t="s">
        <v>537</v>
      </c>
      <c r="L135">
        <v>40</v>
      </c>
      <c r="M135" t="s">
        <v>29</v>
      </c>
      <c r="N135" t="s">
        <v>30</v>
      </c>
      <c r="O135" t="s">
        <v>161</v>
      </c>
      <c r="P135" t="s">
        <v>162</v>
      </c>
      <c r="Q135" t="s">
        <v>45</v>
      </c>
      <c r="R135" s="1">
        <v>45607</v>
      </c>
      <c r="S135" t="s">
        <v>33</v>
      </c>
      <c r="T135" t="s">
        <v>34</v>
      </c>
      <c r="W135" t="s">
        <v>35</v>
      </c>
      <c r="X135" t="str">
        <f>IF(OR(orders_Q4[[#This Row],[Qty]]&gt;5,orders_Q4[[#This Row],[Qty]]&lt;0),"Invalid Quantity","OK")</f>
        <v>OK</v>
      </c>
      <c r="Y135" t="b">
        <f>OR(orders_Q4[[#This Row],[Unit Price]]&gt;20000,orders_Q4[[#This Row],[Unit Price]]&lt;0,orders_Q4[[#This Row],[Unit Price]]=0)</f>
        <v>0</v>
      </c>
      <c r="Z13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5">
        <f>orders_Q4[[#This Row],[Unit Price]] * orders_Q4[[#This Row],[Qty]] * (1 - orders_Q4[[#This Row],[Disc %]]/100)</f>
        <v>1799.3999999999999</v>
      </c>
      <c r="AB135" t="str">
        <f>IF(ABS(orders_Q4[[#This Row],[Total]] - orders_Q4[[#This Row],[Calculated_order_total]]) &gt; 1, "Mismatch", "OK")</f>
        <v>Mismatch</v>
      </c>
      <c r="AC135">
        <f>COUNTIF(C:C,orders_Q4[[#This Row],[Customer ID]])</f>
        <v>1</v>
      </c>
      <c r="AD135" t="str">
        <f>IF(AND(orders_Q4[[#This Row],[Type]]="New",orders_Q4[[#This Row],[Customer_id_count]]&gt;1),"Existing customer","OK")</f>
        <v>OK</v>
      </c>
      <c r="AE135">
        <f>orders_Q4[[#This Row],[Del Date]]-orders_Q4[[#This Row],[Order Date]]</f>
        <v>10</v>
      </c>
      <c r="AF135" t="str">
        <f>IF(OR(orders_Q4[[#This Row],[Delivery_time]]&gt;30,orders_Q4[[#This Row],[Delivery_time]]&lt;0),"Invalid_delivery_time","OK")</f>
        <v>OK</v>
      </c>
      <c r="AG135" s="20">
        <f>IF(
   AND(NOT(ISBLANK(orders_Q4[[#This Row],[return_received]])), NOT(ISBLANK(orders_Q4[[#This Row],[Del Date]]))),
   orders_Q4[[#This Row],[return_received]] - orders_Q4[[#This Row],[Del Date]],0)</f>
        <v>0</v>
      </c>
      <c r="AH135" t="str">
        <f>TEXT(orders_Q4[[#This Row],[Order Date]],"mmm-yyyy")</f>
        <v>Nov-2024</v>
      </c>
      <c r="AI135" s="1" t="str">
        <f>TEXT(orders_Q4[[#This Row],[Order Date]],"yyyy") &amp; "-" &amp; WEEKNUM(orders_Q4[[#This Row],[Order Date]])</f>
        <v>2024-44</v>
      </c>
      <c r="AJ135" t="str">
        <f>IF(orders_Q4[[#This Row],[Payment]]="COD","COD","Prepaid")</f>
        <v>Prepaid</v>
      </c>
    </row>
    <row r="136" spans="1:36" x14ac:dyDescent="0.3">
      <c r="A136" t="s">
        <v>624</v>
      </c>
      <c r="B136" s="1">
        <v>45597</v>
      </c>
      <c r="C136" t="s">
        <v>625</v>
      </c>
      <c r="D136" t="s">
        <v>38</v>
      </c>
      <c r="E136" t="s">
        <v>626</v>
      </c>
      <c r="F136" t="s">
        <v>61</v>
      </c>
      <c r="G136" t="s">
        <v>627</v>
      </c>
      <c r="H136">
        <v>6499</v>
      </c>
      <c r="I136">
        <v>1</v>
      </c>
      <c r="J136">
        <v>6499</v>
      </c>
      <c r="K136" t="s">
        <v>537</v>
      </c>
      <c r="L136">
        <v>40</v>
      </c>
      <c r="M136" t="s">
        <v>43</v>
      </c>
      <c r="N136" t="s">
        <v>44</v>
      </c>
      <c r="O136" t="s">
        <v>167</v>
      </c>
      <c r="P136" t="s">
        <v>151</v>
      </c>
      <c r="Q136" t="s">
        <v>31</v>
      </c>
      <c r="R136" s="1">
        <v>45609</v>
      </c>
      <c r="S136" t="s">
        <v>33</v>
      </c>
      <c r="T136" t="s">
        <v>46</v>
      </c>
      <c r="U136" t="s">
        <v>47</v>
      </c>
      <c r="V136" s="1">
        <v>45636</v>
      </c>
      <c r="W136" t="s">
        <v>48</v>
      </c>
      <c r="X136" t="str">
        <f>IF(OR(orders_Q4[[#This Row],[Qty]]&gt;5,orders_Q4[[#This Row],[Qty]]&lt;0),"Invalid Quantity","OK")</f>
        <v>OK</v>
      </c>
      <c r="Y136" t="b">
        <f>OR(orders_Q4[[#This Row],[Unit Price]]&gt;20000,orders_Q4[[#This Row],[Unit Price]]&lt;0,orders_Q4[[#This Row],[Unit Price]]=0)</f>
        <v>0</v>
      </c>
      <c r="Z13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6">
        <f>orders_Q4[[#This Row],[Unit Price]] * orders_Q4[[#This Row],[Qty]] * (1 - orders_Q4[[#This Row],[Disc %]]/100)</f>
        <v>3899.3999999999996</v>
      </c>
      <c r="AB136" t="str">
        <f>IF(ABS(orders_Q4[[#This Row],[Total]] - orders_Q4[[#This Row],[Calculated_order_total]]) &gt; 1, "Mismatch", "OK")</f>
        <v>Mismatch</v>
      </c>
      <c r="AC136">
        <f>COUNTIF(C:C,orders_Q4[[#This Row],[Customer ID]])</f>
        <v>1</v>
      </c>
      <c r="AD136" t="str">
        <f>IF(AND(orders_Q4[[#This Row],[Type]]="New",orders_Q4[[#This Row],[Customer_id_count]]&gt;1),"Existing customer","OK")</f>
        <v>OK</v>
      </c>
      <c r="AE136">
        <f>orders_Q4[[#This Row],[Del Date]]-orders_Q4[[#This Row],[Order Date]]</f>
        <v>12</v>
      </c>
      <c r="AF136" t="str">
        <f>IF(OR(orders_Q4[[#This Row],[Delivery_time]]&gt;30,orders_Q4[[#This Row],[Delivery_time]]&lt;0),"Invalid_delivery_time","OK")</f>
        <v>OK</v>
      </c>
      <c r="AG136" s="20">
        <f>IF(
   AND(NOT(ISBLANK(orders_Q4[[#This Row],[return_received]])), NOT(ISBLANK(orders_Q4[[#This Row],[Del Date]]))),
   orders_Q4[[#This Row],[return_received]] - orders_Q4[[#This Row],[Del Date]],0)</f>
        <v>27</v>
      </c>
      <c r="AH136" t="str">
        <f>TEXT(orders_Q4[[#This Row],[Order Date]],"mmm-yyyy")</f>
        <v>Nov-2024</v>
      </c>
      <c r="AI136" s="1" t="str">
        <f>TEXT(orders_Q4[[#This Row],[Order Date]],"yyyy") &amp; "-" &amp; WEEKNUM(orders_Q4[[#This Row],[Order Date]])</f>
        <v>2024-44</v>
      </c>
      <c r="AJ136" t="str">
        <f>IF(orders_Q4[[#This Row],[Payment]]="COD","COD","Prepaid")</f>
        <v>Prepaid</v>
      </c>
    </row>
    <row r="137" spans="1:36" x14ac:dyDescent="0.3">
      <c r="A137" t="s">
        <v>628</v>
      </c>
      <c r="B137" s="1">
        <v>45597</v>
      </c>
      <c r="C137" t="s">
        <v>629</v>
      </c>
      <c r="D137" t="s">
        <v>25</v>
      </c>
      <c r="E137" t="s">
        <v>630</v>
      </c>
      <c r="F137" t="s">
        <v>71</v>
      </c>
      <c r="G137" t="s">
        <v>631</v>
      </c>
      <c r="H137">
        <v>999</v>
      </c>
      <c r="I137">
        <v>2</v>
      </c>
      <c r="J137">
        <v>1998</v>
      </c>
      <c r="K137" t="s">
        <v>537</v>
      </c>
      <c r="L137">
        <v>40</v>
      </c>
      <c r="M137" t="s">
        <v>64</v>
      </c>
      <c r="N137" t="s">
        <v>65</v>
      </c>
      <c r="O137" t="s">
        <v>172</v>
      </c>
      <c r="P137" t="s">
        <v>32</v>
      </c>
      <c r="Q137" t="s">
        <v>31</v>
      </c>
      <c r="R137" s="1">
        <v>45607</v>
      </c>
      <c r="S137" t="s">
        <v>33</v>
      </c>
      <c r="T137" t="s">
        <v>34</v>
      </c>
      <c r="W137" t="s">
        <v>35</v>
      </c>
      <c r="X137" t="str">
        <f>IF(OR(orders_Q4[[#This Row],[Qty]]&gt;5,orders_Q4[[#This Row],[Qty]]&lt;0),"Invalid Quantity","OK")</f>
        <v>OK</v>
      </c>
      <c r="Y137" t="b">
        <f>OR(orders_Q4[[#This Row],[Unit Price]]&gt;20000,orders_Q4[[#This Row],[Unit Price]]&lt;0,orders_Q4[[#This Row],[Unit Price]]=0)</f>
        <v>0</v>
      </c>
      <c r="Z13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7">
        <f>orders_Q4[[#This Row],[Unit Price]] * orders_Q4[[#This Row],[Qty]] * (1 - orders_Q4[[#This Row],[Disc %]]/100)</f>
        <v>1198.8</v>
      </c>
      <c r="AB137" t="str">
        <f>IF(ABS(orders_Q4[[#This Row],[Total]] - orders_Q4[[#This Row],[Calculated_order_total]]) &gt; 1, "Mismatch", "OK")</f>
        <v>Mismatch</v>
      </c>
      <c r="AC137">
        <f>COUNTIF(C:C,orders_Q4[[#This Row],[Customer ID]])</f>
        <v>1</v>
      </c>
      <c r="AD137" t="str">
        <f>IF(AND(orders_Q4[[#This Row],[Type]]="New",orders_Q4[[#This Row],[Customer_id_count]]&gt;1),"Existing customer","OK")</f>
        <v>OK</v>
      </c>
      <c r="AE137">
        <f>orders_Q4[[#This Row],[Del Date]]-orders_Q4[[#This Row],[Order Date]]</f>
        <v>10</v>
      </c>
      <c r="AF137" t="str">
        <f>IF(OR(orders_Q4[[#This Row],[Delivery_time]]&gt;30,orders_Q4[[#This Row],[Delivery_time]]&lt;0),"Invalid_delivery_time","OK")</f>
        <v>OK</v>
      </c>
      <c r="AG137" s="20">
        <f>IF(
   AND(NOT(ISBLANK(orders_Q4[[#This Row],[return_received]])), NOT(ISBLANK(orders_Q4[[#This Row],[Del Date]]))),
   orders_Q4[[#This Row],[return_received]] - orders_Q4[[#This Row],[Del Date]],0)</f>
        <v>0</v>
      </c>
      <c r="AH137" t="str">
        <f>TEXT(orders_Q4[[#This Row],[Order Date]],"mmm-yyyy")</f>
        <v>Nov-2024</v>
      </c>
      <c r="AI137" s="1" t="str">
        <f>TEXT(orders_Q4[[#This Row],[Order Date]],"yyyy") &amp; "-" &amp; WEEKNUM(orders_Q4[[#This Row],[Order Date]])</f>
        <v>2024-44</v>
      </c>
      <c r="AJ137" t="str">
        <f>IF(orders_Q4[[#This Row],[Payment]]="COD","COD","Prepaid")</f>
        <v>Prepaid</v>
      </c>
    </row>
    <row r="138" spans="1:36" x14ac:dyDescent="0.3">
      <c r="A138" t="s">
        <v>632</v>
      </c>
      <c r="B138" s="1">
        <v>45598</v>
      </c>
      <c r="C138" t="s">
        <v>633</v>
      </c>
      <c r="D138" t="s">
        <v>25</v>
      </c>
      <c r="E138" t="s">
        <v>634</v>
      </c>
      <c r="F138" t="s">
        <v>27</v>
      </c>
      <c r="G138" t="s">
        <v>635</v>
      </c>
      <c r="H138">
        <v>2499</v>
      </c>
      <c r="I138">
        <v>1</v>
      </c>
      <c r="J138">
        <v>2499</v>
      </c>
      <c r="K138" t="s">
        <v>537</v>
      </c>
      <c r="L138">
        <v>40</v>
      </c>
      <c r="M138" t="s">
        <v>55</v>
      </c>
      <c r="N138" t="s">
        <v>30</v>
      </c>
      <c r="O138" t="s">
        <v>177</v>
      </c>
      <c r="P138" t="s">
        <v>67</v>
      </c>
      <c r="Q138" t="s">
        <v>56</v>
      </c>
      <c r="R138" s="1">
        <v>45608</v>
      </c>
      <c r="S138" t="s">
        <v>33</v>
      </c>
      <c r="T138" t="s">
        <v>46</v>
      </c>
      <c r="U138" t="s">
        <v>68</v>
      </c>
      <c r="V138" s="1">
        <v>45634</v>
      </c>
      <c r="W138" t="s">
        <v>48</v>
      </c>
      <c r="X138" t="str">
        <f>IF(OR(orders_Q4[[#This Row],[Qty]]&gt;5,orders_Q4[[#This Row],[Qty]]&lt;0),"Invalid Quantity","OK")</f>
        <v>OK</v>
      </c>
      <c r="Y138" t="b">
        <f>OR(orders_Q4[[#This Row],[Unit Price]]&gt;20000,orders_Q4[[#This Row],[Unit Price]]&lt;0,orders_Q4[[#This Row],[Unit Price]]=0)</f>
        <v>0</v>
      </c>
      <c r="Z13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8">
        <f>orders_Q4[[#This Row],[Unit Price]] * orders_Q4[[#This Row],[Qty]] * (1 - orders_Q4[[#This Row],[Disc %]]/100)</f>
        <v>1499.3999999999999</v>
      </c>
      <c r="AB138" t="str">
        <f>IF(ABS(orders_Q4[[#This Row],[Total]] - orders_Q4[[#This Row],[Calculated_order_total]]) &gt; 1, "Mismatch", "OK")</f>
        <v>Mismatch</v>
      </c>
      <c r="AC138">
        <f>COUNTIF(C:C,orders_Q4[[#This Row],[Customer ID]])</f>
        <v>1</v>
      </c>
      <c r="AD138" t="str">
        <f>IF(AND(orders_Q4[[#This Row],[Type]]="New",orders_Q4[[#This Row],[Customer_id_count]]&gt;1),"Existing customer","OK")</f>
        <v>OK</v>
      </c>
      <c r="AE138">
        <f>orders_Q4[[#This Row],[Del Date]]-orders_Q4[[#This Row],[Order Date]]</f>
        <v>10</v>
      </c>
      <c r="AF138" t="str">
        <f>IF(OR(orders_Q4[[#This Row],[Delivery_time]]&gt;30,orders_Q4[[#This Row],[Delivery_time]]&lt;0),"Invalid_delivery_time","OK")</f>
        <v>OK</v>
      </c>
      <c r="AG138" s="20">
        <f>IF(
   AND(NOT(ISBLANK(orders_Q4[[#This Row],[return_received]])), NOT(ISBLANK(orders_Q4[[#This Row],[Del Date]]))),
   orders_Q4[[#This Row],[return_received]] - orders_Q4[[#This Row],[Del Date]],0)</f>
        <v>26</v>
      </c>
      <c r="AH138" t="str">
        <f>TEXT(orders_Q4[[#This Row],[Order Date]],"mmm-yyyy")</f>
        <v>Nov-2024</v>
      </c>
      <c r="AI138" s="1" t="str">
        <f>TEXT(orders_Q4[[#This Row],[Order Date]],"yyyy") &amp; "-" &amp; WEEKNUM(orders_Q4[[#This Row],[Order Date]])</f>
        <v>2024-44</v>
      </c>
      <c r="AJ138" t="str">
        <f>IF(orders_Q4[[#This Row],[Payment]]="COD","COD","Prepaid")</f>
        <v>COD</v>
      </c>
    </row>
    <row r="139" spans="1:36" x14ac:dyDescent="0.3">
      <c r="A139" t="s">
        <v>636</v>
      </c>
      <c r="B139" s="1">
        <v>45598</v>
      </c>
      <c r="C139" t="s">
        <v>637</v>
      </c>
      <c r="D139" t="s">
        <v>25</v>
      </c>
      <c r="E139" t="s">
        <v>638</v>
      </c>
      <c r="F139" t="s">
        <v>40</v>
      </c>
      <c r="G139" t="s">
        <v>639</v>
      </c>
      <c r="H139">
        <v>4599</v>
      </c>
      <c r="I139">
        <v>1</v>
      </c>
      <c r="J139">
        <v>4599</v>
      </c>
      <c r="K139" t="s">
        <v>537</v>
      </c>
      <c r="L139">
        <v>40</v>
      </c>
      <c r="M139" t="s">
        <v>29</v>
      </c>
      <c r="N139" t="s">
        <v>44</v>
      </c>
      <c r="O139" t="s">
        <v>182</v>
      </c>
      <c r="P139" t="s">
        <v>183</v>
      </c>
      <c r="Q139" t="s">
        <v>56</v>
      </c>
      <c r="R139" s="1">
        <v>45610</v>
      </c>
      <c r="S139" t="s">
        <v>33</v>
      </c>
      <c r="T139" t="s">
        <v>46</v>
      </c>
      <c r="U139" t="s">
        <v>47</v>
      </c>
      <c r="V139" s="1">
        <v>45638</v>
      </c>
      <c r="W139" t="s">
        <v>48</v>
      </c>
      <c r="X139" t="str">
        <f>IF(OR(orders_Q4[[#This Row],[Qty]]&gt;5,orders_Q4[[#This Row],[Qty]]&lt;0),"Invalid Quantity","OK")</f>
        <v>OK</v>
      </c>
      <c r="Y139" t="b">
        <f>OR(orders_Q4[[#This Row],[Unit Price]]&gt;20000,orders_Q4[[#This Row],[Unit Price]]&lt;0,orders_Q4[[#This Row],[Unit Price]]=0)</f>
        <v>0</v>
      </c>
      <c r="Z13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39">
        <f>orders_Q4[[#This Row],[Unit Price]] * orders_Q4[[#This Row],[Qty]] * (1 - orders_Q4[[#This Row],[Disc %]]/100)</f>
        <v>2759.4</v>
      </c>
      <c r="AB139" t="str">
        <f>IF(ABS(orders_Q4[[#This Row],[Total]] - orders_Q4[[#This Row],[Calculated_order_total]]) &gt; 1, "Mismatch", "OK")</f>
        <v>Mismatch</v>
      </c>
      <c r="AC139">
        <f>COUNTIF(C:C,orders_Q4[[#This Row],[Customer ID]])</f>
        <v>1</v>
      </c>
      <c r="AD139" t="str">
        <f>IF(AND(orders_Q4[[#This Row],[Type]]="New",orders_Q4[[#This Row],[Customer_id_count]]&gt;1),"Existing customer","OK")</f>
        <v>OK</v>
      </c>
      <c r="AE139">
        <f>orders_Q4[[#This Row],[Del Date]]-orders_Q4[[#This Row],[Order Date]]</f>
        <v>12</v>
      </c>
      <c r="AF139" t="str">
        <f>IF(OR(orders_Q4[[#This Row],[Delivery_time]]&gt;30,orders_Q4[[#This Row],[Delivery_time]]&lt;0),"Invalid_delivery_time","OK")</f>
        <v>OK</v>
      </c>
      <c r="AG139" s="20">
        <f>IF(
   AND(NOT(ISBLANK(orders_Q4[[#This Row],[return_received]])), NOT(ISBLANK(orders_Q4[[#This Row],[Del Date]]))),
   orders_Q4[[#This Row],[return_received]] - orders_Q4[[#This Row],[Del Date]],0)</f>
        <v>28</v>
      </c>
      <c r="AH139" t="str">
        <f>TEXT(orders_Q4[[#This Row],[Order Date]],"mmm-yyyy")</f>
        <v>Nov-2024</v>
      </c>
      <c r="AI139" s="1" t="str">
        <f>TEXT(orders_Q4[[#This Row],[Order Date]],"yyyy") &amp; "-" &amp; WEEKNUM(orders_Q4[[#This Row],[Order Date]])</f>
        <v>2024-44</v>
      </c>
      <c r="AJ139" t="str">
        <f>IF(orders_Q4[[#This Row],[Payment]]="COD","COD","Prepaid")</f>
        <v>Prepaid</v>
      </c>
    </row>
    <row r="140" spans="1:36" x14ac:dyDescent="0.3">
      <c r="A140" t="s">
        <v>640</v>
      </c>
      <c r="B140" s="1">
        <v>45598</v>
      </c>
      <c r="C140" t="s">
        <v>641</v>
      </c>
      <c r="D140" t="s">
        <v>25</v>
      </c>
      <c r="E140" t="s">
        <v>642</v>
      </c>
      <c r="F140" t="s">
        <v>53</v>
      </c>
      <c r="G140" t="s">
        <v>643</v>
      </c>
      <c r="H140">
        <v>1799</v>
      </c>
      <c r="I140">
        <v>1</v>
      </c>
      <c r="J140">
        <v>1799</v>
      </c>
      <c r="K140" t="s">
        <v>537</v>
      </c>
      <c r="L140">
        <v>40</v>
      </c>
      <c r="M140" t="s">
        <v>43</v>
      </c>
      <c r="N140" t="s">
        <v>65</v>
      </c>
      <c r="O140" t="s">
        <v>188</v>
      </c>
      <c r="P140" t="s">
        <v>189</v>
      </c>
      <c r="Q140" t="s">
        <v>56</v>
      </c>
      <c r="R140" s="1">
        <v>45609</v>
      </c>
      <c r="S140" t="s">
        <v>33</v>
      </c>
      <c r="T140" t="s">
        <v>34</v>
      </c>
      <c r="W140" t="s">
        <v>35</v>
      </c>
      <c r="X140" t="str">
        <f>IF(OR(orders_Q4[[#This Row],[Qty]]&gt;5,orders_Q4[[#This Row],[Qty]]&lt;0),"Invalid Quantity","OK")</f>
        <v>OK</v>
      </c>
      <c r="Y140" t="b">
        <f>OR(orders_Q4[[#This Row],[Unit Price]]&gt;20000,orders_Q4[[#This Row],[Unit Price]]&lt;0,orders_Q4[[#This Row],[Unit Price]]=0)</f>
        <v>0</v>
      </c>
      <c r="Z14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0">
        <f>orders_Q4[[#This Row],[Unit Price]] * orders_Q4[[#This Row],[Qty]] * (1 - orders_Q4[[#This Row],[Disc %]]/100)</f>
        <v>1079.3999999999999</v>
      </c>
      <c r="AB140" t="str">
        <f>IF(ABS(orders_Q4[[#This Row],[Total]] - orders_Q4[[#This Row],[Calculated_order_total]]) &gt; 1, "Mismatch", "OK")</f>
        <v>Mismatch</v>
      </c>
      <c r="AC140">
        <f>COUNTIF(C:C,orders_Q4[[#This Row],[Customer ID]])</f>
        <v>1</v>
      </c>
      <c r="AD140" t="str">
        <f>IF(AND(orders_Q4[[#This Row],[Type]]="New",orders_Q4[[#This Row],[Customer_id_count]]&gt;1),"Existing customer","OK")</f>
        <v>OK</v>
      </c>
      <c r="AE140">
        <f>orders_Q4[[#This Row],[Del Date]]-orders_Q4[[#This Row],[Order Date]]</f>
        <v>11</v>
      </c>
      <c r="AF140" t="str">
        <f>IF(OR(orders_Q4[[#This Row],[Delivery_time]]&gt;30,orders_Q4[[#This Row],[Delivery_time]]&lt;0),"Invalid_delivery_time","OK")</f>
        <v>OK</v>
      </c>
      <c r="AG140" s="20">
        <f>IF(
   AND(NOT(ISBLANK(orders_Q4[[#This Row],[return_received]])), NOT(ISBLANK(orders_Q4[[#This Row],[Del Date]]))),
   orders_Q4[[#This Row],[return_received]] - orders_Q4[[#This Row],[Del Date]],0)</f>
        <v>0</v>
      </c>
      <c r="AH140" t="str">
        <f>TEXT(orders_Q4[[#This Row],[Order Date]],"mmm-yyyy")</f>
        <v>Nov-2024</v>
      </c>
      <c r="AI140" s="1" t="str">
        <f>TEXT(orders_Q4[[#This Row],[Order Date]],"yyyy") &amp; "-" &amp; WEEKNUM(orders_Q4[[#This Row],[Order Date]])</f>
        <v>2024-44</v>
      </c>
      <c r="AJ140" t="str">
        <f>IF(orders_Q4[[#This Row],[Payment]]="COD","COD","Prepaid")</f>
        <v>Prepaid</v>
      </c>
    </row>
    <row r="141" spans="1:36" x14ac:dyDescent="0.3">
      <c r="A141" t="s">
        <v>644</v>
      </c>
      <c r="B141" s="1">
        <v>45598</v>
      </c>
      <c r="C141" t="s">
        <v>645</v>
      </c>
      <c r="D141" t="s">
        <v>38</v>
      </c>
      <c r="E141" t="s">
        <v>646</v>
      </c>
      <c r="F141" t="s">
        <v>61</v>
      </c>
      <c r="G141" t="s">
        <v>647</v>
      </c>
      <c r="H141">
        <v>7999</v>
      </c>
      <c r="I141">
        <v>1</v>
      </c>
      <c r="J141">
        <v>7999</v>
      </c>
      <c r="K141" t="s">
        <v>537</v>
      </c>
      <c r="L141">
        <v>40</v>
      </c>
      <c r="M141" t="s">
        <v>111</v>
      </c>
      <c r="N141" t="s">
        <v>30</v>
      </c>
      <c r="O141" t="s">
        <v>194</v>
      </c>
      <c r="P141" t="s">
        <v>183</v>
      </c>
      <c r="Q141" t="s">
        <v>56</v>
      </c>
      <c r="R141" s="1">
        <v>45611</v>
      </c>
      <c r="S141" t="s">
        <v>33</v>
      </c>
      <c r="T141" t="s">
        <v>46</v>
      </c>
      <c r="U141" t="s">
        <v>79</v>
      </c>
      <c r="V141" s="1">
        <v>45640</v>
      </c>
      <c r="W141" t="s">
        <v>48</v>
      </c>
      <c r="X141" t="str">
        <f>IF(OR(orders_Q4[[#This Row],[Qty]]&gt;5,orders_Q4[[#This Row],[Qty]]&lt;0),"Invalid Quantity","OK")</f>
        <v>OK</v>
      </c>
      <c r="Y141" t="b">
        <f>OR(orders_Q4[[#This Row],[Unit Price]]&gt;20000,orders_Q4[[#This Row],[Unit Price]]&lt;0,orders_Q4[[#This Row],[Unit Price]]=0)</f>
        <v>0</v>
      </c>
      <c r="Z14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1">
        <f>orders_Q4[[#This Row],[Unit Price]] * orders_Q4[[#This Row],[Qty]] * (1 - orders_Q4[[#This Row],[Disc %]]/100)</f>
        <v>4799.3999999999996</v>
      </c>
      <c r="AB141" t="str">
        <f>IF(ABS(orders_Q4[[#This Row],[Total]] - orders_Q4[[#This Row],[Calculated_order_total]]) &gt; 1, "Mismatch", "OK")</f>
        <v>Mismatch</v>
      </c>
      <c r="AC141">
        <f>COUNTIF(C:C,orders_Q4[[#This Row],[Customer ID]])</f>
        <v>1</v>
      </c>
      <c r="AD141" t="str">
        <f>IF(AND(orders_Q4[[#This Row],[Type]]="New",orders_Q4[[#This Row],[Customer_id_count]]&gt;1),"Existing customer","OK")</f>
        <v>OK</v>
      </c>
      <c r="AE141">
        <f>orders_Q4[[#This Row],[Del Date]]-orders_Q4[[#This Row],[Order Date]]</f>
        <v>13</v>
      </c>
      <c r="AF141" t="str">
        <f>IF(OR(orders_Q4[[#This Row],[Delivery_time]]&gt;30,orders_Q4[[#This Row],[Delivery_time]]&lt;0),"Invalid_delivery_time","OK")</f>
        <v>OK</v>
      </c>
      <c r="AG141" s="20">
        <f>IF(
   AND(NOT(ISBLANK(orders_Q4[[#This Row],[return_received]])), NOT(ISBLANK(orders_Q4[[#This Row],[Del Date]]))),
   orders_Q4[[#This Row],[return_received]] - orders_Q4[[#This Row],[Del Date]],0)</f>
        <v>29</v>
      </c>
      <c r="AH141" t="str">
        <f>TEXT(orders_Q4[[#This Row],[Order Date]],"mmm-yyyy")</f>
        <v>Nov-2024</v>
      </c>
      <c r="AI141" s="1" t="str">
        <f>TEXT(orders_Q4[[#This Row],[Order Date]],"yyyy") &amp; "-" &amp; WEEKNUM(orders_Q4[[#This Row],[Order Date]])</f>
        <v>2024-44</v>
      </c>
      <c r="AJ141" t="str">
        <f>IF(orders_Q4[[#This Row],[Payment]]="COD","COD","Prepaid")</f>
        <v>Prepaid</v>
      </c>
    </row>
    <row r="142" spans="1:36" x14ac:dyDescent="0.3">
      <c r="A142" t="s">
        <v>648</v>
      </c>
      <c r="B142" s="1">
        <v>45599</v>
      </c>
      <c r="C142" t="s">
        <v>649</v>
      </c>
      <c r="D142" t="s">
        <v>25</v>
      </c>
      <c r="E142" t="s">
        <v>650</v>
      </c>
      <c r="F142" t="s">
        <v>71</v>
      </c>
      <c r="G142" t="s">
        <v>651</v>
      </c>
      <c r="H142">
        <v>2499</v>
      </c>
      <c r="I142">
        <v>1</v>
      </c>
      <c r="J142">
        <v>2499</v>
      </c>
      <c r="K142" t="s">
        <v>537</v>
      </c>
      <c r="L142">
        <v>40</v>
      </c>
      <c r="M142" t="s">
        <v>64</v>
      </c>
      <c r="N142" t="s">
        <v>44</v>
      </c>
      <c r="O142" t="s">
        <v>199</v>
      </c>
      <c r="P142" t="s">
        <v>57</v>
      </c>
      <c r="Q142" t="s">
        <v>56</v>
      </c>
      <c r="R142" s="1">
        <v>45610</v>
      </c>
      <c r="S142" t="s">
        <v>33</v>
      </c>
      <c r="T142" t="s">
        <v>46</v>
      </c>
      <c r="U142" t="s">
        <v>138</v>
      </c>
      <c r="V142" s="1">
        <v>45638</v>
      </c>
      <c r="W142" t="s">
        <v>48</v>
      </c>
      <c r="X142" t="str">
        <f>IF(OR(orders_Q4[[#This Row],[Qty]]&gt;5,orders_Q4[[#This Row],[Qty]]&lt;0),"Invalid Quantity","OK")</f>
        <v>OK</v>
      </c>
      <c r="Y142" t="b">
        <f>OR(orders_Q4[[#This Row],[Unit Price]]&gt;20000,orders_Q4[[#This Row],[Unit Price]]&lt;0,orders_Q4[[#This Row],[Unit Price]]=0)</f>
        <v>0</v>
      </c>
      <c r="Z14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2">
        <f>orders_Q4[[#This Row],[Unit Price]] * orders_Q4[[#This Row],[Qty]] * (1 - orders_Q4[[#This Row],[Disc %]]/100)</f>
        <v>1499.3999999999999</v>
      </c>
      <c r="AB142" t="str">
        <f>IF(ABS(orders_Q4[[#This Row],[Total]] - orders_Q4[[#This Row],[Calculated_order_total]]) &gt; 1, "Mismatch", "OK")</f>
        <v>Mismatch</v>
      </c>
      <c r="AC142">
        <f>COUNTIF(C:C,orders_Q4[[#This Row],[Customer ID]])</f>
        <v>1</v>
      </c>
      <c r="AD142" t="str">
        <f>IF(AND(orders_Q4[[#This Row],[Type]]="New",orders_Q4[[#This Row],[Customer_id_count]]&gt;1),"Existing customer","OK")</f>
        <v>OK</v>
      </c>
      <c r="AE142">
        <f>orders_Q4[[#This Row],[Del Date]]-orders_Q4[[#This Row],[Order Date]]</f>
        <v>11</v>
      </c>
      <c r="AF142" t="str">
        <f>IF(OR(orders_Q4[[#This Row],[Delivery_time]]&gt;30,orders_Q4[[#This Row],[Delivery_time]]&lt;0),"Invalid_delivery_time","OK")</f>
        <v>OK</v>
      </c>
      <c r="AG142" s="20">
        <f>IF(
   AND(NOT(ISBLANK(orders_Q4[[#This Row],[return_received]])), NOT(ISBLANK(orders_Q4[[#This Row],[Del Date]]))),
   orders_Q4[[#This Row],[return_received]] - orders_Q4[[#This Row],[Del Date]],0)</f>
        <v>28</v>
      </c>
      <c r="AH142" t="str">
        <f>TEXT(orders_Q4[[#This Row],[Order Date]],"mmm-yyyy")</f>
        <v>Nov-2024</v>
      </c>
      <c r="AI142" s="1" t="str">
        <f>TEXT(orders_Q4[[#This Row],[Order Date]],"yyyy") &amp; "-" &amp; WEEKNUM(orders_Q4[[#This Row],[Order Date]])</f>
        <v>2024-45</v>
      </c>
      <c r="AJ142" t="str">
        <f>IF(orders_Q4[[#This Row],[Payment]]="COD","COD","Prepaid")</f>
        <v>Prepaid</v>
      </c>
    </row>
    <row r="143" spans="1:36" x14ac:dyDescent="0.3">
      <c r="A143" t="s">
        <v>652</v>
      </c>
      <c r="B143" s="1">
        <v>45599</v>
      </c>
      <c r="C143" t="s">
        <v>653</v>
      </c>
      <c r="D143" t="s">
        <v>25</v>
      </c>
      <c r="E143" t="s">
        <v>654</v>
      </c>
      <c r="F143" t="s">
        <v>27</v>
      </c>
      <c r="G143" t="s">
        <v>655</v>
      </c>
      <c r="H143">
        <v>2299</v>
      </c>
      <c r="I143">
        <v>1</v>
      </c>
      <c r="J143">
        <v>2299</v>
      </c>
      <c r="K143" t="s">
        <v>537</v>
      </c>
      <c r="L143">
        <v>40</v>
      </c>
      <c r="M143" t="s">
        <v>29</v>
      </c>
      <c r="N143" t="s">
        <v>65</v>
      </c>
      <c r="O143" t="s">
        <v>204</v>
      </c>
      <c r="P143" t="s">
        <v>97</v>
      </c>
      <c r="Q143" t="s">
        <v>31</v>
      </c>
      <c r="R143" s="1">
        <v>45611</v>
      </c>
      <c r="S143" t="s">
        <v>33</v>
      </c>
      <c r="T143" t="s">
        <v>46</v>
      </c>
      <c r="U143" t="s">
        <v>47</v>
      </c>
      <c r="V143" s="1">
        <v>45639</v>
      </c>
      <c r="W143" t="s">
        <v>48</v>
      </c>
      <c r="X143" t="str">
        <f>IF(OR(orders_Q4[[#This Row],[Qty]]&gt;5,orders_Q4[[#This Row],[Qty]]&lt;0),"Invalid Quantity","OK")</f>
        <v>OK</v>
      </c>
      <c r="Y143" t="b">
        <f>OR(orders_Q4[[#This Row],[Unit Price]]&gt;20000,orders_Q4[[#This Row],[Unit Price]]&lt;0,orders_Q4[[#This Row],[Unit Price]]=0)</f>
        <v>0</v>
      </c>
      <c r="Z14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3">
        <f>orders_Q4[[#This Row],[Unit Price]] * orders_Q4[[#This Row],[Qty]] * (1 - orders_Q4[[#This Row],[Disc %]]/100)</f>
        <v>1379.3999999999999</v>
      </c>
      <c r="AB143" t="str">
        <f>IF(ABS(orders_Q4[[#This Row],[Total]] - orders_Q4[[#This Row],[Calculated_order_total]]) &gt; 1, "Mismatch", "OK")</f>
        <v>Mismatch</v>
      </c>
      <c r="AC143">
        <f>COUNTIF(C:C,orders_Q4[[#This Row],[Customer ID]])</f>
        <v>1</v>
      </c>
      <c r="AD143" t="str">
        <f>IF(AND(orders_Q4[[#This Row],[Type]]="New",orders_Q4[[#This Row],[Customer_id_count]]&gt;1),"Existing customer","OK")</f>
        <v>OK</v>
      </c>
      <c r="AE143">
        <f>orders_Q4[[#This Row],[Del Date]]-orders_Q4[[#This Row],[Order Date]]</f>
        <v>12</v>
      </c>
      <c r="AF143" t="str">
        <f>IF(OR(orders_Q4[[#This Row],[Delivery_time]]&gt;30,orders_Q4[[#This Row],[Delivery_time]]&lt;0),"Invalid_delivery_time","OK")</f>
        <v>OK</v>
      </c>
      <c r="AG143" s="20">
        <f>IF(
   AND(NOT(ISBLANK(orders_Q4[[#This Row],[return_received]])), NOT(ISBLANK(orders_Q4[[#This Row],[Del Date]]))),
   orders_Q4[[#This Row],[return_received]] - orders_Q4[[#This Row],[Del Date]],0)</f>
        <v>28</v>
      </c>
      <c r="AH143" t="str">
        <f>TEXT(orders_Q4[[#This Row],[Order Date]],"mmm-yyyy")</f>
        <v>Nov-2024</v>
      </c>
      <c r="AI143" s="1" t="str">
        <f>TEXT(orders_Q4[[#This Row],[Order Date]],"yyyy") &amp; "-" &amp; WEEKNUM(orders_Q4[[#This Row],[Order Date]])</f>
        <v>2024-45</v>
      </c>
      <c r="AJ143" t="str">
        <f>IF(orders_Q4[[#This Row],[Payment]]="COD","COD","Prepaid")</f>
        <v>Prepaid</v>
      </c>
    </row>
    <row r="144" spans="1:36" x14ac:dyDescent="0.3">
      <c r="A144" t="s">
        <v>656</v>
      </c>
      <c r="B144" s="1">
        <v>45599</v>
      </c>
      <c r="C144" t="s">
        <v>657</v>
      </c>
      <c r="D144" t="s">
        <v>25</v>
      </c>
      <c r="E144" t="s">
        <v>476</v>
      </c>
      <c r="F144" t="s">
        <v>40</v>
      </c>
      <c r="G144" t="s">
        <v>658</v>
      </c>
      <c r="H144">
        <v>5999</v>
      </c>
      <c r="I144">
        <v>1</v>
      </c>
      <c r="J144">
        <v>5999</v>
      </c>
      <c r="K144" t="s">
        <v>537</v>
      </c>
      <c r="L144">
        <v>40</v>
      </c>
      <c r="M144" t="s">
        <v>43</v>
      </c>
      <c r="N144" t="s">
        <v>30</v>
      </c>
      <c r="O144" t="s">
        <v>209</v>
      </c>
      <c r="P144" t="s">
        <v>97</v>
      </c>
      <c r="Q144" t="s">
        <v>31</v>
      </c>
      <c r="R144" s="1">
        <v>45612</v>
      </c>
      <c r="S144" t="s">
        <v>33</v>
      </c>
      <c r="T144" t="s">
        <v>46</v>
      </c>
      <c r="U144" t="s">
        <v>104</v>
      </c>
      <c r="V144" s="1">
        <v>45641</v>
      </c>
      <c r="W144" t="s">
        <v>48</v>
      </c>
      <c r="X144" t="str">
        <f>IF(OR(orders_Q4[[#This Row],[Qty]]&gt;5,orders_Q4[[#This Row],[Qty]]&lt;0),"Invalid Quantity","OK")</f>
        <v>OK</v>
      </c>
      <c r="Y144" t="b">
        <f>OR(orders_Q4[[#This Row],[Unit Price]]&gt;20000,orders_Q4[[#This Row],[Unit Price]]&lt;0,orders_Q4[[#This Row],[Unit Price]]=0)</f>
        <v>0</v>
      </c>
      <c r="Z14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4">
        <f>orders_Q4[[#This Row],[Unit Price]] * orders_Q4[[#This Row],[Qty]] * (1 - orders_Q4[[#This Row],[Disc %]]/100)</f>
        <v>3599.4</v>
      </c>
      <c r="AB144" t="str">
        <f>IF(ABS(orders_Q4[[#This Row],[Total]] - orders_Q4[[#This Row],[Calculated_order_total]]) &gt; 1, "Mismatch", "OK")</f>
        <v>Mismatch</v>
      </c>
      <c r="AC144">
        <f>COUNTIF(C:C,orders_Q4[[#This Row],[Customer ID]])</f>
        <v>1</v>
      </c>
      <c r="AD144" t="str">
        <f>IF(AND(orders_Q4[[#This Row],[Type]]="New",orders_Q4[[#This Row],[Customer_id_count]]&gt;1),"Existing customer","OK")</f>
        <v>OK</v>
      </c>
      <c r="AE144">
        <f>orders_Q4[[#This Row],[Del Date]]-orders_Q4[[#This Row],[Order Date]]</f>
        <v>13</v>
      </c>
      <c r="AF144" t="str">
        <f>IF(OR(orders_Q4[[#This Row],[Delivery_time]]&gt;30,orders_Q4[[#This Row],[Delivery_time]]&lt;0),"Invalid_delivery_time","OK")</f>
        <v>OK</v>
      </c>
      <c r="AG144" s="20">
        <f>IF(
   AND(NOT(ISBLANK(orders_Q4[[#This Row],[return_received]])), NOT(ISBLANK(orders_Q4[[#This Row],[Del Date]]))),
   orders_Q4[[#This Row],[return_received]] - orders_Q4[[#This Row],[Del Date]],0)</f>
        <v>29</v>
      </c>
      <c r="AH144" t="str">
        <f>TEXT(orders_Q4[[#This Row],[Order Date]],"mmm-yyyy")</f>
        <v>Nov-2024</v>
      </c>
      <c r="AI144" s="1" t="str">
        <f>TEXT(orders_Q4[[#This Row],[Order Date]],"yyyy") &amp; "-" &amp; WEEKNUM(orders_Q4[[#This Row],[Order Date]])</f>
        <v>2024-45</v>
      </c>
      <c r="AJ144" t="str">
        <f>IF(orders_Q4[[#This Row],[Payment]]="COD","COD","Prepaid")</f>
        <v>Prepaid</v>
      </c>
    </row>
    <row r="145" spans="1:36" x14ac:dyDescent="0.3">
      <c r="A145" t="s">
        <v>659</v>
      </c>
      <c r="B145" s="1">
        <v>45599</v>
      </c>
      <c r="C145" t="s">
        <v>660</v>
      </c>
      <c r="D145" t="s">
        <v>38</v>
      </c>
      <c r="E145" t="s">
        <v>661</v>
      </c>
      <c r="F145" t="s">
        <v>53</v>
      </c>
      <c r="G145" t="s">
        <v>662</v>
      </c>
      <c r="H145">
        <v>2599</v>
      </c>
      <c r="I145">
        <v>1</v>
      </c>
      <c r="J145">
        <v>2599</v>
      </c>
      <c r="K145" t="s">
        <v>537</v>
      </c>
      <c r="L145">
        <v>40</v>
      </c>
      <c r="M145" t="s">
        <v>55</v>
      </c>
      <c r="N145" t="s">
        <v>44</v>
      </c>
      <c r="O145" t="s">
        <v>214</v>
      </c>
      <c r="P145" t="s">
        <v>113</v>
      </c>
      <c r="Q145" t="s">
        <v>45</v>
      </c>
      <c r="R145" s="1">
        <v>45611</v>
      </c>
      <c r="S145" t="s">
        <v>33</v>
      </c>
      <c r="T145" t="s">
        <v>34</v>
      </c>
      <c r="W145" t="s">
        <v>35</v>
      </c>
      <c r="X145" t="str">
        <f>IF(OR(orders_Q4[[#This Row],[Qty]]&gt;5,orders_Q4[[#This Row],[Qty]]&lt;0),"Invalid Quantity","OK")</f>
        <v>OK</v>
      </c>
      <c r="Y145" t="b">
        <f>OR(orders_Q4[[#This Row],[Unit Price]]&gt;20000,orders_Q4[[#This Row],[Unit Price]]&lt;0,orders_Q4[[#This Row],[Unit Price]]=0)</f>
        <v>0</v>
      </c>
      <c r="Z14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5">
        <f>orders_Q4[[#This Row],[Unit Price]] * orders_Q4[[#This Row],[Qty]] * (1 - orders_Q4[[#This Row],[Disc %]]/100)</f>
        <v>1559.3999999999999</v>
      </c>
      <c r="AB145" t="str">
        <f>IF(ABS(orders_Q4[[#This Row],[Total]] - orders_Q4[[#This Row],[Calculated_order_total]]) &gt; 1, "Mismatch", "OK")</f>
        <v>Mismatch</v>
      </c>
      <c r="AC145">
        <f>COUNTIF(C:C,orders_Q4[[#This Row],[Customer ID]])</f>
        <v>1</v>
      </c>
      <c r="AD145" t="str">
        <f>IF(AND(orders_Q4[[#This Row],[Type]]="New",orders_Q4[[#This Row],[Customer_id_count]]&gt;1),"Existing customer","OK")</f>
        <v>OK</v>
      </c>
      <c r="AE145">
        <f>orders_Q4[[#This Row],[Del Date]]-orders_Q4[[#This Row],[Order Date]]</f>
        <v>12</v>
      </c>
      <c r="AF145" t="str">
        <f>IF(OR(orders_Q4[[#This Row],[Delivery_time]]&gt;30,orders_Q4[[#This Row],[Delivery_time]]&lt;0),"Invalid_delivery_time","OK")</f>
        <v>OK</v>
      </c>
      <c r="AG145" s="20">
        <f>IF(
   AND(NOT(ISBLANK(orders_Q4[[#This Row],[return_received]])), NOT(ISBLANK(orders_Q4[[#This Row],[Del Date]]))),
   orders_Q4[[#This Row],[return_received]] - orders_Q4[[#This Row],[Del Date]],0)</f>
        <v>0</v>
      </c>
      <c r="AH145" t="str">
        <f>TEXT(orders_Q4[[#This Row],[Order Date]],"mmm-yyyy")</f>
        <v>Nov-2024</v>
      </c>
      <c r="AI145" s="1" t="str">
        <f>TEXT(orders_Q4[[#This Row],[Order Date]],"yyyy") &amp; "-" &amp; WEEKNUM(orders_Q4[[#This Row],[Order Date]])</f>
        <v>2024-45</v>
      </c>
      <c r="AJ145" t="str">
        <f>IF(orders_Q4[[#This Row],[Payment]]="COD","COD","Prepaid")</f>
        <v>COD</v>
      </c>
    </row>
    <row r="146" spans="1:36" x14ac:dyDescent="0.3">
      <c r="A146" t="s">
        <v>663</v>
      </c>
      <c r="B146" s="1">
        <v>45600</v>
      </c>
      <c r="C146" t="s">
        <v>664</v>
      </c>
      <c r="D146" t="s">
        <v>25</v>
      </c>
      <c r="E146" t="s">
        <v>665</v>
      </c>
      <c r="F146" t="s">
        <v>61</v>
      </c>
      <c r="G146" t="s">
        <v>666</v>
      </c>
      <c r="H146">
        <v>4299</v>
      </c>
      <c r="I146">
        <v>1</v>
      </c>
      <c r="J146">
        <v>4299</v>
      </c>
      <c r="K146" t="s">
        <v>537</v>
      </c>
      <c r="L146">
        <v>40</v>
      </c>
      <c r="M146" t="s">
        <v>43</v>
      </c>
      <c r="N146" t="s">
        <v>65</v>
      </c>
      <c r="O146" t="s">
        <v>31</v>
      </c>
      <c r="P146" t="s">
        <v>32</v>
      </c>
      <c r="Q146" t="s">
        <v>31</v>
      </c>
      <c r="R146" s="1">
        <v>45613</v>
      </c>
      <c r="S146" t="s">
        <v>33</v>
      </c>
      <c r="T146" t="s">
        <v>46</v>
      </c>
      <c r="U146" t="s">
        <v>68</v>
      </c>
      <c r="V146" s="1">
        <v>45642</v>
      </c>
      <c r="W146" t="s">
        <v>48</v>
      </c>
      <c r="X146" t="str">
        <f>IF(OR(orders_Q4[[#This Row],[Qty]]&gt;5,orders_Q4[[#This Row],[Qty]]&lt;0),"Invalid Quantity","OK")</f>
        <v>OK</v>
      </c>
      <c r="Y146" t="b">
        <f>OR(orders_Q4[[#This Row],[Unit Price]]&gt;20000,orders_Q4[[#This Row],[Unit Price]]&lt;0,orders_Q4[[#This Row],[Unit Price]]=0)</f>
        <v>0</v>
      </c>
      <c r="Z14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6">
        <f>orders_Q4[[#This Row],[Unit Price]] * orders_Q4[[#This Row],[Qty]] * (1 - orders_Q4[[#This Row],[Disc %]]/100)</f>
        <v>2579.4</v>
      </c>
      <c r="AB146" t="str">
        <f>IF(ABS(orders_Q4[[#This Row],[Total]] - orders_Q4[[#This Row],[Calculated_order_total]]) &gt; 1, "Mismatch", "OK")</f>
        <v>Mismatch</v>
      </c>
      <c r="AC146">
        <f>COUNTIF(C:C,orders_Q4[[#This Row],[Customer ID]])</f>
        <v>1</v>
      </c>
      <c r="AD146" t="str">
        <f>IF(AND(orders_Q4[[#This Row],[Type]]="New",orders_Q4[[#This Row],[Customer_id_count]]&gt;1),"Existing customer","OK")</f>
        <v>OK</v>
      </c>
      <c r="AE146">
        <f>orders_Q4[[#This Row],[Del Date]]-orders_Q4[[#This Row],[Order Date]]</f>
        <v>13</v>
      </c>
      <c r="AF146" t="str">
        <f>IF(OR(orders_Q4[[#This Row],[Delivery_time]]&gt;30,orders_Q4[[#This Row],[Delivery_time]]&lt;0),"Invalid_delivery_time","OK")</f>
        <v>OK</v>
      </c>
      <c r="AG146" s="20">
        <f>IF(
   AND(NOT(ISBLANK(orders_Q4[[#This Row],[return_received]])), NOT(ISBLANK(orders_Q4[[#This Row],[Del Date]]))),
   orders_Q4[[#This Row],[return_received]] - orders_Q4[[#This Row],[Del Date]],0)</f>
        <v>29</v>
      </c>
      <c r="AH146" t="str">
        <f>TEXT(orders_Q4[[#This Row],[Order Date]],"mmm-yyyy")</f>
        <v>Nov-2024</v>
      </c>
      <c r="AI146" s="1" t="str">
        <f>TEXT(orders_Q4[[#This Row],[Order Date]],"yyyy") &amp; "-" &amp; WEEKNUM(orders_Q4[[#This Row],[Order Date]])</f>
        <v>2024-45</v>
      </c>
      <c r="AJ146" t="str">
        <f>IF(orders_Q4[[#This Row],[Payment]]="COD","COD","Prepaid")</f>
        <v>Prepaid</v>
      </c>
    </row>
    <row r="147" spans="1:36" x14ac:dyDescent="0.3">
      <c r="A147" t="s">
        <v>667</v>
      </c>
      <c r="B147" s="1">
        <v>45600</v>
      </c>
      <c r="C147" t="s">
        <v>668</v>
      </c>
      <c r="D147" t="s">
        <v>25</v>
      </c>
      <c r="E147" t="s">
        <v>669</v>
      </c>
      <c r="F147" t="s">
        <v>71</v>
      </c>
      <c r="G147" t="s">
        <v>670</v>
      </c>
      <c r="H147">
        <v>799</v>
      </c>
      <c r="I147">
        <v>1</v>
      </c>
      <c r="J147">
        <v>799</v>
      </c>
      <c r="K147" t="s">
        <v>537</v>
      </c>
      <c r="L147">
        <v>40</v>
      </c>
      <c r="M147" t="s">
        <v>29</v>
      </c>
      <c r="N147" t="s">
        <v>30</v>
      </c>
      <c r="O147" t="s">
        <v>45</v>
      </c>
      <c r="P147" t="s">
        <v>45</v>
      </c>
      <c r="Q147" t="s">
        <v>45</v>
      </c>
      <c r="R147" s="1">
        <v>45612</v>
      </c>
      <c r="S147" t="s">
        <v>33</v>
      </c>
      <c r="T147" t="s">
        <v>34</v>
      </c>
      <c r="W147" t="s">
        <v>35</v>
      </c>
      <c r="X147" t="str">
        <f>IF(OR(orders_Q4[[#This Row],[Qty]]&gt;5,orders_Q4[[#This Row],[Qty]]&lt;0),"Invalid Quantity","OK")</f>
        <v>OK</v>
      </c>
      <c r="Y147" t="b">
        <f>OR(orders_Q4[[#This Row],[Unit Price]]&gt;20000,orders_Q4[[#This Row],[Unit Price]]&lt;0,orders_Q4[[#This Row],[Unit Price]]=0)</f>
        <v>0</v>
      </c>
      <c r="Z14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7">
        <f>orders_Q4[[#This Row],[Unit Price]] * orders_Q4[[#This Row],[Qty]] * (1 - orders_Q4[[#This Row],[Disc %]]/100)</f>
        <v>479.4</v>
      </c>
      <c r="AB147" t="str">
        <f>IF(ABS(orders_Q4[[#This Row],[Total]] - orders_Q4[[#This Row],[Calculated_order_total]]) &gt; 1, "Mismatch", "OK")</f>
        <v>Mismatch</v>
      </c>
      <c r="AC147">
        <f>COUNTIF(C:C,orders_Q4[[#This Row],[Customer ID]])</f>
        <v>1</v>
      </c>
      <c r="AD147" t="str">
        <f>IF(AND(orders_Q4[[#This Row],[Type]]="New",orders_Q4[[#This Row],[Customer_id_count]]&gt;1),"Existing customer","OK")</f>
        <v>OK</v>
      </c>
      <c r="AE147">
        <f>orders_Q4[[#This Row],[Del Date]]-orders_Q4[[#This Row],[Order Date]]</f>
        <v>12</v>
      </c>
      <c r="AF147" t="str">
        <f>IF(OR(orders_Q4[[#This Row],[Delivery_time]]&gt;30,orders_Q4[[#This Row],[Delivery_time]]&lt;0),"Invalid_delivery_time","OK")</f>
        <v>OK</v>
      </c>
      <c r="AG147" s="20">
        <f>IF(
   AND(NOT(ISBLANK(orders_Q4[[#This Row],[return_received]])), NOT(ISBLANK(orders_Q4[[#This Row],[Del Date]]))),
   orders_Q4[[#This Row],[return_received]] - orders_Q4[[#This Row],[Del Date]],0)</f>
        <v>0</v>
      </c>
      <c r="AH147" t="str">
        <f>TEXT(orders_Q4[[#This Row],[Order Date]],"mmm-yyyy")</f>
        <v>Nov-2024</v>
      </c>
      <c r="AI147" s="1" t="str">
        <f>TEXT(orders_Q4[[#This Row],[Order Date]],"yyyy") &amp; "-" &amp; WEEKNUM(orders_Q4[[#This Row],[Order Date]])</f>
        <v>2024-45</v>
      </c>
      <c r="AJ147" t="str">
        <f>IF(orders_Q4[[#This Row],[Payment]]="COD","COD","Prepaid")</f>
        <v>Prepaid</v>
      </c>
    </row>
    <row r="148" spans="1:36" x14ac:dyDescent="0.3">
      <c r="A148" t="s">
        <v>671</v>
      </c>
      <c r="B148" s="1">
        <v>45600</v>
      </c>
      <c r="C148" t="s">
        <v>672</v>
      </c>
      <c r="D148" t="s">
        <v>25</v>
      </c>
      <c r="E148" t="s">
        <v>673</v>
      </c>
      <c r="F148" t="s">
        <v>27</v>
      </c>
      <c r="G148" t="s">
        <v>674</v>
      </c>
      <c r="H148">
        <v>1899</v>
      </c>
      <c r="I148">
        <v>1</v>
      </c>
      <c r="J148">
        <v>1899</v>
      </c>
      <c r="K148" t="s">
        <v>537</v>
      </c>
      <c r="L148">
        <v>40</v>
      </c>
      <c r="M148" t="s">
        <v>111</v>
      </c>
      <c r="N148" t="s">
        <v>44</v>
      </c>
      <c r="O148" t="s">
        <v>90</v>
      </c>
      <c r="P148" t="s">
        <v>91</v>
      </c>
      <c r="Q148" t="s">
        <v>45</v>
      </c>
      <c r="R148" s="1">
        <v>45613</v>
      </c>
      <c r="S148" t="s">
        <v>33</v>
      </c>
      <c r="T148" t="s">
        <v>46</v>
      </c>
      <c r="U148" t="s">
        <v>47</v>
      </c>
      <c r="V148" s="1">
        <v>45641</v>
      </c>
      <c r="W148" t="s">
        <v>48</v>
      </c>
      <c r="X148" t="str">
        <f>IF(OR(orders_Q4[[#This Row],[Qty]]&gt;5,orders_Q4[[#This Row],[Qty]]&lt;0),"Invalid Quantity","OK")</f>
        <v>OK</v>
      </c>
      <c r="Y148" t="b">
        <f>OR(orders_Q4[[#This Row],[Unit Price]]&gt;20000,orders_Q4[[#This Row],[Unit Price]]&lt;0,orders_Q4[[#This Row],[Unit Price]]=0)</f>
        <v>0</v>
      </c>
      <c r="Z14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8">
        <f>orders_Q4[[#This Row],[Unit Price]] * orders_Q4[[#This Row],[Qty]] * (1 - orders_Q4[[#This Row],[Disc %]]/100)</f>
        <v>1139.3999999999999</v>
      </c>
      <c r="AB148" t="str">
        <f>IF(ABS(orders_Q4[[#This Row],[Total]] - orders_Q4[[#This Row],[Calculated_order_total]]) &gt; 1, "Mismatch", "OK")</f>
        <v>Mismatch</v>
      </c>
      <c r="AC148">
        <f>COUNTIF(C:C,orders_Q4[[#This Row],[Customer ID]])</f>
        <v>1</v>
      </c>
      <c r="AD148" t="str">
        <f>IF(AND(orders_Q4[[#This Row],[Type]]="New",orders_Q4[[#This Row],[Customer_id_count]]&gt;1),"Existing customer","OK")</f>
        <v>OK</v>
      </c>
      <c r="AE148">
        <f>orders_Q4[[#This Row],[Del Date]]-orders_Q4[[#This Row],[Order Date]]</f>
        <v>13</v>
      </c>
      <c r="AF148" t="str">
        <f>IF(OR(orders_Q4[[#This Row],[Delivery_time]]&gt;30,orders_Q4[[#This Row],[Delivery_time]]&lt;0),"Invalid_delivery_time","OK")</f>
        <v>OK</v>
      </c>
      <c r="AG148" s="20">
        <f>IF(
   AND(NOT(ISBLANK(orders_Q4[[#This Row],[return_received]])), NOT(ISBLANK(orders_Q4[[#This Row],[Del Date]]))),
   orders_Q4[[#This Row],[return_received]] - orders_Q4[[#This Row],[Del Date]],0)</f>
        <v>28</v>
      </c>
      <c r="AH148" t="str">
        <f>TEXT(orders_Q4[[#This Row],[Order Date]],"mmm-yyyy")</f>
        <v>Nov-2024</v>
      </c>
      <c r="AI148" s="1" t="str">
        <f>TEXT(orders_Q4[[#This Row],[Order Date]],"yyyy") &amp; "-" &amp; WEEKNUM(orders_Q4[[#This Row],[Order Date]])</f>
        <v>2024-45</v>
      </c>
      <c r="AJ148" t="str">
        <f>IF(orders_Q4[[#This Row],[Payment]]="COD","COD","Prepaid")</f>
        <v>Prepaid</v>
      </c>
    </row>
    <row r="149" spans="1:36" x14ac:dyDescent="0.3">
      <c r="A149" t="s">
        <v>675</v>
      </c>
      <c r="B149" s="1">
        <v>45601</v>
      </c>
      <c r="C149" t="s">
        <v>676</v>
      </c>
      <c r="D149" t="s">
        <v>25</v>
      </c>
      <c r="E149" t="s">
        <v>677</v>
      </c>
      <c r="F149" t="s">
        <v>40</v>
      </c>
      <c r="G149" t="s">
        <v>678</v>
      </c>
      <c r="H149">
        <v>4899</v>
      </c>
      <c r="I149">
        <v>1</v>
      </c>
      <c r="J149">
        <v>4899</v>
      </c>
      <c r="K149" t="s">
        <v>537</v>
      </c>
      <c r="L149">
        <v>40</v>
      </c>
      <c r="M149" t="s">
        <v>64</v>
      </c>
      <c r="N149" t="s">
        <v>65</v>
      </c>
      <c r="O149" t="s">
        <v>66</v>
      </c>
      <c r="P149" t="s">
        <v>67</v>
      </c>
      <c r="Q149" t="s">
        <v>56</v>
      </c>
      <c r="R149" s="1">
        <v>45614</v>
      </c>
      <c r="S149" t="s">
        <v>33</v>
      </c>
      <c r="T149" t="s">
        <v>46</v>
      </c>
      <c r="U149" t="s">
        <v>79</v>
      </c>
      <c r="V149" s="1">
        <v>45643</v>
      </c>
      <c r="W149" t="s">
        <v>48</v>
      </c>
      <c r="X149" t="str">
        <f>IF(OR(orders_Q4[[#This Row],[Qty]]&gt;5,orders_Q4[[#This Row],[Qty]]&lt;0),"Invalid Quantity","OK")</f>
        <v>OK</v>
      </c>
      <c r="Y149" t="b">
        <f>OR(orders_Q4[[#This Row],[Unit Price]]&gt;20000,orders_Q4[[#This Row],[Unit Price]]&lt;0,orders_Q4[[#This Row],[Unit Price]]=0)</f>
        <v>0</v>
      </c>
      <c r="Z14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49">
        <f>orders_Q4[[#This Row],[Unit Price]] * orders_Q4[[#This Row],[Qty]] * (1 - orders_Q4[[#This Row],[Disc %]]/100)</f>
        <v>2939.4</v>
      </c>
      <c r="AB149" t="str">
        <f>IF(ABS(orders_Q4[[#This Row],[Total]] - orders_Q4[[#This Row],[Calculated_order_total]]) &gt; 1, "Mismatch", "OK")</f>
        <v>Mismatch</v>
      </c>
      <c r="AC149">
        <f>COUNTIF(C:C,orders_Q4[[#This Row],[Customer ID]])</f>
        <v>1</v>
      </c>
      <c r="AD149" t="str">
        <f>IF(AND(orders_Q4[[#This Row],[Type]]="New",orders_Q4[[#This Row],[Customer_id_count]]&gt;1),"Existing customer","OK")</f>
        <v>OK</v>
      </c>
      <c r="AE149">
        <f>orders_Q4[[#This Row],[Del Date]]-orders_Q4[[#This Row],[Order Date]]</f>
        <v>13</v>
      </c>
      <c r="AF149" t="str">
        <f>IF(OR(orders_Q4[[#This Row],[Delivery_time]]&gt;30,orders_Q4[[#This Row],[Delivery_time]]&lt;0),"Invalid_delivery_time","OK")</f>
        <v>OK</v>
      </c>
      <c r="AG149" s="20">
        <f>IF(
   AND(NOT(ISBLANK(orders_Q4[[#This Row],[return_received]])), NOT(ISBLANK(orders_Q4[[#This Row],[Del Date]]))),
   orders_Q4[[#This Row],[return_received]] - orders_Q4[[#This Row],[Del Date]],0)</f>
        <v>29</v>
      </c>
      <c r="AH149" t="str">
        <f>TEXT(orders_Q4[[#This Row],[Order Date]],"mmm-yyyy")</f>
        <v>Nov-2024</v>
      </c>
      <c r="AI149" s="1" t="str">
        <f>TEXT(orders_Q4[[#This Row],[Order Date]],"yyyy") &amp; "-" &amp; WEEKNUM(orders_Q4[[#This Row],[Order Date]])</f>
        <v>2024-45</v>
      </c>
      <c r="AJ149" t="str">
        <f>IF(orders_Q4[[#This Row],[Payment]]="COD","COD","Prepaid")</f>
        <v>Prepaid</v>
      </c>
    </row>
    <row r="150" spans="1:36" x14ac:dyDescent="0.3">
      <c r="A150" t="s">
        <v>679</v>
      </c>
      <c r="B150" s="1">
        <v>45601</v>
      </c>
      <c r="C150" t="s">
        <v>680</v>
      </c>
      <c r="D150" t="s">
        <v>38</v>
      </c>
      <c r="E150" t="s">
        <v>681</v>
      </c>
      <c r="F150" t="s">
        <v>53</v>
      </c>
      <c r="G150" t="s">
        <v>682</v>
      </c>
      <c r="H150">
        <v>1499</v>
      </c>
      <c r="I150">
        <v>1</v>
      </c>
      <c r="J150">
        <v>1499</v>
      </c>
      <c r="K150" t="s">
        <v>537</v>
      </c>
      <c r="L150">
        <v>40</v>
      </c>
      <c r="M150" t="s">
        <v>43</v>
      </c>
      <c r="N150" t="s">
        <v>30</v>
      </c>
      <c r="O150" t="s">
        <v>77</v>
      </c>
      <c r="P150" t="s">
        <v>78</v>
      </c>
      <c r="Q150" t="s">
        <v>56</v>
      </c>
      <c r="R150" s="1">
        <v>45613</v>
      </c>
      <c r="S150" t="s">
        <v>33</v>
      </c>
      <c r="T150" t="s">
        <v>34</v>
      </c>
      <c r="W150" t="s">
        <v>35</v>
      </c>
      <c r="X150" t="str">
        <f>IF(OR(orders_Q4[[#This Row],[Qty]]&gt;5,orders_Q4[[#This Row],[Qty]]&lt;0),"Invalid Quantity","OK")</f>
        <v>OK</v>
      </c>
      <c r="Y150" t="b">
        <f>OR(orders_Q4[[#This Row],[Unit Price]]&gt;20000,orders_Q4[[#This Row],[Unit Price]]&lt;0,orders_Q4[[#This Row],[Unit Price]]=0)</f>
        <v>0</v>
      </c>
      <c r="Z15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50">
        <f>orders_Q4[[#This Row],[Unit Price]] * orders_Q4[[#This Row],[Qty]] * (1 - orders_Q4[[#This Row],[Disc %]]/100)</f>
        <v>899.4</v>
      </c>
      <c r="AB150" t="str">
        <f>IF(ABS(orders_Q4[[#This Row],[Total]] - orders_Q4[[#This Row],[Calculated_order_total]]) &gt; 1, "Mismatch", "OK")</f>
        <v>Mismatch</v>
      </c>
      <c r="AC150">
        <f>COUNTIF(C:C,orders_Q4[[#This Row],[Customer ID]])</f>
        <v>1</v>
      </c>
      <c r="AD150" t="str">
        <f>IF(AND(orders_Q4[[#This Row],[Type]]="New",orders_Q4[[#This Row],[Customer_id_count]]&gt;1),"Existing customer","OK")</f>
        <v>OK</v>
      </c>
      <c r="AE150">
        <f>orders_Q4[[#This Row],[Del Date]]-orders_Q4[[#This Row],[Order Date]]</f>
        <v>12</v>
      </c>
      <c r="AF150" t="str">
        <f>IF(OR(orders_Q4[[#This Row],[Delivery_time]]&gt;30,orders_Q4[[#This Row],[Delivery_time]]&lt;0),"Invalid_delivery_time","OK")</f>
        <v>OK</v>
      </c>
      <c r="AG150" s="20">
        <f>IF(
   AND(NOT(ISBLANK(orders_Q4[[#This Row],[return_received]])), NOT(ISBLANK(orders_Q4[[#This Row],[Del Date]]))),
   orders_Q4[[#This Row],[return_received]] - orders_Q4[[#This Row],[Del Date]],0)</f>
        <v>0</v>
      </c>
      <c r="AH150" t="str">
        <f>TEXT(orders_Q4[[#This Row],[Order Date]],"mmm-yyyy")</f>
        <v>Nov-2024</v>
      </c>
      <c r="AI150" s="1" t="str">
        <f>TEXT(orders_Q4[[#This Row],[Order Date]],"yyyy") &amp; "-" &amp; WEEKNUM(orders_Q4[[#This Row],[Order Date]])</f>
        <v>2024-45</v>
      </c>
      <c r="AJ150" t="str">
        <f>IF(orders_Q4[[#This Row],[Payment]]="COD","COD","Prepaid")</f>
        <v>Prepaid</v>
      </c>
    </row>
    <row r="151" spans="1:36" x14ac:dyDescent="0.3">
      <c r="A151" t="s">
        <v>683</v>
      </c>
      <c r="B151" s="1">
        <v>45601</v>
      </c>
      <c r="C151" t="s">
        <v>684</v>
      </c>
      <c r="D151" t="s">
        <v>25</v>
      </c>
      <c r="E151" t="s">
        <v>685</v>
      </c>
      <c r="F151" t="s">
        <v>61</v>
      </c>
      <c r="G151" t="s">
        <v>686</v>
      </c>
      <c r="H151">
        <v>5699</v>
      </c>
      <c r="I151">
        <v>1</v>
      </c>
      <c r="J151">
        <v>5699</v>
      </c>
      <c r="K151" t="s">
        <v>537</v>
      </c>
      <c r="L151">
        <v>40</v>
      </c>
      <c r="M151" t="s">
        <v>29</v>
      </c>
      <c r="N151" t="s">
        <v>44</v>
      </c>
      <c r="O151" t="s">
        <v>84</v>
      </c>
      <c r="P151" t="s">
        <v>32</v>
      </c>
      <c r="Q151" t="s">
        <v>31</v>
      </c>
      <c r="R151" s="1">
        <v>45615</v>
      </c>
      <c r="S151" t="s">
        <v>33</v>
      </c>
      <c r="T151" t="s">
        <v>46</v>
      </c>
      <c r="U151" t="s">
        <v>47</v>
      </c>
      <c r="V151" s="1">
        <v>45644</v>
      </c>
      <c r="W151" t="s">
        <v>48</v>
      </c>
      <c r="X151" t="str">
        <f>IF(OR(orders_Q4[[#This Row],[Qty]]&gt;5,orders_Q4[[#This Row],[Qty]]&lt;0),"Invalid Quantity","OK")</f>
        <v>OK</v>
      </c>
      <c r="Y151" t="b">
        <f>OR(orders_Q4[[#This Row],[Unit Price]]&gt;20000,orders_Q4[[#This Row],[Unit Price]]&lt;0,orders_Q4[[#This Row],[Unit Price]]=0)</f>
        <v>0</v>
      </c>
      <c r="Z15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51">
        <f>orders_Q4[[#This Row],[Unit Price]] * orders_Q4[[#This Row],[Qty]] * (1 - orders_Q4[[#This Row],[Disc %]]/100)</f>
        <v>3419.4</v>
      </c>
      <c r="AB151" t="str">
        <f>IF(ABS(orders_Q4[[#This Row],[Total]] - orders_Q4[[#This Row],[Calculated_order_total]]) &gt; 1, "Mismatch", "OK")</f>
        <v>Mismatch</v>
      </c>
      <c r="AC151">
        <f>COUNTIF(C:C,orders_Q4[[#This Row],[Customer ID]])</f>
        <v>1</v>
      </c>
      <c r="AD151" t="str">
        <f>IF(AND(orders_Q4[[#This Row],[Type]]="New",orders_Q4[[#This Row],[Customer_id_count]]&gt;1),"Existing customer","OK")</f>
        <v>OK</v>
      </c>
      <c r="AE151">
        <f>orders_Q4[[#This Row],[Del Date]]-orders_Q4[[#This Row],[Order Date]]</f>
        <v>14</v>
      </c>
      <c r="AF151" t="str">
        <f>IF(OR(orders_Q4[[#This Row],[Delivery_time]]&gt;30,orders_Q4[[#This Row],[Delivery_time]]&lt;0),"Invalid_delivery_time","OK")</f>
        <v>OK</v>
      </c>
      <c r="AG151" s="20">
        <f>IF(
   AND(NOT(ISBLANK(orders_Q4[[#This Row],[return_received]])), NOT(ISBLANK(orders_Q4[[#This Row],[Del Date]]))),
   orders_Q4[[#This Row],[return_received]] - orders_Q4[[#This Row],[Del Date]],0)</f>
        <v>29</v>
      </c>
      <c r="AH151" t="str">
        <f>TEXT(orders_Q4[[#This Row],[Order Date]],"mmm-yyyy")</f>
        <v>Nov-2024</v>
      </c>
      <c r="AI151" s="1" t="str">
        <f>TEXT(orders_Q4[[#This Row],[Order Date]],"yyyy") &amp; "-" &amp; WEEKNUM(orders_Q4[[#This Row],[Order Date]])</f>
        <v>2024-45</v>
      </c>
      <c r="AJ151" t="str">
        <f>IF(orders_Q4[[#This Row],[Payment]]="COD","COD","Prepaid")</f>
        <v>Prepaid</v>
      </c>
    </row>
    <row r="152" spans="1:36" x14ac:dyDescent="0.3">
      <c r="A152" t="s">
        <v>687</v>
      </c>
      <c r="B152" s="1">
        <v>45601</v>
      </c>
      <c r="C152" t="s">
        <v>688</v>
      </c>
      <c r="D152" t="s">
        <v>25</v>
      </c>
      <c r="E152" t="s">
        <v>689</v>
      </c>
      <c r="F152" t="s">
        <v>71</v>
      </c>
      <c r="G152" t="s">
        <v>690</v>
      </c>
      <c r="H152">
        <v>599</v>
      </c>
      <c r="I152">
        <v>4</v>
      </c>
      <c r="J152">
        <v>2396</v>
      </c>
      <c r="K152" t="s">
        <v>537</v>
      </c>
      <c r="L152">
        <v>40</v>
      </c>
      <c r="M152" t="s">
        <v>55</v>
      </c>
      <c r="N152" t="s">
        <v>65</v>
      </c>
      <c r="O152" t="s">
        <v>96</v>
      </c>
      <c r="P152" t="s">
        <v>97</v>
      </c>
      <c r="Q152" t="s">
        <v>31</v>
      </c>
      <c r="R152" s="1">
        <v>45614</v>
      </c>
      <c r="S152" t="s">
        <v>33</v>
      </c>
      <c r="T152" t="s">
        <v>46</v>
      </c>
      <c r="U152" t="s">
        <v>138</v>
      </c>
      <c r="V152" s="1">
        <v>45642</v>
      </c>
      <c r="W152" t="s">
        <v>48</v>
      </c>
      <c r="X152" t="str">
        <f>IF(OR(orders_Q4[[#This Row],[Qty]]&gt;5,orders_Q4[[#This Row],[Qty]]&lt;0),"Invalid Quantity","OK")</f>
        <v>OK</v>
      </c>
      <c r="Y152" t="b">
        <f>OR(orders_Q4[[#This Row],[Unit Price]]&gt;20000,orders_Q4[[#This Row],[Unit Price]]&lt;0,orders_Q4[[#This Row],[Unit Price]]=0)</f>
        <v>0</v>
      </c>
      <c r="Z15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52">
        <f>orders_Q4[[#This Row],[Unit Price]] * orders_Q4[[#This Row],[Qty]] * (1 - orders_Q4[[#This Row],[Disc %]]/100)</f>
        <v>1437.6</v>
      </c>
      <c r="AB152" t="str">
        <f>IF(ABS(orders_Q4[[#This Row],[Total]] - orders_Q4[[#This Row],[Calculated_order_total]]) &gt; 1, "Mismatch", "OK")</f>
        <v>Mismatch</v>
      </c>
      <c r="AC152">
        <f>COUNTIF(C:C,orders_Q4[[#This Row],[Customer ID]])</f>
        <v>1</v>
      </c>
      <c r="AD152" t="str">
        <f>IF(AND(orders_Q4[[#This Row],[Type]]="New",orders_Q4[[#This Row],[Customer_id_count]]&gt;1),"Existing customer","OK")</f>
        <v>OK</v>
      </c>
      <c r="AE152">
        <f>orders_Q4[[#This Row],[Del Date]]-orders_Q4[[#This Row],[Order Date]]</f>
        <v>13</v>
      </c>
      <c r="AF152" t="str">
        <f>IF(OR(orders_Q4[[#This Row],[Delivery_time]]&gt;30,orders_Q4[[#This Row],[Delivery_time]]&lt;0),"Invalid_delivery_time","OK")</f>
        <v>OK</v>
      </c>
      <c r="AG152" s="20">
        <f>IF(
   AND(NOT(ISBLANK(orders_Q4[[#This Row],[return_received]])), NOT(ISBLANK(orders_Q4[[#This Row],[Del Date]]))),
   orders_Q4[[#This Row],[return_received]] - orders_Q4[[#This Row],[Del Date]],0)</f>
        <v>28</v>
      </c>
      <c r="AH152" t="str">
        <f>TEXT(orders_Q4[[#This Row],[Order Date]],"mmm-yyyy")</f>
        <v>Nov-2024</v>
      </c>
      <c r="AI152" s="1" t="str">
        <f>TEXT(orders_Q4[[#This Row],[Order Date]],"yyyy") &amp; "-" &amp; WEEKNUM(orders_Q4[[#This Row],[Order Date]])</f>
        <v>2024-45</v>
      </c>
      <c r="AJ152" t="str">
        <f>IF(orders_Q4[[#This Row],[Payment]]="COD","COD","Prepaid")</f>
        <v>COD</v>
      </c>
    </row>
    <row r="153" spans="1:36" x14ac:dyDescent="0.3">
      <c r="A153" t="s">
        <v>691</v>
      </c>
      <c r="B153" s="1">
        <v>45602</v>
      </c>
      <c r="C153" t="s">
        <v>692</v>
      </c>
      <c r="D153" t="s">
        <v>25</v>
      </c>
      <c r="E153" t="s">
        <v>693</v>
      </c>
      <c r="F153" t="s">
        <v>27</v>
      </c>
      <c r="G153" t="s">
        <v>694</v>
      </c>
      <c r="H153">
        <v>2999</v>
      </c>
      <c r="I153">
        <v>1</v>
      </c>
      <c r="J153">
        <v>2999</v>
      </c>
      <c r="L153">
        <v>0</v>
      </c>
      <c r="M153" t="s">
        <v>43</v>
      </c>
      <c r="N153" t="s">
        <v>30</v>
      </c>
      <c r="O153" t="s">
        <v>102</v>
      </c>
      <c r="P153" t="s">
        <v>103</v>
      </c>
      <c r="Q153" t="s">
        <v>45</v>
      </c>
      <c r="R153" s="1">
        <v>45615</v>
      </c>
      <c r="S153" t="s">
        <v>33</v>
      </c>
      <c r="T153" t="s">
        <v>34</v>
      </c>
      <c r="W153" t="s">
        <v>35</v>
      </c>
      <c r="X153" t="str">
        <f>IF(OR(orders_Q4[[#This Row],[Qty]]&gt;5,orders_Q4[[#This Row],[Qty]]&lt;0),"Invalid Quantity","OK")</f>
        <v>OK</v>
      </c>
      <c r="Y153" t="b">
        <f>OR(orders_Q4[[#This Row],[Unit Price]]&gt;20000,orders_Q4[[#This Row],[Unit Price]]&lt;0,orders_Q4[[#This Row],[Unit Price]]=0)</f>
        <v>0</v>
      </c>
      <c r="Z15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53">
        <f>orders_Q4[[#This Row],[Unit Price]] * orders_Q4[[#This Row],[Qty]] * (1 - orders_Q4[[#This Row],[Disc %]]/100)</f>
        <v>2999</v>
      </c>
      <c r="AB153" t="str">
        <f>IF(ABS(orders_Q4[[#This Row],[Total]] - orders_Q4[[#This Row],[Calculated_order_total]]) &gt; 1, "Mismatch", "OK")</f>
        <v>OK</v>
      </c>
      <c r="AC153">
        <f>COUNTIF(C:C,orders_Q4[[#This Row],[Customer ID]])</f>
        <v>1</v>
      </c>
      <c r="AD153" t="str">
        <f>IF(AND(orders_Q4[[#This Row],[Type]]="New",orders_Q4[[#This Row],[Customer_id_count]]&gt;1),"Existing customer","OK")</f>
        <v>OK</v>
      </c>
      <c r="AE153">
        <f>orders_Q4[[#This Row],[Del Date]]-orders_Q4[[#This Row],[Order Date]]</f>
        <v>13</v>
      </c>
      <c r="AF153" t="str">
        <f>IF(OR(orders_Q4[[#This Row],[Delivery_time]]&gt;30,orders_Q4[[#This Row],[Delivery_time]]&lt;0),"Invalid_delivery_time","OK")</f>
        <v>OK</v>
      </c>
      <c r="AG153" s="20">
        <f>IF(
   AND(NOT(ISBLANK(orders_Q4[[#This Row],[return_received]])), NOT(ISBLANK(orders_Q4[[#This Row],[Del Date]]))),
   orders_Q4[[#This Row],[return_received]] - orders_Q4[[#This Row],[Del Date]],0)</f>
        <v>0</v>
      </c>
      <c r="AH153" t="str">
        <f>TEXT(orders_Q4[[#This Row],[Order Date]],"mmm-yyyy")</f>
        <v>Nov-2024</v>
      </c>
      <c r="AI153" s="1" t="str">
        <f>TEXT(orders_Q4[[#This Row],[Order Date]],"yyyy") &amp; "-" &amp; WEEKNUM(orders_Q4[[#This Row],[Order Date]])</f>
        <v>2024-45</v>
      </c>
      <c r="AJ153" t="str">
        <f>IF(orders_Q4[[#This Row],[Payment]]="COD","COD","Prepaid")</f>
        <v>Prepaid</v>
      </c>
    </row>
    <row r="154" spans="1:36" x14ac:dyDescent="0.3">
      <c r="A154" t="s">
        <v>695</v>
      </c>
      <c r="B154" s="1">
        <v>45602</v>
      </c>
      <c r="C154" t="s">
        <v>696</v>
      </c>
      <c r="D154" t="s">
        <v>25</v>
      </c>
      <c r="E154" t="s">
        <v>697</v>
      </c>
      <c r="F154" t="s">
        <v>40</v>
      </c>
      <c r="G154" t="s">
        <v>698</v>
      </c>
      <c r="H154">
        <v>2799</v>
      </c>
      <c r="I154">
        <v>1</v>
      </c>
      <c r="J154">
        <v>2799</v>
      </c>
      <c r="L154">
        <v>0</v>
      </c>
      <c r="M154" t="s">
        <v>29</v>
      </c>
      <c r="N154" t="s">
        <v>44</v>
      </c>
      <c r="O154" t="s">
        <v>112</v>
      </c>
      <c r="P154" t="s">
        <v>113</v>
      </c>
      <c r="Q154" t="s">
        <v>45</v>
      </c>
      <c r="R154" s="1">
        <v>45616</v>
      </c>
      <c r="S154" t="s">
        <v>33</v>
      </c>
      <c r="T154" t="s">
        <v>46</v>
      </c>
      <c r="U154" t="s">
        <v>68</v>
      </c>
      <c r="V154" s="1">
        <v>45644</v>
      </c>
      <c r="W154" t="s">
        <v>48</v>
      </c>
      <c r="X154" t="str">
        <f>IF(OR(orders_Q4[[#This Row],[Qty]]&gt;5,orders_Q4[[#This Row],[Qty]]&lt;0),"Invalid Quantity","OK")</f>
        <v>OK</v>
      </c>
      <c r="Y154" t="b">
        <f>OR(orders_Q4[[#This Row],[Unit Price]]&gt;20000,orders_Q4[[#This Row],[Unit Price]]&lt;0,orders_Q4[[#This Row],[Unit Price]]=0)</f>
        <v>0</v>
      </c>
      <c r="Z15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54">
        <f>orders_Q4[[#This Row],[Unit Price]] * orders_Q4[[#This Row],[Qty]] * (1 - orders_Q4[[#This Row],[Disc %]]/100)</f>
        <v>2799</v>
      </c>
      <c r="AB154" t="str">
        <f>IF(ABS(orders_Q4[[#This Row],[Total]] - orders_Q4[[#This Row],[Calculated_order_total]]) &gt; 1, "Mismatch", "OK")</f>
        <v>OK</v>
      </c>
      <c r="AC154">
        <f>COUNTIF(C:C,orders_Q4[[#This Row],[Customer ID]])</f>
        <v>1</v>
      </c>
      <c r="AD154" t="str">
        <f>IF(AND(orders_Q4[[#This Row],[Type]]="New",orders_Q4[[#This Row],[Customer_id_count]]&gt;1),"Existing customer","OK")</f>
        <v>OK</v>
      </c>
      <c r="AE154">
        <f>orders_Q4[[#This Row],[Del Date]]-orders_Q4[[#This Row],[Order Date]]</f>
        <v>14</v>
      </c>
      <c r="AF154" t="str">
        <f>IF(OR(orders_Q4[[#This Row],[Delivery_time]]&gt;30,orders_Q4[[#This Row],[Delivery_time]]&lt;0),"Invalid_delivery_time","OK")</f>
        <v>OK</v>
      </c>
      <c r="AG154" s="20">
        <f>IF(
   AND(NOT(ISBLANK(orders_Q4[[#This Row],[return_received]])), NOT(ISBLANK(orders_Q4[[#This Row],[Del Date]]))),
   orders_Q4[[#This Row],[return_received]] - orders_Q4[[#This Row],[Del Date]],0)</f>
        <v>28</v>
      </c>
      <c r="AH154" t="str">
        <f>TEXT(orders_Q4[[#This Row],[Order Date]],"mmm-yyyy")</f>
        <v>Nov-2024</v>
      </c>
      <c r="AI154" s="1" t="str">
        <f>TEXT(orders_Q4[[#This Row],[Order Date]],"yyyy") &amp; "-" &amp; WEEKNUM(orders_Q4[[#This Row],[Order Date]])</f>
        <v>2024-45</v>
      </c>
      <c r="AJ154" t="str">
        <f>IF(orders_Q4[[#This Row],[Payment]]="COD","COD","Prepaid")</f>
        <v>Prepaid</v>
      </c>
    </row>
    <row r="155" spans="1:36" x14ac:dyDescent="0.3">
      <c r="A155" t="s">
        <v>699</v>
      </c>
      <c r="B155" s="1">
        <v>45602</v>
      </c>
      <c r="C155" t="s">
        <v>700</v>
      </c>
      <c r="D155" t="s">
        <v>38</v>
      </c>
      <c r="E155" t="s">
        <v>701</v>
      </c>
      <c r="F155" t="s">
        <v>53</v>
      </c>
      <c r="G155" t="s">
        <v>702</v>
      </c>
      <c r="H155">
        <v>1699</v>
      </c>
      <c r="I155">
        <v>1</v>
      </c>
      <c r="J155">
        <v>1699</v>
      </c>
      <c r="K155" s="2">
        <v>46341</v>
      </c>
      <c r="L155">
        <v>15</v>
      </c>
      <c r="M155" t="s">
        <v>64</v>
      </c>
      <c r="N155" t="s">
        <v>65</v>
      </c>
      <c r="O155" t="s">
        <v>56</v>
      </c>
      <c r="P155" t="s">
        <v>57</v>
      </c>
      <c r="Q155" t="s">
        <v>56</v>
      </c>
      <c r="R155" s="1">
        <v>45614</v>
      </c>
      <c r="S155" t="s">
        <v>33</v>
      </c>
      <c r="T155" t="s">
        <v>34</v>
      </c>
      <c r="W155" t="s">
        <v>35</v>
      </c>
      <c r="X155" t="str">
        <f>IF(OR(orders_Q4[[#This Row],[Qty]]&gt;5,orders_Q4[[#This Row],[Qty]]&lt;0),"Invalid Quantity","OK")</f>
        <v>OK</v>
      </c>
      <c r="Y155" t="b">
        <f>OR(orders_Q4[[#This Row],[Unit Price]]&gt;20000,orders_Q4[[#This Row],[Unit Price]]&lt;0,orders_Q4[[#This Row],[Unit Price]]=0)</f>
        <v>0</v>
      </c>
      <c r="Z15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55">
        <f>orders_Q4[[#This Row],[Unit Price]] * orders_Q4[[#This Row],[Qty]] * (1 - orders_Q4[[#This Row],[Disc %]]/100)</f>
        <v>1444.1499999999999</v>
      </c>
      <c r="AB155" t="str">
        <f>IF(ABS(orders_Q4[[#This Row],[Total]] - orders_Q4[[#This Row],[Calculated_order_total]]) &gt; 1, "Mismatch", "OK")</f>
        <v>Mismatch</v>
      </c>
      <c r="AC155">
        <f>COUNTIF(C:C,orders_Q4[[#This Row],[Customer ID]])</f>
        <v>1</v>
      </c>
      <c r="AD155" t="str">
        <f>IF(AND(orders_Q4[[#This Row],[Type]]="New",orders_Q4[[#This Row],[Customer_id_count]]&gt;1),"Existing customer","OK")</f>
        <v>OK</v>
      </c>
      <c r="AE155">
        <f>orders_Q4[[#This Row],[Del Date]]-orders_Q4[[#This Row],[Order Date]]</f>
        <v>12</v>
      </c>
      <c r="AF155" t="str">
        <f>IF(OR(orders_Q4[[#This Row],[Delivery_time]]&gt;30,orders_Q4[[#This Row],[Delivery_time]]&lt;0),"Invalid_delivery_time","OK")</f>
        <v>OK</v>
      </c>
      <c r="AG155" s="20">
        <f>IF(
   AND(NOT(ISBLANK(orders_Q4[[#This Row],[return_received]])), NOT(ISBLANK(orders_Q4[[#This Row],[Del Date]]))),
   orders_Q4[[#This Row],[return_received]] - orders_Q4[[#This Row],[Del Date]],0)</f>
        <v>0</v>
      </c>
      <c r="AH155" t="str">
        <f>TEXT(orders_Q4[[#This Row],[Order Date]],"mmm-yyyy")</f>
        <v>Nov-2024</v>
      </c>
      <c r="AI155" s="1" t="str">
        <f>TEXT(orders_Q4[[#This Row],[Order Date]],"yyyy") &amp; "-" &amp; WEEKNUM(orders_Q4[[#This Row],[Order Date]])</f>
        <v>2024-45</v>
      </c>
      <c r="AJ155" t="str">
        <f>IF(orders_Q4[[#This Row],[Payment]]="COD","COD","Prepaid")</f>
        <v>Prepaid</v>
      </c>
    </row>
    <row r="156" spans="1:36" x14ac:dyDescent="0.3">
      <c r="A156" t="s">
        <v>703</v>
      </c>
      <c r="B156" s="1">
        <v>45603</v>
      </c>
      <c r="C156" t="s">
        <v>704</v>
      </c>
      <c r="D156" t="s">
        <v>25</v>
      </c>
      <c r="E156" t="s">
        <v>705</v>
      </c>
      <c r="F156" t="s">
        <v>61</v>
      </c>
      <c r="G156" t="s">
        <v>706</v>
      </c>
      <c r="H156">
        <v>4599</v>
      </c>
      <c r="I156">
        <v>1</v>
      </c>
      <c r="J156">
        <v>4599</v>
      </c>
      <c r="L156">
        <v>0</v>
      </c>
      <c r="M156" t="s">
        <v>43</v>
      </c>
      <c r="N156" t="s">
        <v>30</v>
      </c>
      <c r="O156" t="s">
        <v>31</v>
      </c>
      <c r="P156" t="s">
        <v>32</v>
      </c>
      <c r="Q156" t="s">
        <v>31</v>
      </c>
      <c r="R156" s="1">
        <v>45617</v>
      </c>
      <c r="S156" t="s">
        <v>33</v>
      </c>
      <c r="T156" t="s">
        <v>46</v>
      </c>
      <c r="U156" t="s">
        <v>47</v>
      </c>
      <c r="V156" s="1">
        <v>45646</v>
      </c>
      <c r="W156" t="s">
        <v>48</v>
      </c>
      <c r="X156" t="str">
        <f>IF(OR(orders_Q4[[#This Row],[Qty]]&gt;5,orders_Q4[[#This Row],[Qty]]&lt;0),"Invalid Quantity","OK")</f>
        <v>OK</v>
      </c>
      <c r="Y156" t="b">
        <f>OR(orders_Q4[[#This Row],[Unit Price]]&gt;20000,orders_Q4[[#This Row],[Unit Price]]&lt;0,orders_Q4[[#This Row],[Unit Price]]=0)</f>
        <v>0</v>
      </c>
      <c r="Z15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56">
        <f>orders_Q4[[#This Row],[Unit Price]] * orders_Q4[[#This Row],[Qty]] * (1 - orders_Q4[[#This Row],[Disc %]]/100)</f>
        <v>4599</v>
      </c>
      <c r="AB156" t="str">
        <f>IF(ABS(orders_Q4[[#This Row],[Total]] - orders_Q4[[#This Row],[Calculated_order_total]]) &gt; 1, "Mismatch", "OK")</f>
        <v>OK</v>
      </c>
      <c r="AC156">
        <f>COUNTIF(C:C,orders_Q4[[#This Row],[Customer ID]])</f>
        <v>1</v>
      </c>
      <c r="AD156" t="str">
        <f>IF(AND(orders_Q4[[#This Row],[Type]]="New",orders_Q4[[#This Row],[Customer_id_count]]&gt;1),"Existing customer","OK")</f>
        <v>OK</v>
      </c>
      <c r="AE156">
        <f>orders_Q4[[#This Row],[Del Date]]-orders_Q4[[#This Row],[Order Date]]</f>
        <v>14</v>
      </c>
      <c r="AF156" t="str">
        <f>IF(OR(orders_Q4[[#This Row],[Delivery_time]]&gt;30,orders_Q4[[#This Row],[Delivery_time]]&lt;0),"Invalid_delivery_time","OK")</f>
        <v>OK</v>
      </c>
      <c r="AG156" s="20">
        <f>IF(
   AND(NOT(ISBLANK(orders_Q4[[#This Row],[return_received]])), NOT(ISBLANK(orders_Q4[[#This Row],[Del Date]]))),
   orders_Q4[[#This Row],[return_received]] - orders_Q4[[#This Row],[Del Date]],0)</f>
        <v>29</v>
      </c>
      <c r="AH156" t="str">
        <f>TEXT(orders_Q4[[#This Row],[Order Date]],"mmm-yyyy")</f>
        <v>Nov-2024</v>
      </c>
      <c r="AI156" s="1" t="str">
        <f>TEXT(orders_Q4[[#This Row],[Order Date]],"yyyy") &amp; "-" &amp; WEEKNUM(orders_Q4[[#This Row],[Order Date]])</f>
        <v>2024-45</v>
      </c>
      <c r="AJ156" t="str">
        <f>IF(orders_Q4[[#This Row],[Payment]]="COD","COD","Prepaid")</f>
        <v>Prepaid</v>
      </c>
    </row>
    <row r="157" spans="1:36" x14ac:dyDescent="0.3">
      <c r="A157" t="s">
        <v>707</v>
      </c>
      <c r="B157" s="1">
        <v>45603</v>
      </c>
      <c r="C157" t="s">
        <v>708</v>
      </c>
      <c r="D157" t="s">
        <v>25</v>
      </c>
      <c r="E157" t="s">
        <v>709</v>
      </c>
      <c r="F157" t="s">
        <v>71</v>
      </c>
      <c r="G157" t="s">
        <v>710</v>
      </c>
      <c r="H157">
        <v>899</v>
      </c>
      <c r="I157">
        <v>1</v>
      </c>
      <c r="J157">
        <v>899</v>
      </c>
      <c r="L157">
        <v>0</v>
      </c>
      <c r="M157" t="s">
        <v>55</v>
      </c>
      <c r="N157" t="s">
        <v>44</v>
      </c>
      <c r="O157" t="s">
        <v>45</v>
      </c>
      <c r="P157" t="s">
        <v>45</v>
      </c>
      <c r="Q157" t="s">
        <v>45</v>
      </c>
      <c r="R157" s="1">
        <v>45615</v>
      </c>
      <c r="S157" t="s">
        <v>33</v>
      </c>
      <c r="T157" t="s">
        <v>34</v>
      </c>
      <c r="W157" t="s">
        <v>35</v>
      </c>
      <c r="X157" t="str">
        <f>IF(OR(orders_Q4[[#This Row],[Qty]]&gt;5,orders_Q4[[#This Row],[Qty]]&lt;0),"Invalid Quantity","OK")</f>
        <v>OK</v>
      </c>
      <c r="Y157" t="b">
        <f>OR(orders_Q4[[#This Row],[Unit Price]]&gt;20000,orders_Q4[[#This Row],[Unit Price]]&lt;0,orders_Q4[[#This Row],[Unit Price]]=0)</f>
        <v>0</v>
      </c>
      <c r="Z15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57">
        <f>orders_Q4[[#This Row],[Unit Price]] * orders_Q4[[#This Row],[Qty]] * (1 - orders_Q4[[#This Row],[Disc %]]/100)</f>
        <v>899</v>
      </c>
      <c r="AB157" t="str">
        <f>IF(ABS(orders_Q4[[#This Row],[Total]] - orders_Q4[[#This Row],[Calculated_order_total]]) &gt; 1, "Mismatch", "OK")</f>
        <v>OK</v>
      </c>
      <c r="AC157">
        <f>COUNTIF(C:C,orders_Q4[[#This Row],[Customer ID]])</f>
        <v>1</v>
      </c>
      <c r="AD157" t="str">
        <f>IF(AND(orders_Q4[[#This Row],[Type]]="New",orders_Q4[[#This Row],[Customer_id_count]]&gt;1),"Existing customer","OK")</f>
        <v>OK</v>
      </c>
      <c r="AE157">
        <f>orders_Q4[[#This Row],[Del Date]]-orders_Q4[[#This Row],[Order Date]]</f>
        <v>12</v>
      </c>
      <c r="AF157" t="str">
        <f>IF(OR(orders_Q4[[#This Row],[Delivery_time]]&gt;30,orders_Q4[[#This Row],[Delivery_time]]&lt;0),"Invalid_delivery_time","OK")</f>
        <v>OK</v>
      </c>
      <c r="AG157" s="20">
        <f>IF(
   AND(NOT(ISBLANK(orders_Q4[[#This Row],[return_received]])), NOT(ISBLANK(orders_Q4[[#This Row],[Del Date]]))),
   orders_Q4[[#This Row],[return_received]] - orders_Q4[[#This Row],[Del Date]],0)</f>
        <v>0</v>
      </c>
      <c r="AH157" t="str">
        <f>TEXT(orders_Q4[[#This Row],[Order Date]],"mmm-yyyy")</f>
        <v>Nov-2024</v>
      </c>
      <c r="AI157" s="1" t="str">
        <f>TEXT(orders_Q4[[#This Row],[Order Date]],"yyyy") &amp; "-" &amp; WEEKNUM(orders_Q4[[#This Row],[Order Date]])</f>
        <v>2024-45</v>
      </c>
      <c r="AJ157" t="str">
        <f>IF(orders_Q4[[#This Row],[Payment]]="COD","COD","Prepaid")</f>
        <v>COD</v>
      </c>
    </row>
    <row r="158" spans="1:36" x14ac:dyDescent="0.3">
      <c r="A158" t="s">
        <v>711</v>
      </c>
      <c r="B158" s="1">
        <v>45603</v>
      </c>
      <c r="C158" t="s">
        <v>712</v>
      </c>
      <c r="D158" t="s">
        <v>25</v>
      </c>
      <c r="E158" t="s">
        <v>713</v>
      </c>
      <c r="F158" t="s">
        <v>27</v>
      </c>
      <c r="G158" t="s">
        <v>714</v>
      </c>
      <c r="H158">
        <v>1799</v>
      </c>
      <c r="I158">
        <v>1</v>
      </c>
      <c r="J158">
        <v>1799</v>
      </c>
      <c r="K158" s="2">
        <v>46341</v>
      </c>
      <c r="L158">
        <v>15</v>
      </c>
      <c r="M158" t="s">
        <v>29</v>
      </c>
      <c r="N158" t="s">
        <v>65</v>
      </c>
      <c r="O158" t="s">
        <v>118</v>
      </c>
      <c r="P158" t="s">
        <v>119</v>
      </c>
      <c r="Q158" t="s">
        <v>45</v>
      </c>
      <c r="R158" s="1">
        <v>45616</v>
      </c>
      <c r="S158" t="s">
        <v>33</v>
      </c>
      <c r="T158" t="s">
        <v>46</v>
      </c>
      <c r="U158" t="s">
        <v>104</v>
      </c>
      <c r="V158" s="1">
        <v>45645</v>
      </c>
      <c r="W158" t="s">
        <v>48</v>
      </c>
      <c r="X158" t="str">
        <f>IF(OR(orders_Q4[[#This Row],[Qty]]&gt;5,orders_Q4[[#This Row],[Qty]]&lt;0),"Invalid Quantity","OK")</f>
        <v>OK</v>
      </c>
      <c r="Y158" t="b">
        <f>OR(orders_Q4[[#This Row],[Unit Price]]&gt;20000,orders_Q4[[#This Row],[Unit Price]]&lt;0,orders_Q4[[#This Row],[Unit Price]]=0)</f>
        <v>0</v>
      </c>
      <c r="Z15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58">
        <f>orders_Q4[[#This Row],[Unit Price]] * orders_Q4[[#This Row],[Qty]] * (1 - orders_Q4[[#This Row],[Disc %]]/100)</f>
        <v>1529.1499999999999</v>
      </c>
      <c r="AB158" t="str">
        <f>IF(ABS(orders_Q4[[#This Row],[Total]] - orders_Q4[[#This Row],[Calculated_order_total]]) &gt; 1, "Mismatch", "OK")</f>
        <v>Mismatch</v>
      </c>
      <c r="AC158">
        <f>COUNTIF(C:C,orders_Q4[[#This Row],[Customer ID]])</f>
        <v>1</v>
      </c>
      <c r="AD158" t="str">
        <f>IF(AND(orders_Q4[[#This Row],[Type]]="New",orders_Q4[[#This Row],[Customer_id_count]]&gt;1),"Existing customer","OK")</f>
        <v>OK</v>
      </c>
      <c r="AE158">
        <f>orders_Q4[[#This Row],[Del Date]]-orders_Q4[[#This Row],[Order Date]]</f>
        <v>13</v>
      </c>
      <c r="AF158" t="str">
        <f>IF(OR(orders_Q4[[#This Row],[Delivery_time]]&gt;30,orders_Q4[[#This Row],[Delivery_time]]&lt;0),"Invalid_delivery_time","OK")</f>
        <v>OK</v>
      </c>
      <c r="AG158" s="20">
        <f>IF(
   AND(NOT(ISBLANK(orders_Q4[[#This Row],[return_received]])), NOT(ISBLANK(orders_Q4[[#This Row],[Del Date]]))),
   orders_Q4[[#This Row],[return_received]] - orders_Q4[[#This Row],[Del Date]],0)</f>
        <v>29</v>
      </c>
      <c r="AH158" t="str">
        <f>TEXT(orders_Q4[[#This Row],[Order Date]],"mmm-yyyy")</f>
        <v>Nov-2024</v>
      </c>
      <c r="AI158" s="1" t="str">
        <f>TEXT(orders_Q4[[#This Row],[Order Date]],"yyyy") &amp; "-" &amp; WEEKNUM(orders_Q4[[#This Row],[Order Date]])</f>
        <v>2024-45</v>
      </c>
      <c r="AJ158" t="str">
        <f>IF(orders_Q4[[#This Row],[Payment]]="COD","COD","Prepaid")</f>
        <v>Prepaid</v>
      </c>
    </row>
    <row r="159" spans="1:36" x14ac:dyDescent="0.3">
      <c r="A159" t="s">
        <v>715</v>
      </c>
      <c r="B159" s="1">
        <v>45604</v>
      </c>
      <c r="C159" t="s">
        <v>716</v>
      </c>
      <c r="D159" t="s">
        <v>25</v>
      </c>
      <c r="E159" t="s">
        <v>717</v>
      </c>
      <c r="F159" t="s">
        <v>40</v>
      </c>
      <c r="G159" t="s">
        <v>718</v>
      </c>
      <c r="H159">
        <v>2599</v>
      </c>
      <c r="I159">
        <v>1</v>
      </c>
      <c r="J159">
        <v>2599</v>
      </c>
      <c r="L159">
        <v>0</v>
      </c>
      <c r="M159" t="s">
        <v>111</v>
      </c>
      <c r="N159" t="s">
        <v>30</v>
      </c>
      <c r="O159" t="s">
        <v>137</v>
      </c>
      <c r="P159" t="s">
        <v>113</v>
      </c>
      <c r="Q159" t="s">
        <v>45</v>
      </c>
      <c r="R159" s="1">
        <v>45618</v>
      </c>
      <c r="S159" t="s">
        <v>33</v>
      </c>
      <c r="T159" t="s">
        <v>34</v>
      </c>
      <c r="W159" t="s">
        <v>35</v>
      </c>
      <c r="X159" t="str">
        <f>IF(OR(orders_Q4[[#This Row],[Qty]]&gt;5,orders_Q4[[#This Row],[Qty]]&lt;0),"Invalid Quantity","OK")</f>
        <v>OK</v>
      </c>
      <c r="Y159" t="b">
        <f>OR(orders_Q4[[#This Row],[Unit Price]]&gt;20000,orders_Q4[[#This Row],[Unit Price]]&lt;0,orders_Q4[[#This Row],[Unit Price]]=0)</f>
        <v>0</v>
      </c>
      <c r="Z15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59">
        <f>orders_Q4[[#This Row],[Unit Price]] * orders_Q4[[#This Row],[Qty]] * (1 - orders_Q4[[#This Row],[Disc %]]/100)</f>
        <v>2599</v>
      </c>
      <c r="AB159" t="str">
        <f>IF(ABS(orders_Q4[[#This Row],[Total]] - orders_Q4[[#This Row],[Calculated_order_total]]) &gt; 1, "Mismatch", "OK")</f>
        <v>OK</v>
      </c>
      <c r="AC159">
        <f>COUNTIF(C:C,orders_Q4[[#This Row],[Customer ID]])</f>
        <v>1</v>
      </c>
      <c r="AD159" t="str">
        <f>IF(AND(orders_Q4[[#This Row],[Type]]="New",orders_Q4[[#This Row],[Customer_id_count]]&gt;1),"Existing customer","OK")</f>
        <v>OK</v>
      </c>
      <c r="AE159">
        <f>orders_Q4[[#This Row],[Del Date]]-orders_Q4[[#This Row],[Order Date]]</f>
        <v>14</v>
      </c>
      <c r="AF159" t="str">
        <f>IF(OR(orders_Q4[[#This Row],[Delivery_time]]&gt;30,orders_Q4[[#This Row],[Delivery_time]]&lt;0),"Invalid_delivery_time","OK")</f>
        <v>OK</v>
      </c>
      <c r="AG159" s="20">
        <f>IF(
   AND(NOT(ISBLANK(orders_Q4[[#This Row],[return_received]])), NOT(ISBLANK(orders_Q4[[#This Row],[Del Date]]))),
   orders_Q4[[#This Row],[return_received]] - orders_Q4[[#This Row],[Del Date]],0)</f>
        <v>0</v>
      </c>
      <c r="AH159" t="str">
        <f>TEXT(orders_Q4[[#This Row],[Order Date]],"mmm-yyyy")</f>
        <v>Nov-2024</v>
      </c>
      <c r="AI159" s="1" t="str">
        <f>TEXT(orders_Q4[[#This Row],[Order Date]],"yyyy") &amp; "-" &amp; WEEKNUM(orders_Q4[[#This Row],[Order Date]])</f>
        <v>2024-45</v>
      </c>
      <c r="AJ159" t="str">
        <f>IF(orders_Q4[[#This Row],[Payment]]="COD","COD","Prepaid")</f>
        <v>Prepaid</v>
      </c>
    </row>
    <row r="160" spans="1:36" x14ac:dyDescent="0.3">
      <c r="A160" t="s">
        <v>719</v>
      </c>
      <c r="B160" s="1">
        <v>45604</v>
      </c>
      <c r="C160" t="s">
        <v>720</v>
      </c>
      <c r="D160" t="s">
        <v>38</v>
      </c>
      <c r="E160" t="s">
        <v>721</v>
      </c>
      <c r="F160" t="s">
        <v>53</v>
      </c>
      <c r="G160" t="s">
        <v>722</v>
      </c>
      <c r="H160">
        <v>1599</v>
      </c>
      <c r="I160">
        <v>1</v>
      </c>
      <c r="J160">
        <v>1599</v>
      </c>
      <c r="L160">
        <v>0</v>
      </c>
      <c r="M160" t="s">
        <v>43</v>
      </c>
      <c r="N160" t="s">
        <v>44</v>
      </c>
      <c r="O160" t="s">
        <v>143</v>
      </c>
      <c r="P160" t="s">
        <v>144</v>
      </c>
      <c r="Q160" t="s">
        <v>45</v>
      </c>
      <c r="R160" s="1">
        <v>45616</v>
      </c>
      <c r="S160" t="s">
        <v>33</v>
      </c>
      <c r="T160" t="s">
        <v>46</v>
      </c>
      <c r="U160" t="s">
        <v>79</v>
      </c>
      <c r="V160" s="1">
        <v>45644</v>
      </c>
      <c r="W160" t="s">
        <v>48</v>
      </c>
      <c r="X160" t="str">
        <f>IF(OR(orders_Q4[[#This Row],[Qty]]&gt;5,orders_Q4[[#This Row],[Qty]]&lt;0),"Invalid Quantity","OK")</f>
        <v>OK</v>
      </c>
      <c r="Y160" t="b">
        <f>OR(orders_Q4[[#This Row],[Unit Price]]&gt;20000,orders_Q4[[#This Row],[Unit Price]]&lt;0,orders_Q4[[#This Row],[Unit Price]]=0)</f>
        <v>0</v>
      </c>
      <c r="Z16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60">
        <f>orders_Q4[[#This Row],[Unit Price]] * orders_Q4[[#This Row],[Qty]] * (1 - orders_Q4[[#This Row],[Disc %]]/100)</f>
        <v>1599</v>
      </c>
      <c r="AB160" t="str">
        <f>IF(ABS(orders_Q4[[#This Row],[Total]] - orders_Q4[[#This Row],[Calculated_order_total]]) &gt; 1, "Mismatch", "OK")</f>
        <v>OK</v>
      </c>
      <c r="AC160">
        <f>COUNTIF(C:C,orders_Q4[[#This Row],[Customer ID]])</f>
        <v>1</v>
      </c>
      <c r="AD160" t="str">
        <f>IF(AND(orders_Q4[[#This Row],[Type]]="New",orders_Q4[[#This Row],[Customer_id_count]]&gt;1),"Existing customer","OK")</f>
        <v>OK</v>
      </c>
      <c r="AE160">
        <f>orders_Q4[[#This Row],[Del Date]]-orders_Q4[[#This Row],[Order Date]]</f>
        <v>12</v>
      </c>
      <c r="AF160" t="str">
        <f>IF(OR(orders_Q4[[#This Row],[Delivery_time]]&gt;30,orders_Q4[[#This Row],[Delivery_time]]&lt;0),"Invalid_delivery_time","OK")</f>
        <v>OK</v>
      </c>
      <c r="AG160" s="20">
        <f>IF(
   AND(NOT(ISBLANK(orders_Q4[[#This Row],[return_received]])), NOT(ISBLANK(orders_Q4[[#This Row],[Del Date]]))),
   orders_Q4[[#This Row],[return_received]] - orders_Q4[[#This Row],[Del Date]],0)</f>
        <v>28</v>
      </c>
      <c r="AH160" t="str">
        <f>TEXT(orders_Q4[[#This Row],[Order Date]],"mmm-yyyy")</f>
        <v>Nov-2024</v>
      </c>
      <c r="AI160" s="1" t="str">
        <f>TEXT(orders_Q4[[#This Row],[Order Date]],"yyyy") &amp; "-" &amp; WEEKNUM(orders_Q4[[#This Row],[Order Date]])</f>
        <v>2024-45</v>
      </c>
      <c r="AJ160" t="str">
        <f>IF(orders_Q4[[#This Row],[Payment]]="COD","COD","Prepaid")</f>
        <v>Prepaid</v>
      </c>
    </row>
    <row r="161" spans="1:36" x14ac:dyDescent="0.3">
      <c r="A161" t="s">
        <v>723</v>
      </c>
      <c r="B161" s="1">
        <v>45604</v>
      </c>
      <c r="C161" t="s">
        <v>724</v>
      </c>
      <c r="D161" t="s">
        <v>25</v>
      </c>
      <c r="E161" t="s">
        <v>725</v>
      </c>
      <c r="F161" t="s">
        <v>61</v>
      </c>
      <c r="G161" t="s">
        <v>726</v>
      </c>
      <c r="H161">
        <v>5299</v>
      </c>
      <c r="I161">
        <v>1</v>
      </c>
      <c r="J161">
        <v>5299</v>
      </c>
      <c r="K161" s="2">
        <v>46341</v>
      </c>
      <c r="L161">
        <v>15</v>
      </c>
      <c r="M161" t="s">
        <v>64</v>
      </c>
      <c r="N161" t="s">
        <v>65</v>
      </c>
      <c r="O161" t="s">
        <v>150</v>
      </c>
      <c r="P161" t="s">
        <v>151</v>
      </c>
      <c r="Q161" t="s">
        <v>31</v>
      </c>
      <c r="R161" s="1">
        <v>45619</v>
      </c>
      <c r="S161" t="s">
        <v>33</v>
      </c>
      <c r="T161" t="s">
        <v>34</v>
      </c>
      <c r="W161" t="s">
        <v>35</v>
      </c>
      <c r="X161" t="str">
        <f>IF(OR(orders_Q4[[#This Row],[Qty]]&gt;5,orders_Q4[[#This Row],[Qty]]&lt;0),"Invalid Quantity","OK")</f>
        <v>OK</v>
      </c>
      <c r="Y161" t="b">
        <f>OR(orders_Q4[[#This Row],[Unit Price]]&gt;20000,orders_Q4[[#This Row],[Unit Price]]&lt;0,orders_Q4[[#This Row],[Unit Price]]=0)</f>
        <v>0</v>
      </c>
      <c r="Z16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61">
        <f>orders_Q4[[#This Row],[Unit Price]] * orders_Q4[[#This Row],[Qty]] * (1 - orders_Q4[[#This Row],[Disc %]]/100)</f>
        <v>4504.1499999999996</v>
      </c>
      <c r="AB161" t="str">
        <f>IF(ABS(orders_Q4[[#This Row],[Total]] - orders_Q4[[#This Row],[Calculated_order_total]]) &gt; 1, "Mismatch", "OK")</f>
        <v>Mismatch</v>
      </c>
      <c r="AC161">
        <f>COUNTIF(C:C,orders_Q4[[#This Row],[Customer ID]])</f>
        <v>1</v>
      </c>
      <c r="AD161" t="str">
        <f>IF(AND(orders_Q4[[#This Row],[Type]]="New",orders_Q4[[#This Row],[Customer_id_count]]&gt;1),"Existing customer","OK")</f>
        <v>OK</v>
      </c>
      <c r="AE161">
        <f>orders_Q4[[#This Row],[Del Date]]-orders_Q4[[#This Row],[Order Date]]</f>
        <v>15</v>
      </c>
      <c r="AF161" t="str">
        <f>IF(OR(orders_Q4[[#This Row],[Delivery_time]]&gt;30,orders_Q4[[#This Row],[Delivery_time]]&lt;0),"Invalid_delivery_time","OK")</f>
        <v>OK</v>
      </c>
      <c r="AG161" s="20">
        <f>IF(
   AND(NOT(ISBLANK(orders_Q4[[#This Row],[return_received]])), NOT(ISBLANK(orders_Q4[[#This Row],[Del Date]]))),
   orders_Q4[[#This Row],[return_received]] - orders_Q4[[#This Row],[Del Date]],0)</f>
        <v>0</v>
      </c>
      <c r="AH161" t="str">
        <f>TEXT(orders_Q4[[#This Row],[Order Date]],"mmm-yyyy")</f>
        <v>Nov-2024</v>
      </c>
      <c r="AI161" s="1" t="str">
        <f>TEXT(orders_Q4[[#This Row],[Order Date]],"yyyy") &amp; "-" &amp; WEEKNUM(orders_Q4[[#This Row],[Order Date]])</f>
        <v>2024-45</v>
      </c>
      <c r="AJ161" t="str">
        <f>IF(orders_Q4[[#This Row],[Payment]]="COD","COD","Prepaid")</f>
        <v>Prepaid</v>
      </c>
    </row>
    <row r="162" spans="1:36" x14ac:dyDescent="0.3">
      <c r="A162" t="s">
        <v>727</v>
      </c>
      <c r="B162" s="1">
        <v>45605</v>
      </c>
      <c r="C162" t="s">
        <v>728</v>
      </c>
      <c r="D162" t="s">
        <v>25</v>
      </c>
      <c r="E162" t="s">
        <v>729</v>
      </c>
      <c r="F162" t="s">
        <v>71</v>
      </c>
      <c r="G162" t="s">
        <v>730</v>
      </c>
      <c r="H162">
        <v>499</v>
      </c>
      <c r="I162">
        <v>3</v>
      </c>
      <c r="J162">
        <v>1497</v>
      </c>
      <c r="L162">
        <v>0</v>
      </c>
      <c r="M162" t="s">
        <v>29</v>
      </c>
      <c r="N162" t="s">
        <v>30</v>
      </c>
      <c r="O162" t="s">
        <v>156</v>
      </c>
      <c r="P162" t="s">
        <v>97</v>
      </c>
      <c r="Q162" t="s">
        <v>31</v>
      </c>
      <c r="R162" s="1">
        <v>45617</v>
      </c>
      <c r="S162" t="s">
        <v>33</v>
      </c>
      <c r="T162" t="s">
        <v>46</v>
      </c>
      <c r="U162" t="s">
        <v>138</v>
      </c>
      <c r="V162" s="1">
        <v>45645</v>
      </c>
      <c r="W162" t="s">
        <v>48</v>
      </c>
      <c r="X162" t="str">
        <f>IF(OR(orders_Q4[[#This Row],[Qty]]&gt;5,orders_Q4[[#This Row],[Qty]]&lt;0),"Invalid Quantity","OK")</f>
        <v>OK</v>
      </c>
      <c r="Y162" t="b">
        <f>OR(orders_Q4[[#This Row],[Unit Price]]&gt;20000,orders_Q4[[#This Row],[Unit Price]]&lt;0,orders_Q4[[#This Row],[Unit Price]]=0)</f>
        <v>0</v>
      </c>
      <c r="Z16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62">
        <f>orders_Q4[[#This Row],[Unit Price]] * orders_Q4[[#This Row],[Qty]] * (1 - orders_Q4[[#This Row],[Disc %]]/100)</f>
        <v>1497</v>
      </c>
      <c r="AB162" t="str">
        <f>IF(ABS(orders_Q4[[#This Row],[Total]] - orders_Q4[[#This Row],[Calculated_order_total]]) &gt; 1, "Mismatch", "OK")</f>
        <v>OK</v>
      </c>
      <c r="AC162">
        <f>COUNTIF(C:C,orders_Q4[[#This Row],[Customer ID]])</f>
        <v>1</v>
      </c>
      <c r="AD162" t="str">
        <f>IF(AND(orders_Q4[[#This Row],[Type]]="New",orders_Q4[[#This Row],[Customer_id_count]]&gt;1),"Existing customer","OK")</f>
        <v>OK</v>
      </c>
      <c r="AE162">
        <f>orders_Q4[[#This Row],[Del Date]]-orders_Q4[[#This Row],[Order Date]]</f>
        <v>12</v>
      </c>
      <c r="AF162" t="str">
        <f>IF(OR(orders_Q4[[#This Row],[Delivery_time]]&gt;30,orders_Q4[[#This Row],[Delivery_time]]&lt;0),"Invalid_delivery_time","OK")</f>
        <v>OK</v>
      </c>
      <c r="AG162" s="20">
        <f>IF(
   AND(NOT(ISBLANK(orders_Q4[[#This Row],[return_received]])), NOT(ISBLANK(orders_Q4[[#This Row],[Del Date]]))),
   orders_Q4[[#This Row],[return_received]] - orders_Q4[[#This Row],[Del Date]],0)</f>
        <v>28</v>
      </c>
      <c r="AH162" t="str">
        <f>TEXT(orders_Q4[[#This Row],[Order Date]],"mmm-yyyy")</f>
        <v>Nov-2024</v>
      </c>
      <c r="AI162" s="1" t="str">
        <f>TEXT(orders_Q4[[#This Row],[Order Date]],"yyyy") &amp; "-" &amp; WEEKNUM(orders_Q4[[#This Row],[Order Date]])</f>
        <v>2024-45</v>
      </c>
      <c r="AJ162" t="str">
        <f>IF(orders_Q4[[#This Row],[Payment]]="COD","COD","Prepaid")</f>
        <v>Prepaid</v>
      </c>
    </row>
    <row r="163" spans="1:36" x14ac:dyDescent="0.3">
      <c r="A163" t="s">
        <v>731</v>
      </c>
      <c r="B163" s="1">
        <v>45605</v>
      </c>
      <c r="C163" t="s">
        <v>732</v>
      </c>
      <c r="D163" t="s">
        <v>25</v>
      </c>
      <c r="E163" t="s">
        <v>733</v>
      </c>
      <c r="F163" t="s">
        <v>27</v>
      </c>
      <c r="G163" t="s">
        <v>734</v>
      </c>
      <c r="H163">
        <v>2099</v>
      </c>
      <c r="I163">
        <v>1</v>
      </c>
      <c r="J163">
        <v>2099</v>
      </c>
      <c r="L163">
        <v>0</v>
      </c>
      <c r="M163" t="s">
        <v>55</v>
      </c>
      <c r="N163" t="s">
        <v>44</v>
      </c>
      <c r="O163" t="s">
        <v>161</v>
      </c>
      <c r="P163" t="s">
        <v>162</v>
      </c>
      <c r="Q163" t="s">
        <v>45</v>
      </c>
      <c r="S163" t="s">
        <v>120</v>
      </c>
      <c r="T163" t="s">
        <v>34</v>
      </c>
      <c r="W163" t="s">
        <v>35</v>
      </c>
      <c r="X163" t="str">
        <f>IF(OR(orders_Q4[[#This Row],[Qty]]&gt;5,orders_Q4[[#This Row],[Qty]]&lt;0),"Invalid Quantity","OK")</f>
        <v>OK</v>
      </c>
      <c r="Y163" t="b">
        <f>OR(orders_Q4[[#This Row],[Unit Price]]&gt;20000,orders_Q4[[#This Row],[Unit Price]]&lt;0,orders_Q4[[#This Row],[Unit Price]]=0)</f>
        <v>0</v>
      </c>
      <c r="Z16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63">
        <f>orders_Q4[[#This Row],[Unit Price]] * orders_Q4[[#This Row],[Qty]] * (1 - orders_Q4[[#This Row],[Disc %]]/100)</f>
        <v>2099</v>
      </c>
      <c r="AB163" t="str">
        <f>IF(ABS(orders_Q4[[#This Row],[Total]] - orders_Q4[[#This Row],[Calculated_order_total]]) &gt; 1, "Mismatch", "OK")</f>
        <v>OK</v>
      </c>
      <c r="AC163">
        <f>COUNTIF(C:C,orders_Q4[[#This Row],[Customer ID]])</f>
        <v>1</v>
      </c>
      <c r="AD163" t="str">
        <f>IF(AND(orders_Q4[[#This Row],[Type]]="New",orders_Q4[[#This Row],[Customer_id_count]]&gt;1),"Existing customer","OK")</f>
        <v>OK</v>
      </c>
      <c r="AE163">
        <f>orders_Q4[[#This Row],[Del Date]]-orders_Q4[[#This Row],[Order Date]]</f>
        <v>-45605</v>
      </c>
      <c r="AF163" t="str">
        <f>IF(OR(orders_Q4[[#This Row],[Delivery_time]]&gt;30,orders_Q4[[#This Row],[Delivery_time]]&lt;0),"Invalid_delivery_time","OK")</f>
        <v>Invalid_delivery_time</v>
      </c>
      <c r="AG163" s="20">
        <f>IF(
   AND(NOT(ISBLANK(orders_Q4[[#This Row],[return_received]])), NOT(ISBLANK(orders_Q4[[#This Row],[Del Date]]))),
   orders_Q4[[#This Row],[return_received]] - orders_Q4[[#This Row],[Del Date]],0)</f>
        <v>0</v>
      </c>
      <c r="AH163" t="str">
        <f>TEXT(orders_Q4[[#This Row],[Order Date]],"mmm-yyyy")</f>
        <v>Nov-2024</v>
      </c>
      <c r="AI163" s="1" t="str">
        <f>TEXT(orders_Q4[[#This Row],[Order Date]],"yyyy") &amp; "-" &amp; WEEKNUM(orders_Q4[[#This Row],[Order Date]])</f>
        <v>2024-45</v>
      </c>
      <c r="AJ163" t="str">
        <f>IF(orders_Q4[[#This Row],[Payment]]="COD","COD","Prepaid")</f>
        <v>COD</v>
      </c>
    </row>
    <row r="164" spans="1:36" x14ac:dyDescent="0.3">
      <c r="A164" t="s">
        <v>735</v>
      </c>
      <c r="B164" s="1">
        <v>45605</v>
      </c>
      <c r="C164" t="s">
        <v>736</v>
      </c>
      <c r="D164" t="s">
        <v>25</v>
      </c>
      <c r="E164" t="s">
        <v>737</v>
      </c>
      <c r="F164" t="s">
        <v>40</v>
      </c>
      <c r="G164" t="s">
        <v>738</v>
      </c>
      <c r="H164">
        <v>2399</v>
      </c>
      <c r="I164">
        <v>1</v>
      </c>
      <c r="J164">
        <v>2399</v>
      </c>
      <c r="K164" s="2">
        <v>46341</v>
      </c>
      <c r="L164">
        <v>15</v>
      </c>
      <c r="M164" t="s">
        <v>43</v>
      </c>
      <c r="N164" t="s">
        <v>65</v>
      </c>
      <c r="O164" t="s">
        <v>167</v>
      </c>
      <c r="P164" t="s">
        <v>151</v>
      </c>
      <c r="Q164" t="s">
        <v>31</v>
      </c>
      <c r="R164" s="1">
        <v>45620</v>
      </c>
      <c r="S164" t="s">
        <v>33</v>
      </c>
      <c r="T164" t="s">
        <v>46</v>
      </c>
      <c r="U164" t="s">
        <v>47</v>
      </c>
      <c r="V164" s="1">
        <v>45648</v>
      </c>
      <c r="W164" t="s">
        <v>48</v>
      </c>
      <c r="X164" t="str">
        <f>IF(OR(orders_Q4[[#This Row],[Qty]]&gt;5,orders_Q4[[#This Row],[Qty]]&lt;0),"Invalid Quantity","OK")</f>
        <v>OK</v>
      </c>
      <c r="Y164" t="b">
        <f>OR(orders_Q4[[#This Row],[Unit Price]]&gt;20000,orders_Q4[[#This Row],[Unit Price]]&lt;0,orders_Q4[[#This Row],[Unit Price]]=0)</f>
        <v>0</v>
      </c>
      <c r="Z16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64">
        <f>orders_Q4[[#This Row],[Unit Price]] * orders_Q4[[#This Row],[Qty]] * (1 - orders_Q4[[#This Row],[Disc %]]/100)</f>
        <v>2039.1499999999999</v>
      </c>
      <c r="AB164" t="str">
        <f>IF(ABS(orders_Q4[[#This Row],[Total]] - orders_Q4[[#This Row],[Calculated_order_total]]) &gt; 1, "Mismatch", "OK")</f>
        <v>Mismatch</v>
      </c>
      <c r="AC164">
        <f>COUNTIF(C:C,orders_Q4[[#This Row],[Customer ID]])</f>
        <v>1</v>
      </c>
      <c r="AD164" t="str">
        <f>IF(AND(orders_Q4[[#This Row],[Type]]="New",orders_Q4[[#This Row],[Customer_id_count]]&gt;1),"Existing customer","OK")</f>
        <v>OK</v>
      </c>
      <c r="AE164">
        <f>orders_Q4[[#This Row],[Del Date]]-orders_Q4[[#This Row],[Order Date]]</f>
        <v>15</v>
      </c>
      <c r="AF164" t="str">
        <f>IF(OR(orders_Q4[[#This Row],[Delivery_time]]&gt;30,orders_Q4[[#This Row],[Delivery_time]]&lt;0),"Invalid_delivery_time","OK")</f>
        <v>OK</v>
      </c>
      <c r="AG164" s="20">
        <f>IF(
   AND(NOT(ISBLANK(orders_Q4[[#This Row],[return_received]])), NOT(ISBLANK(orders_Q4[[#This Row],[Del Date]]))),
   orders_Q4[[#This Row],[return_received]] - orders_Q4[[#This Row],[Del Date]],0)</f>
        <v>28</v>
      </c>
      <c r="AH164" t="str">
        <f>TEXT(orders_Q4[[#This Row],[Order Date]],"mmm-yyyy")</f>
        <v>Nov-2024</v>
      </c>
      <c r="AI164" s="1" t="str">
        <f>TEXT(orders_Q4[[#This Row],[Order Date]],"yyyy") &amp; "-" &amp; WEEKNUM(orders_Q4[[#This Row],[Order Date]])</f>
        <v>2024-45</v>
      </c>
      <c r="AJ164" t="str">
        <f>IF(orders_Q4[[#This Row],[Payment]]="COD","COD","Prepaid")</f>
        <v>Prepaid</v>
      </c>
    </row>
    <row r="165" spans="1:36" x14ac:dyDescent="0.3">
      <c r="A165" t="s">
        <v>739</v>
      </c>
      <c r="B165" s="1">
        <v>45606</v>
      </c>
      <c r="C165" t="s">
        <v>740</v>
      </c>
      <c r="D165" t="s">
        <v>38</v>
      </c>
      <c r="E165" t="s">
        <v>741</v>
      </c>
      <c r="F165" t="s">
        <v>53</v>
      </c>
      <c r="G165" t="s">
        <v>742</v>
      </c>
      <c r="H165">
        <v>1799</v>
      </c>
      <c r="I165">
        <v>1</v>
      </c>
      <c r="J165">
        <v>1799</v>
      </c>
      <c r="L165">
        <v>0</v>
      </c>
      <c r="M165" t="s">
        <v>111</v>
      </c>
      <c r="N165" t="s">
        <v>30</v>
      </c>
      <c r="O165" t="s">
        <v>172</v>
      </c>
      <c r="P165" t="s">
        <v>32</v>
      </c>
      <c r="Q165" t="s">
        <v>31</v>
      </c>
      <c r="R165" s="1">
        <v>45618</v>
      </c>
      <c r="S165" t="s">
        <v>33</v>
      </c>
      <c r="T165" t="s">
        <v>34</v>
      </c>
      <c r="W165" t="s">
        <v>35</v>
      </c>
      <c r="X165" t="str">
        <f>IF(OR(orders_Q4[[#This Row],[Qty]]&gt;5,orders_Q4[[#This Row],[Qty]]&lt;0),"Invalid Quantity","OK")</f>
        <v>OK</v>
      </c>
      <c r="Y165" t="b">
        <f>OR(orders_Q4[[#This Row],[Unit Price]]&gt;20000,orders_Q4[[#This Row],[Unit Price]]&lt;0,orders_Q4[[#This Row],[Unit Price]]=0)</f>
        <v>0</v>
      </c>
      <c r="Z16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65">
        <f>orders_Q4[[#This Row],[Unit Price]] * orders_Q4[[#This Row],[Qty]] * (1 - orders_Q4[[#This Row],[Disc %]]/100)</f>
        <v>1799</v>
      </c>
      <c r="AB165" t="str">
        <f>IF(ABS(orders_Q4[[#This Row],[Total]] - orders_Q4[[#This Row],[Calculated_order_total]]) &gt; 1, "Mismatch", "OK")</f>
        <v>OK</v>
      </c>
      <c r="AC165">
        <f>COUNTIF(C:C,orders_Q4[[#This Row],[Customer ID]])</f>
        <v>1</v>
      </c>
      <c r="AD165" t="str">
        <f>IF(AND(orders_Q4[[#This Row],[Type]]="New",orders_Q4[[#This Row],[Customer_id_count]]&gt;1),"Existing customer","OK")</f>
        <v>OK</v>
      </c>
      <c r="AE165">
        <f>orders_Q4[[#This Row],[Del Date]]-orders_Q4[[#This Row],[Order Date]]</f>
        <v>12</v>
      </c>
      <c r="AF165" t="str">
        <f>IF(OR(orders_Q4[[#This Row],[Delivery_time]]&gt;30,orders_Q4[[#This Row],[Delivery_time]]&lt;0),"Invalid_delivery_time","OK")</f>
        <v>OK</v>
      </c>
      <c r="AG165" s="20">
        <f>IF(
   AND(NOT(ISBLANK(orders_Q4[[#This Row],[return_received]])), NOT(ISBLANK(orders_Q4[[#This Row],[Del Date]]))),
   orders_Q4[[#This Row],[return_received]] - orders_Q4[[#This Row],[Del Date]],0)</f>
        <v>0</v>
      </c>
      <c r="AH165" t="str">
        <f>TEXT(orders_Q4[[#This Row],[Order Date]],"mmm-yyyy")</f>
        <v>Nov-2024</v>
      </c>
      <c r="AI165" s="1" t="str">
        <f>TEXT(orders_Q4[[#This Row],[Order Date]],"yyyy") &amp; "-" &amp; WEEKNUM(orders_Q4[[#This Row],[Order Date]])</f>
        <v>2024-46</v>
      </c>
      <c r="AJ165" t="str">
        <f>IF(orders_Q4[[#This Row],[Payment]]="COD","COD","Prepaid")</f>
        <v>Prepaid</v>
      </c>
    </row>
    <row r="166" spans="1:36" x14ac:dyDescent="0.3">
      <c r="A166" t="s">
        <v>747</v>
      </c>
      <c r="B166" s="1">
        <v>45606</v>
      </c>
      <c r="C166" t="s">
        <v>748</v>
      </c>
      <c r="D166" t="s">
        <v>25</v>
      </c>
      <c r="E166" t="s">
        <v>749</v>
      </c>
      <c r="F166" t="s">
        <v>71</v>
      </c>
      <c r="G166" t="s">
        <v>750</v>
      </c>
      <c r="H166">
        <v>699</v>
      </c>
      <c r="I166">
        <v>2</v>
      </c>
      <c r="J166">
        <v>1398</v>
      </c>
      <c r="L166">
        <v>0</v>
      </c>
      <c r="M166" t="s">
        <v>64</v>
      </c>
      <c r="N166" t="s">
        <v>65</v>
      </c>
      <c r="O166" t="s">
        <v>182</v>
      </c>
      <c r="P166" t="s">
        <v>183</v>
      </c>
      <c r="Q166" t="s">
        <v>56</v>
      </c>
      <c r="R166" s="1">
        <v>45619</v>
      </c>
      <c r="S166" t="s">
        <v>33</v>
      </c>
      <c r="T166" t="s">
        <v>34</v>
      </c>
      <c r="W166" t="s">
        <v>35</v>
      </c>
      <c r="X166" t="str">
        <f>IF(OR(orders_Q4[[#This Row],[Qty]]&gt;5,orders_Q4[[#This Row],[Qty]]&lt;0),"Invalid Quantity","OK")</f>
        <v>OK</v>
      </c>
      <c r="Y166" t="b">
        <f>OR(orders_Q4[[#This Row],[Unit Price]]&gt;20000,orders_Q4[[#This Row],[Unit Price]]&lt;0,orders_Q4[[#This Row],[Unit Price]]=0)</f>
        <v>0</v>
      </c>
      <c r="Z16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66">
        <f>orders_Q4[[#This Row],[Unit Price]] * orders_Q4[[#This Row],[Qty]] * (1 - orders_Q4[[#This Row],[Disc %]]/100)</f>
        <v>1398</v>
      </c>
      <c r="AB166" t="str">
        <f>IF(ABS(orders_Q4[[#This Row],[Total]] - orders_Q4[[#This Row],[Calculated_order_total]]) &gt; 1, "Mismatch", "OK")</f>
        <v>OK</v>
      </c>
      <c r="AC166">
        <f>COUNTIF(C:C,orders_Q4[[#This Row],[Customer ID]])</f>
        <v>1</v>
      </c>
      <c r="AD166" t="str">
        <f>IF(AND(orders_Q4[[#This Row],[Type]]="New",orders_Q4[[#This Row],[Customer_id_count]]&gt;1),"Existing customer","OK")</f>
        <v>OK</v>
      </c>
      <c r="AE166">
        <f>orders_Q4[[#This Row],[Del Date]]-orders_Q4[[#This Row],[Order Date]]</f>
        <v>13</v>
      </c>
      <c r="AF166" t="str">
        <f>IF(OR(orders_Q4[[#This Row],[Delivery_time]]&gt;30,orders_Q4[[#This Row],[Delivery_time]]&lt;0),"Invalid_delivery_time","OK")</f>
        <v>OK</v>
      </c>
      <c r="AG166" s="20">
        <f>IF(
   AND(NOT(ISBLANK(orders_Q4[[#This Row],[return_received]])), NOT(ISBLANK(orders_Q4[[#This Row],[Del Date]]))),
   orders_Q4[[#This Row],[return_received]] - orders_Q4[[#This Row],[Del Date]],0)</f>
        <v>0</v>
      </c>
      <c r="AH166" t="str">
        <f>TEXT(orders_Q4[[#This Row],[Order Date]],"mmm-yyyy")</f>
        <v>Nov-2024</v>
      </c>
      <c r="AI166" s="1" t="str">
        <f>TEXT(orders_Q4[[#This Row],[Order Date]],"yyyy") &amp; "-" &amp; WEEKNUM(orders_Q4[[#This Row],[Order Date]])</f>
        <v>2024-46</v>
      </c>
      <c r="AJ166" t="str">
        <f>IF(orders_Q4[[#This Row],[Payment]]="COD","COD","Prepaid")</f>
        <v>Prepaid</v>
      </c>
    </row>
    <row r="167" spans="1:36" x14ac:dyDescent="0.3">
      <c r="A167" t="s">
        <v>751</v>
      </c>
      <c r="B167" s="1">
        <v>45607</v>
      </c>
      <c r="C167" t="s">
        <v>752</v>
      </c>
      <c r="D167" t="s">
        <v>25</v>
      </c>
      <c r="E167" t="s">
        <v>499</v>
      </c>
      <c r="F167" t="s">
        <v>27</v>
      </c>
      <c r="G167" t="s">
        <v>753</v>
      </c>
      <c r="H167">
        <v>1599</v>
      </c>
      <c r="I167">
        <v>1</v>
      </c>
      <c r="J167">
        <v>1599</v>
      </c>
      <c r="K167" s="2">
        <v>46341</v>
      </c>
      <c r="L167">
        <v>15</v>
      </c>
      <c r="M167" t="s">
        <v>43</v>
      </c>
      <c r="N167" t="s">
        <v>30</v>
      </c>
      <c r="O167" t="s">
        <v>188</v>
      </c>
      <c r="P167" t="s">
        <v>189</v>
      </c>
      <c r="Q167" t="s">
        <v>56</v>
      </c>
      <c r="R167" s="1">
        <v>45620</v>
      </c>
      <c r="S167" t="s">
        <v>33</v>
      </c>
      <c r="T167" t="s">
        <v>46</v>
      </c>
      <c r="U167" t="s">
        <v>47</v>
      </c>
      <c r="V167" s="1">
        <v>45649</v>
      </c>
      <c r="W167" t="s">
        <v>48</v>
      </c>
      <c r="X167" t="str">
        <f>IF(OR(orders_Q4[[#This Row],[Qty]]&gt;5,orders_Q4[[#This Row],[Qty]]&lt;0),"Invalid Quantity","OK")</f>
        <v>OK</v>
      </c>
      <c r="Y167" t="b">
        <f>OR(orders_Q4[[#This Row],[Unit Price]]&gt;20000,orders_Q4[[#This Row],[Unit Price]]&lt;0,orders_Q4[[#This Row],[Unit Price]]=0)</f>
        <v>0</v>
      </c>
      <c r="Z16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67">
        <f>orders_Q4[[#This Row],[Unit Price]] * orders_Q4[[#This Row],[Qty]] * (1 - orders_Q4[[#This Row],[Disc %]]/100)</f>
        <v>1359.1499999999999</v>
      </c>
      <c r="AB167" t="str">
        <f>IF(ABS(orders_Q4[[#This Row],[Total]] - orders_Q4[[#This Row],[Calculated_order_total]]) &gt; 1, "Mismatch", "OK")</f>
        <v>Mismatch</v>
      </c>
      <c r="AC167">
        <f>COUNTIF(C:C,orders_Q4[[#This Row],[Customer ID]])</f>
        <v>1</v>
      </c>
      <c r="AD167" t="str">
        <f>IF(AND(orders_Q4[[#This Row],[Type]]="New",orders_Q4[[#This Row],[Customer_id_count]]&gt;1),"Existing customer","OK")</f>
        <v>OK</v>
      </c>
      <c r="AE167">
        <f>orders_Q4[[#This Row],[Del Date]]-orders_Q4[[#This Row],[Order Date]]</f>
        <v>13</v>
      </c>
      <c r="AF167" t="str">
        <f>IF(OR(orders_Q4[[#This Row],[Delivery_time]]&gt;30,orders_Q4[[#This Row],[Delivery_time]]&lt;0),"Invalid_delivery_time","OK")</f>
        <v>OK</v>
      </c>
      <c r="AG167" s="20">
        <f>IF(
   AND(NOT(ISBLANK(orders_Q4[[#This Row],[return_received]])), NOT(ISBLANK(orders_Q4[[#This Row],[Del Date]]))),
   orders_Q4[[#This Row],[return_received]] - orders_Q4[[#This Row],[Del Date]],0)</f>
        <v>29</v>
      </c>
      <c r="AH167" t="str">
        <f>TEXT(orders_Q4[[#This Row],[Order Date]],"mmm-yyyy")</f>
        <v>Nov-2024</v>
      </c>
      <c r="AI167" s="1" t="str">
        <f>TEXT(orders_Q4[[#This Row],[Order Date]],"yyyy") &amp; "-" &amp; WEEKNUM(orders_Q4[[#This Row],[Order Date]])</f>
        <v>2024-46</v>
      </c>
      <c r="AJ167" t="str">
        <f>IF(orders_Q4[[#This Row],[Payment]]="COD","COD","Prepaid")</f>
        <v>Prepaid</v>
      </c>
    </row>
    <row r="168" spans="1:36" x14ac:dyDescent="0.3">
      <c r="A168" t="s">
        <v>754</v>
      </c>
      <c r="B168" s="1">
        <v>45607</v>
      </c>
      <c r="C168" t="s">
        <v>755</v>
      </c>
      <c r="D168" t="s">
        <v>25</v>
      </c>
      <c r="E168" t="s">
        <v>756</v>
      </c>
      <c r="F168" t="s">
        <v>40</v>
      </c>
      <c r="G168" t="s">
        <v>757</v>
      </c>
      <c r="H168">
        <v>2899</v>
      </c>
      <c r="I168">
        <v>1</v>
      </c>
      <c r="J168">
        <v>2899</v>
      </c>
      <c r="L168">
        <v>0</v>
      </c>
      <c r="M168" t="s">
        <v>55</v>
      </c>
      <c r="N168" t="s">
        <v>44</v>
      </c>
      <c r="O168" t="s">
        <v>194</v>
      </c>
      <c r="P168" t="s">
        <v>183</v>
      </c>
      <c r="Q168" t="s">
        <v>56</v>
      </c>
      <c r="R168" s="1">
        <v>45622</v>
      </c>
      <c r="S168" t="s">
        <v>33</v>
      </c>
      <c r="T168" t="s">
        <v>46</v>
      </c>
      <c r="U168" t="s">
        <v>104</v>
      </c>
      <c r="V168" s="1">
        <v>45651</v>
      </c>
      <c r="W168" t="s">
        <v>48</v>
      </c>
      <c r="X168" t="str">
        <f>IF(OR(orders_Q4[[#This Row],[Qty]]&gt;5,orders_Q4[[#This Row],[Qty]]&lt;0),"Invalid Quantity","OK")</f>
        <v>OK</v>
      </c>
      <c r="Y168" t="b">
        <f>OR(orders_Q4[[#This Row],[Unit Price]]&gt;20000,orders_Q4[[#This Row],[Unit Price]]&lt;0,orders_Q4[[#This Row],[Unit Price]]=0)</f>
        <v>0</v>
      </c>
      <c r="Z16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68">
        <f>orders_Q4[[#This Row],[Unit Price]] * orders_Q4[[#This Row],[Qty]] * (1 - orders_Q4[[#This Row],[Disc %]]/100)</f>
        <v>2899</v>
      </c>
      <c r="AB168" t="str">
        <f>IF(ABS(orders_Q4[[#This Row],[Total]] - orders_Q4[[#This Row],[Calculated_order_total]]) &gt; 1, "Mismatch", "OK")</f>
        <v>OK</v>
      </c>
      <c r="AC168">
        <f>COUNTIF(C:C,orders_Q4[[#This Row],[Customer ID]])</f>
        <v>1</v>
      </c>
      <c r="AD168" t="str">
        <f>IF(AND(orders_Q4[[#This Row],[Type]]="New",orders_Q4[[#This Row],[Customer_id_count]]&gt;1),"Existing customer","OK")</f>
        <v>OK</v>
      </c>
      <c r="AE168">
        <f>orders_Q4[[#This Row],[Del Date]]-orders_Q4[[#This Row],[Order Date]]</f>
        <v>15</v>
      </c>
      <c r="AF168" t="str">
        <f>IF(OR(orders_Q4[[#This Row],[Delivery_time]]&gt;30,orders_Q4[[#This Row],[Delivery_time]]&lt;0),"Invalid_delivery_time","OK")</f>
        <v>OK</v>
      </c>
      <c r="AG168" s="20">
        <f>IF(
   AND(NOT(ISBLANK(orders_Q4[[#This Row],[return_received]])), NOT(ISBLANK(orders_Q4[[#This Row],[Del Date]]))),
   orders_Q4[[#This Row],[return_received]] - orders_Q4[[#This Row],[Del Date]],0)</f>
        <v>29</v>
      </c>
      <c r="AH168" t="str">
        <f>TEXT(orders_Q4[[#This Row],[Order Date]],"mmm-yyyy")</f>
        <v>Nov-2024</v>
      </c>
      <c r="AI168" s="1" t="str">
        <f>TEXT(orders_Q4[[#This Row],[Order Date]],"yyyy") &amp; "-" &amp; WEEKNUM(orders_Q4[[#This Row],[Order Date]])</f>
        <v>2024-46</v>
      </c>
      <c r="AJ168" t="str">
        <f>IF(orders_Q4[[#This Row],[Payment]]="COD","COD","Prepaid")</f>
        <v>COD</v>
      </c>
    </row>
    <row r="169" spans="1:36" x14ac:dyDescent="0.3">
      <c r="A169" t="s">
        <v>758</v>
      </c>
      <c r="B169" s="1">
        <v>45607</v>
      </c>
      <c r="C169" t="s">
        <v>759</v>
      </c>
      <c r="D169" t="s">
        <v>38</v>
      </c>
      <c r="E169" t="s">
        <v>760</v>
      </c>
      <c r="F169" t="s">
        <v>53</v>
      </c>
      <c r="G169" t="s">
        <v>761</v>
      </c>
      <c r="H169">
        <v>2199</v>
      </c>
      <c r="I169">
        <v>1</v>
      </c>
      <c r="J169">
        <v>2199</v>
      </c>
      <c r="L169">
        <v>0</v>
      </c>
      <c r="M169" t="s">
        <v>29</v>
      </c>
      <c r="N169" t="s">
        <v>65</v>
      </c>
      <c r="O169" t="s">
        <v>199</v>
      </c>
      <c r="P169" t="s">
        <v>57</v>
      </c>
      <c r="Q169" t="s">
        <v>56</v>
      </c>
      <c r="R169" s="1">
        <v>45620</v>
      </c>
      <c r="S169" t="s">
        <v>33</v>
      </c>
      <c r="T169" t="s">
        <v>34</v>
      </c>
      <c r="W169" t="s">
        <v>35</v>
      </c>
      <c r="X169" t="str">
        <f>IF(OR(orders_Q4[[#This Row],[Qty]]&gt;5,orders_Q4[[#This Row],[Qty]]&lt;0),"Invalid Quantity","OK")</f>
        <v>OK</v>
      </c>
      <c r="Y169" t="b">
        <f>OR(orders_Q4[[#This Row],[Unit Price]]&gt;20000,orders_Q4[[#This Row],[Unit Price]]&lt;0,orders_Q4[[#This Row],[Unit Price]]=0)</f>
        <v>0</v>
      </c>
      <c r="Z16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69">
        <f>orders_Q4[[#This Row],[Unit Price]] * orders_Q4[[#This Row],[Qty]] * (1 - orders_Q4[[#This Row],[Disc %]]/100)</f>
        <v>2199</v>
      </c>
      <c r="AB169" t="str">
        <f>IF(ABS(orders_Q4[[#This Row],[Total]] - orders_Q4[[#This Row],[Calculated_order_total]]) &gt; 1, "Mismatch", "OK")</f>
        <v>OK</v>
      </c>
      <c r="AC169">
        <f>COUNTIF(C:C,orders_Q4[[#This Row],[Customer ID]])</f>
        <v>1</v>
      </c>
      <c r="AD169" t="str">
        <f>IF(AND(orders_Q4[[#This Row],[Type]]="New",orders_Q4[[#This Row],[Customer_id_count]]&gt;1),"Existing customer","OK")</f>
        <v>OK</v>
      </c>
      <c r="AE169">
        <f>orders_Q4[[#This Row],[Del Date]]-orders_Q4[[#This Row],[Order Date]]</f>
        <v>13</v>
      </c>
      <c r="AF169" t="str">
        <f>IF(OR(orders_Q4[[#This Row],[Delivery_time]]&gt;30,orders_Q4[[#This Row],[Delivery_time]]&lt;0),"Invalid_delivery_time","OK")</f>
        <v>OK</v>
      </c>
      <c r="AG169" s="20">
        <f>IF(
   AND(NOT(ISBLANK(orders_Q4[[#This Row],[return_received]])), NOT(ISBLANK(orders_Q4[[#This Row],[Del Date]]))),
   orders_Q4[[#This Row],[return_received]] - orders_Q4[[#This Row],[Del Date]],0)</f>
        <v>0</v>
      </c>
      <c r="AH169" t="str">
        <f>TEXT(orders_Q4[[#This Row],[Order Date]],"mmm-yyyy")</f>
        <v>Nov-2024</v>
      </c>
      <c r="AI169" s="1" t="str">
        <f>TEXT(orders_Q4[[#This Row],[Order Date]],"yyyy") &amp; "-" &amp; WEEKNUM(orders_Q4[[#This Row],[Order Date]])</f>
        <v>2024-46</v>
      </c>
      <c r="AJ169" t="str">
        <f>IF(orders_Q4[[#This Row],[Payment]]="COD","COD","Prepaid")</f>
        <v>Prepaid</v>
      </c>
    </row>
    <row r="170" spans="1:36" x14ac:dyDescent="0.3">
      <c r="A170" t="s">
        <v>762</v>
      </c>
      <c r="B170" s="1">
        <v>45608</v>
      </c>
      <c r="C170" t="s">
        <v>763</v>
      </c>
      <c r="D170" t="s">
        <v>25</v>
      </c>
      <c r="E170" t="s">
        <v>764</v>
      </c>
      <c r="F170" t="s">
        <v>61</v>
      </c>
      <c r="G170" t="s">
        <v>765</v>
      </c>
      <c r="H170">
        <v>5599</v>
      </c>
      <c r="I170">
        <v>1</v>
      </c>
      <c r="J170">
        <v>5599</v>
      </c>
      <c r="L170">
        <v>0</v>
      </c>
      <c r="M170" t="s">
        <v>43</v>
      </c>
      <c r="N170" t="s">
        <v>30</v>
      </c>
      <c r="O170" t="s">
        <v>204</v>
      </c>
      <c r="P170" t="s">
        <v>97</v>
      </c>
      <c r="Q170" t="s">
        <v>31</v>
      </c>
      <c r="R170" s="1">
        <v>45623</v>
      </c>
      <c r="S170" t="s">
        <v>33</v>
      </c>
      <c r="T170" t="s">
        <v>46</v>
      </c>
      <c r="U170" t="s">
        <v>79</v>
      </c>
      <c r="V170" s="1">
        <v>45652</v>
      </c>
      <c r="W170" t="s">
        <v>48</v>
      </c>
      <c r="X170" t="str">
        <f>IF(OR(orders_Q4[[#This Row],[Qty]]&gt;5,orders_Q4[[#This Row],[Qty]]&lt;0),"Invalid Quantity","OK")</f>
        <v>OK</v>
      </c>
      <c r="Y170" t="b">
        <f>OR(orders_Q4[[#This Row],[Unit Price]]&gt;20000,orders_Q4[[#This Row],[Unit Price]]&lt;0,orders_Q4[[#This Row],[Unit Price]]=0)</f>
        <v>0</v>
      </c>
      <c r="Z17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70">
        <f>orders_Q4[[#This Row],[Unit Price]] * orders_Q4[[#This Row],[Qty]] * (1 - orders_Q4[[#This Row],[Disc %]]/100)</f>
        <v>5599</v>
      </c>
      <c r="AB170" t="str">
        <f>IF(ABS(orders_Q4[[#This Row],[Total]] - orders_Q4[[#This Row],[Calculated_order_total]]) &gt; 1, "Mismatch", "OK")</f>
        <v>OK</v>
      </c>
      <c r="AC170">
        <f>COUNTIF(C:C,orders_Q4[[#This Row],[Customer ID]])</f>
        <v>1</v>
      </c>
      <c r="AD170" t="str">
        <f>IF(AND(orders_Q4[[#This Row],[Type]]="New",orders_Q4[[#This Row],[Customer_id_count]]&gt;1),"Existing customer","OK")</f>
        <v>OK</v>
      </c>
      <c r="AE170">
        <f>orders_Q4[[#This Row],[Del Date]]-orders_Q4[[#This Row],[Order Date]]</f>
        <v>15</v>
      </c>
      <c r="AF170" t="str">
        <f>IF(OR(orders_Q4[[#This Row],[Delivery_time]]&gt;30,orders_Q4[[#This Row],[Delivery_time]]&lt;0),"Invalid_delivery_time","OK")</f>
        <v>OK</v>
      </c>
      <c r="AG170" s="20">
        <f>IF(
   AND(NOT(ISBLANK(orders_Q4[[#This Row],[return_received]])), NOT(ISBLANK(orders_Q4[[#This Row],[Del Date]]))),
   orders_Q4[[#This Row],[return_received]] - orders_Q4[[#This Row],[Del Date]],0)</f>
        <v>29</v>
      </c>
      <c r="AH170" t="str">
        <f>TEXT(orders_Q4[[#This Row],[Order Date]],"mmm-yyyy")</f>
        <v>Nov-2024</v>
      </c>
      <c r="AI170" s="1" t="str">
        <f>TEXT(orders_Q4[[#This Row],[Order Date]],"yyyy") &amp; "-" &amp; WEEKNUM(orders_Q4[[#This Row],[Order Date]])</f>
        <v>2024-46</v>
      </c>
      <c r="AJ170" t="str">
        <f>IF(orders_Q4[[#This Row],[Payment]]="COD","COD","Prepaid")</f>
        <v>Prepaid</v>
      </c>
    </row>
    <row r="171" spans="1:36" x14ac:dyDescent="0.3">
      <c r="A171" t="s">
        <v>766</v>
      </c>
      <c r="B171" s="1">
        <v>45608</v>
      </c>
      <c r="C171" t="s">
        <v>767</v>
      </c>
      <c r="D171" t="s">
        <v>25</v>
      </c>
      <c r="E171" t="s">
        <v>768</v>
      </c>
      <c r="F171" t="s">
        <v>71</v>
      </c>
      <c r="G171" t="s">
        <v>769</v>
      </c>
      <c r="H171">
        <v>399</v>
      </c>
      <c r="I171">
        <v>2</v>
      </c>
      <c r="J171">
        <v>798</v>
      </c>
      <c r="K171" s="2">
        <v>46341</v>
      </c>
      <c r="L171">
        <v>15</v>
      </c>
      <c r="M171" t="s">
        <v>111</v>
      </c>
      <c r="N171" t="s">
        <v>44</v>
      </c>
      <c r="O171" t="s">
        <v>209</v>
      </c>
      <c r="P171" t="s">
        <v>97</v>
      </c>
      <c r="Q171" t="s">
        <v>31</v>
      </c>
      <c r="R171" s="1">
        <v>45621</v>
      </c>
      <c r="S171" t="s">
        <v>33</v>
      </c>
      <c r="T171" t="s">
        <v>34</v>
      </c>
      <c r="W171" t="s">
        <v>35</v>
      </c>
      <c r="X171" t="str">
        <f>IF(OR(orders_Q4[[#This Row],[Qty]]&gt;5,orders_Q4[[#This Row],[Qty]]&lt;0),"Invalid Quantity","OK")</f>
        <v>OK</v>
      </c>
      <c r="Y171" t="b">
        <f>OR(orders_Q4[[#This Row],[Unit Price]]&gt;20000,orders_Q4[[#This Row],[Unit Price]]&lt;0,orders_Q4[[#This Row],[Unit Price]]=0)</f>
        <v>0</v>
      </c>
      <c r="Z17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71">
        <f>orders_Q4[[#This Row],[Unit Price]] * orders_Q4[[#This Row],[Qty]] * (1 - orders_Q4[[#This Row],[Disc %]]/100)</f>
        <v>678.3</v>
      </c>
      <c r="AB171" t="str">
        <f>IF(ABS(orders_Q4[[#This Row],[Total]] - orders_Q4[[#This Row],[Calculated_order_total]]) &gt; 1, "Mismatch", "OK")</f>
        <v>Mismatch</v>
      </c>
      <c r="AC171">
        <f>COUNTIF(C:C,orders_Q4[[#This Row],[Customer ID]])</f>
        <v>1</v>
      </c>
      <c r="AD171" t="str">
        <f>IF(AND(orders_Q4[[#This Row],[Type]]="New",orders_Q4[[#This Row],[Customer_id_count]]&gt;1),"Existing customer","OK")</f>
        <v>OK</v>
      </c>
      <c r="AE171">
        <f>orders_Q4[[#This Row],[Del Date]]-orders_Q4[[#This Row],[Order Date]]</f>
        <v>13</v>
      </c>
      <c r="AF171" t="str">
        <f>IF(OR(orders_Q4[[#This Row],[Delivery_time]]&gt;30,orders_Q4[[#This Row],[Delivery_time]]&lt;0),"Invalid_delivery_time","OK")</f>
        <v>OK</v>
      </c>
      <c r="AG171" s="20">
        <f>IF(
   AND(NOT(ISBLANK(orders_Q4[[#This Row],[return_received]])), NOT(ISBLANK(orders_Q4[[#This Row],[Del Date]]))),
   orders_Q4[[#This Row],[return_received]] - orders_Q4[[#This Row],[Del Date]],0)</f>
        <v>0</v>
      </c>
      <c r="AH171" t="str">
        <f>TEXT(orders_Q4[[#This Row],[Order Date]],"mmm-yyyy")</f>
        <v>Nov-2024</v>
      </c>
      <c r="AI171" s="1" t="str">
        <f>TEXT(orders_Q4[[#This Row],[Order Date]],"yyyy") &amp; "-" &amp; WEEKNUM(orders_Q4[[#This Row],[Order Date]])</f>
        <v>2024-46</v>
      </c>
      <c r="AJ171" t="str">
        <f>IF(orders_Q4[[#This Row],[Payment]]="COD","COD","Prepaid")</f>
        <v>Prepaid</v>
      </c>
    </row>
    <row r="172" spans="1:36" x14ac:dyDescent="0.3">
      <c r="A172" t="s">
        <v>770</v>
      </c>
      <c r="B172" s="1">
        <v>45608</v>
      </c>
      <c r="C172" t="s">
        <v>771</v>
      </c>
      <c r="D172" t="s">
        <v>25</v>
      </c>
      <c r="E172" t="s">
        <v>772</v>
      </c>
      <c r="F172" t="s">
        <v>27</v>
      </c>
      <c r="G172" t="s">
        <v>773</v>
      </c>
      <c r="H172">
        <v>1899</v>
      </c>
      <c r="I172">
        <v>1</v>
      </c>
      <c r="J172">
        <v>1899</v>
      </c>
      <c r="L172">
        <v>0</v>
      </c>
      <c r="M172" t="s">
        <v>64</v>
      </c>
      <c r="N172" t="s">
        <v>65</v>
      </c>
      <c r="O172" t="s">
        <v>214</v>
      </c>
      <c r="P172" t="s">
        <v>113</v>
      </c>
      <c r="Q172" t="s">
        <v>45</v>
      </c>
      <c r="R172" s="1">
        <v>45622</v>
      </c>
      <c r="S172" t="s">
        <v>33</v>
      </c>
      <c r="T172" t="s">
        <v>46</v>
      </c>
      <c r="U172" t="s">
        <v>68</v>
      </c>
      <c r="V172" s="1">
        <v>45650</v>
      </c>
      <c r="W172" t="s">
        <v>48</v>
      </c>
      <c r="X172" t="str">
        <f>IF(OR(orders_Q4[[#This Row],[Qty]]&gt;5,orders_Q4[[#This Row],[Qty]]&lt;0),"Invalid Quantity","OK")</f>
        <v>OK</v>
      </c>
      <c r="Y172" t="b">
        <f>OR(orders_Q4[[#This Row],[Unit Price]]&gt;20000,orders_Q4[[#This Row],[Unit Price]]&lt;0,orders_Q4[[#This Row],[Unit Price]]=0)</f>
        <v>0</v>
      </c>
      <c r="Z17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72">
        <f>orders_Q4[[#This Row],[Unit Price]] * orders_Q4[[#This Row],[Qty]] * (1 - orders_Q4[[#This Row],[Disc %]]/100)</f>
        <v>1899</v>
      </c>
      <c r="AB172" t="str">
        <f>IF(ABS(orders_Q4[[#This Row],[Total]] - orders_Q4[[#This Row],[Calculated_order_total]]) &gt; 1, "Mismatch", "OK")</f>
        <v>OK</v>
      </c>
      <c r="AC172">
        <f>COUNTIF(C:C,orders_Q4[[#This Row],[Customer ID]])</f>
        <v>1</v>
      </c>
      <c r="AD172" t="str">
        <f>IF(AND(orders_Q4[[#This Row],[Type]]="New",orders_Q4[[#This Row],[Customer_id_count]]&gt;1),"Existing customer","OK")</f>
        <v>OK</v>
      </c>
      <c r="AE172">
        <f>orders_Q4[[#This Row],[Del Date]]-orders_Q4[[#This Row],[Order Date]]</f>
        <v>14</v>
      </c>
      <c r="AF172" t="str">
        <f>IF(OR(orders_Q4[[#This Row],[Delivery_time]]&gt;30,orders_Q4[[#This Row],[Delivery_time]]&lt;0),"Invalid_delivery_time","OK")</f>
        <v>OK</v>
      </c>
      <c r="AG172" s="20">
        <f>IF(
   AND(NOT(ISBLANK(orders_Q4[[#This Row],[return_received]])), NOT(ISBLANK(orders_Q4[[#This Row],[Del Date]]))),
   orders_Q4[[#This Row],[return_received]] - orders_Q4[[#This Row],[Del Date]],0)</f>
        <v>28</v>
      </c>
      <c r="AH172" t="str">
        <f>TEXT(orders_Q4[[#This Row],[Order Date]],"mmm-yyyy")</f>
        <v>Nov-2024</v>
      </c>
      <c r="AI172" s="1" t="str">
        <f>TEXT(orders_Q4[[#This Row],[Order Date]],"yyyy") &amp; "-" &amp; WEEKNUM(orders_Q4[[#This Row],[Order Date]])</f>
        <v>2024-46</v>
      </c>
      <c r="AJ172" t="str">
        <f>IF(orders_Q4[[#This Row],[Payment]]="COD","COD","Prepaid")</f>
        <v>Prepaid</v>
      </c>
    </row>
    <row r="173" spans="1:36" x14ac:dyDescent="0.3">
      <c r="A173" t="s">
        <v>774</v>
      </c>
      <c r="B173" s="1">
        <v>45609</v>
      </c>
      <c r="C173" t="s">
        <v>775</v>
      </c>
      <c r="D173" t="s">
        <v>25</v>
      </c>
      <c r="E173" t="s">
        <v>776</v>
      </c>
      <c r="F173" t="s">
        <v>40</v>
      </c>
      <c r="G173" t="s">
        <v>777</v>
      </c>
      <c r="H173">
        <v>2699</v>
      </c>
      <c r="I173">
        <v>1</v>
      </c>
      <c r="J173">
        <v>2699</v>
      </c>
      <c r="L173">
        <v>0</v>
      </c>
      <c r="M173" t="s">
        <v>29</v>
      </c>
      <c r="N173" t="s">
        <v>30</v>
      </c>
      <c r="O173" t="s">
        <v>31</v>
      </c>
      <c r="P173" t="s">
        <v>32</v>
      </c>
      <c r="Q173" t="s">
        <v>31</v>
      </c>
      <c r="R173" s="1">
        <v>45624</v>
      </c>
      <c r="S173" t="s">
        <v>33</v>
      </c>
      <c r="T173" t="s">
        <v>34</v>
      </c>
      <c r="W173" t="s">
        <v>35</v>
      </c>
      <c r="X173" t="str">
        <f>IF(OR(orders_Q4[[#This Row],[Qty]]&gt;5,orders_Q4[[#This Row],[Qty]]&lt;0),"Invalid Quantity","OK")</f>
        <v>OK</v>
      </c>
      <c r="Y173" t="b">
        <f>OR(orders_Q4[[#This Row],[Unit Price]]&gt;20000,orders_Q4[[#This Row],[Unit Price]]&lt;0,orders_Q4[[#This Row],[Unit Price]]=0)</f>
        <v>0</v>
      </c>
      <c r="Z17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73">
        <f>orders_Q4[[#This Row],[Unit Price]] * orders_Q4[[#This Row],[Qty]] * (1 - orders_Q4[[#This Row],[Disc %]]/100)</f>
        <v>2699</v>
      </c>
      <c r="AB173" t="str">
        <f>IF(ABS(orders_Q4[[#This Row],[Total]] - orders_Q4[[#This Row],[Calculated_order_total]]) &gt; 1, "Mismatch", "OK")</f>
        <v>OK</v>
      </c>
      <c r="AC173">
        <f>COUNTIF(C:C,orders_Q4[[#This Row],[Customer ID]])</f>
        <v>1</v>
      </c>
      <c r="AD173" t="str">
        <f>IF(AND(orders_Q4[[#This Row],[Type]]="New",orders_Q4[[#This Row],[Customer_id_count]]&gt;1),"Existing customer","OK")</f>
        <v>OK</v>
      </c>
      <c r="AE173">
        <f>orders_Q4[[#This Row],[Del Date]]-orders_Q4[[#This Row],[Order Date]]</f>
        <v>15</v>
      </c>
      <c r="AF173" t="str">
        <f>IF(OR(orders_Q4[[#This Row],[Delivery_time]]&gt;30,orders_Q4[[#This Row],[Delivery_time]]&lt;0),"Invalid_delivery_time","OK")</f>
        <v>OK</v>
      </c>
      <c r="AG173" s="20">
        <f>IF(
   AND(NOT(ISBLANK(orders_Q4[[#This Row],[return_received]])), NOT(ISBLANK(orders_Q4[[#This Row],[Del Date]]))),
   orders_Q4[[#This Row],[return_received]] - orders_Q4[[#This Row],[Del Date]],0)</f>
        <v>0</v>
      </c>
      <c r="AH173" t="str">
        <f>TEXT(orders_Q4[[#This Row],[Order Date]],"mmm-yyyy")</f>
        <v>Nov-2024</v>
      </c>
      <c r="AI173" s="1" t="str">
        <f>TEXT(orders_Q4[[#This Row],[Order Date]],"yyyy") &amp; "-" &amp; WEEKNUM(orders_Q4[[#This Row],[Order Date]])</f>
        <v>2024-46</v>
      </c>
      <c r="AJ173" t="str">
        <f>IF(orders_Q4[[#This Row],[Payment]]="COD","COD","Prepaid")</f>
        <v>Prepaid</v>
      </c>
    </row>
    <row r="174" spans="1:36" x14ac:dyDescent="0.3">
      <c r="A174" t="s">
        <v>778</v>
      </c>
      <c r="B174" s="1">
        <v>45609</v>
      </c>
      <c r="C174" t="s">
        <v>779</v>
      </c>
      <c r="D174" t="s">
        <v>38</v>
      </c>
      <c r="E174" t="s">
        <v>780</v>
      </c>
      <c r="F174" t="s">
        <v>53</v>
      </c>
      <c r="G174" t="s">
        <v>781</v>
      </c>
      <c r="H174">
        <v>2499</v>
      </c>
      <c r="I174">
        <v>1</v>
      </c>
      <c r="J174">
        <v>2499</v>
      </c>
      <c r="K174" s="2">
        <v>46341</v>
      </c>
      <c r="L174">
        <v>15</v>
      </c>
      <c r="M174" t="s">
        <v>43</v>
      </c>
      <c r="N174" t="s">
        <v>44</v>
      </c>
      <c r="O174" t="s">
        <v>45</v>
      </c>
      <c r="P174" t="s">
        <v>45</v>
      </c>
      <c r="Q174" t="s">
        <v>45</v>
      </c>
      <c r="R174" s="1">
        <v>45622</v>
      </c>
      <c r="S174" t="s">
        <v>33</v>
      </c>
      <c r="T174" t="s">
        <v>46</v>
      </c>
      <c r="U174" t="s">
        <v>47</v>
      </c>
      <c r="V174" s="1">
        <v>45651</v>
      </c>
      <c r="W174" t="s">
        <v>48</v>
      </c>
      <c r="X174" t="str">
        <f>IF(OR(orders_Q4[[#This Row],[Qty]]&gt;5,orders_Q4[[#This Row],[Qty]]&lt;0),"Invalid Quantity","OK")</f>
        <v>OK</v>
      </c>
      <c r="Y174" t="b">
        <f>OR(orders_Q4[[#This Row],[Unit Price]]&gt;20000,orders_Q4[[#This Row],[Unit Price]]&lt;0,orders_Q4[[#This Row],[Unit Price]]=0)</f>
        <v>0</v>
      </c>
      <c r="Z17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74">
        <f>orders_Q4[[#This Row],[Unit Price]] * orders_Q4[[#This Row],[Qty]] * (1 - orders_Q4[[#This Row],[Disc %]]/100)</f>
        <v>2124.15</v>
      </c>
      <c r="AB174" t="str">
        <f>IF(ABS(orders_Q4[[#This Row],[Total]] - orders_Q4[[#This Row],[Calculated_order_total]]) &gt; 1, "Mismatch", "OK")</f>
        <v>Mismatch</v>
      </c>
      <c r="AC174">
        <f>COUNTIF(C:C,orders_Q4[[#This Row],[Customer ID]])</f>
        <v>1</v>
      </c>
      <c r="AD174" t="str">
        <f>IF(AND(orders_Q4[[#This Row],[Type]]="New",orders_Q4[[#This Row],[Customer_id_count]]&gt;1),"Existing customer","OK")</f>
        <v>OK</v>
      </c>
      <c r="AE174">
        <f>orders_Q4[[#This Row],[Del Date]]-orders_Q4[[#This Row],[Order Date]]</f>
        <v>13</v>
      </c>
      <c r="AF174" t="str">
        <f>IF(OR(orders_Q4[[#This Row],[Delivery_time]]&gt;30,orders_Q4[[#This Row],[Delivery_time]]&lt;0),"Invalid_delivery_time","OK")</f>
        <v>OK</v>
      </c>
      <c r="AG174" s="20">
        <f>IF(
   AND(NOT(ISBLANK(orders_Q4[[#This Row],[return_received]])), NOT(ISBLANK(orders_Q4[[#This Row],[Del Date]]))),
   orders_Q4[[#This Row],[return_received]] - orders_Q4[[#This Row],[Del Date]],0)</f>
        <v>29</v>
      </c>
      <c r="AH174" t="str">
        <f>TEXT(orders_Q4[[#This Row],[Order Date]],"mmm-yyyy")</f>
        <v>Nov-2024</v>
      </c>
      <c r="AI174" s="1" t="str">
        <f>TEXT(orders_Q4[[#This Row],[Order Date]],"yyyy") &amp; "-" &amp; WEEKNUM(orders_Q4[[#This Row],[Order Date]])</f>
        <v>2024-46</v>
      </c>
      <c r="AJ174" t="str">
        <f>IF(orders_Q4[[#This Row],[Payment]]="COD","COD","Prepaid")</f>
        <v>Prepaid</v>
      </c>
    </row>
    <row r="175" spans="1:36" x14ac:dyDescent="0.3">
      <c r="A175" t="s">
        <v>782</v>
      </c>
      <c r="B175" s="1">
        <v>45609</v>
      </c>
      <c r="C175" t="s">
        <v>783</v>
      </c>
      <c r="D175" t="s">
        <v>25</v>
      </c>
      <c r="E175" t="s">
        <v>784</v>
      </c>
      <c r="F175" t="s">
        <v>61</v>
      </c>
      <c r="G175" t="s">
        <v>785</v>
      </c>
      <c r="H175">
        <v>6299</v>
      </c>
      <c r="I175">
        <v>1</v>
      </c>
      <c r="J175">
        <v>6299</v>
      </c>
      <c r="L175">
        <v>0</v>
      </c>
      <c r="M175" t="s">
        <v>55</v>
      </c>
      <c r="N175" t="s">
        <v>65</v>
      </c>
      <c r="O175" t="s">
        <v>90</v>
      </c>
      <c r="P175" t="s">
        <v>91</v>
      </c>
      <c r="Q175" t="s">
        <v>45</v>
      </c>
      <c r="S175" t="s">
        <v>120</v>
      </c>
      <c r="T175" t="s">
        <v>34</v>
      </c>
      <c r="W175" t="s">
        <v>35</v>
      </c>
      <c r="X175" t="str">
        <f>IF(OR(orders_Q4[[#This Row],[Qty]]&gt;5,orders_Q4[[#This Row],[Qty]]&lt;0),"Invalid Quantity","OK")</f>
        <v>OK</v>
      </c>
      <c r="Y175" t="b">
        <f>OR(orders_Q4[[#This Row],[Unit Price]]&gt;20000,orders_Q4[[#This Row],[Unit Price]]&lt;0,orders_Q4[[#This Row],[Unit Price]]=0)</f>
        <v>0</v>
      </c>
      <c r="Z17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75">
        <f>orders_Q4[[#This Row],[Unit Price]] * orders_Q4[[#This Row],[Qty]] * (1 - orders_Q4[[#This Row],[Disc %]]/100)</f>
        <v>6299</v>
      </c>
      <c r="AB175" t="str">
        <f>IF(ABS(orders_Q4[[#This Row],[Total]] - orders_Q4[[#This Row],[Calculated_order_total]]) &gt; 1, "Mismatch", "OK")</f>
        <v>OK</v>
      </c>
      <c r="AC175">
        <f>COUNTIF(C:C,orders_Q4[[#This Row],[Customer ID]])</f>
        <v>1</v>
      </c>
      <c r="AD175" t="str">
        <f>IF(AND(orders_Q4[[#This Row],[Type]]="New",orders_Q4[[#This Row],[Customer_id_count]]&gt;1),"Existing customer","OK")</f>
        <v>OK</v>
      </c>
      <c r="AE175">
        <f>orders_Q4[[#This Row],[Del Date]]-orders_Q4[[#This Row],[Order Date]]</f>
        <v>-45609</v>
      </c>
      <c r="AF175" t="str">
        <f>IF(OR(orders_Q4[[#This Row],[Delivery_time]]&gt;30,orders_Q4[[#This Row],[Delivery_time]]&lt;0),"Invalid_delivery_time","OK")</f>
        <v>Invalid_delivery_time</v>
      </c>
      <c r="AG175" s="20">
        <f>IF(
   AND(NOT(ISBLANK(orders_Q4[[#This Row],[return_received]])), NOT(ISBLANK(orders_Q4[[#This Row],[Del Date]]))),
   orders_Q4[[#This Row],[return_received]] - orders_Q4[[#This Row],[Del Date]],0)</f>
        <v>0</v>
      </c>
      <c r="AH175" t="str">
        <f>TEXT(orders_Q4[[#This Row],[Order Date]],"mmm-yyyy")</f>
        <v>Nov-2024</v>
      </c>
      <c r="AI175" s="1" t="str">
        <f>TEXT(orders_Q4[[#This Row],[Order Date]],"yyyy") &amp; "-" &amp; WEEKNUM(orders_Q4[[#This Row],[Order Date]])</f>
        <v>2024-46</v>
      </c>
      <c r="AJ175" t="str">
        <f>IF(orders_Q4[[#This Row],[Payment]]="COD","COD","Prepaid")</f>
        <v>COD</v>
      </c>
    </row>
    <row r="176" spans="1:36" x14ac:dyDescent="0.3">
      <c r="A176" t="s">
        <v>786</v>
      </c>
      <c r="B176" s="1">
        <v>45610</v>
      </c>
      <c r="C176" t="s">
        <v>787</v>
      </c>
      <c r="D176" t="s">
        <v>25</v>
      </c>
      <c r="E176" t="s">
        <v>788</v>
      </c>
      <c r="F176" t="s">
        <v>71</v>
      </c>
      <c r="G176" t="s">
        <v>789</v>
      </c>
      <c r="H176">
        <v>1599</v>
      </c>
      <c r="I176">
        <v>1</v>
      </c>
      <c r="J176">
        <v>1599</v>
      </c>
      <c r="L176">
        <v>0</v>
      </c>
      <c r="M176" t="s">
        <v>111</v>
      </c>
      <c r="N176" t="s">
        <v>30</v>
      </c>
      <c r="O176" t="s">
        <v>66</v>
      </c>
      <c r="P176" t="s">
        <v>67</v>
      </c>
      <c r="Q176" t="s">
        <v>56</v>
      </c>
      <c r="R176" s="1">
        <v>45623</v>
      </c>
      <c r="S176" t="s">
        <v>33</v>
      </c>
      <c r="T176" t="s">
        <v>46</v>
      </c>
      <c r="U176" t="s">
        <v>138</v>
      </c>
      <c r="V176" s="1">
        <v>45652</v>
      </c>
      <c r="W176" t="s">
        <v>48</v>
      </c>
      <c r="X176" t="str">
        <f>IF(OR(orders_Q4[[#This Row],[Qty]]&gt;5,orders_Q4[[#This Row],[Qty]]&lt;0),"Invalid Quantity","OK")</f>
        <v>OK</v>
      </c>
      <c r="Y176" t="b">
        <f>OR(orders_Q4[[#This Row],[Unit Price]]&gt;20000,orders_Q4[[#This Row],[Unit Price]]&lt;0,orders_Q4[[#This Row],[Unit Price]]=0)</f>
        <v>0</v>
      </c>
      <c r="Z17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76">
        <f>orders_Q4[[#This Row],[Unit Price]] * orders_Q4[[#This Row],[Qty]] * (1 - orders_Q4[[#This Row],[Disc %]]/100)</f>
        <v>1599</v>
      </c>
      <c r="AB176" t="str">
        <f>IF(ABS(orders_Q4[[#This Row],[Total]] - orders_Q4[[#This Row],[Calculated_order_total]]) &gt; 1, "Mismatch", "OK")</f>
        <v>OK</v>
      </c>
      <c r="AC176">
        <f>COUNTIF(C:C,orders_Q4[[#This Row],[Customer ID]])</f>
        <v>1</v>
      </c>
      <c r="AD176" t="str">
        <f>IF(AND(orders_Q4[[#This Row],[Type]]="New",orders_Q4[[#This Row],[Customer_id_count]]&gt;1),"Existing customer","OK")</f>
        <v>OK</v>
      </c>
      <c r="AE176">
        <f>orders_Q4[[#This Row],[Del Date]]-orders_Q4[[#This Row],[Order Date]]</f>
        <v>13</v>
      </c>
      <c r="AF176" t="str">
        <f>IF(OR(orders_Q4[[#This Row],[Delivery_time]]&gt;30,orders_Q4[[#This Row],[Delivery_time]]&lt;0),"Invalid_delivery_time","OK")</f>
        <v>OK</v>
      </c>
      <c r="AG176" s="20">
        <f>IF(
   AND(NOT(ISBLANK(orders_Q4[[#This Row],[return_received]])), NOT(ISBLANK(orders_Q4[[#This Row],[Del Date]]))),
   orders_Q4[[#This Row],[return_received]] - orders_Q4[[#This Row],[Del Date]],0)</f>
        <v>29</v>
      </c>
      <c r="AH176" t="str">
        <f>TEXT(orders_Q4[[#This Row],[Order Date]],"mmm-yyyy")</f>
        <v>Nov-2024</v>
      </c>
      <c r="AI176" s="1" t="str">
        <f>TEXT(orders_Q4[[#This Row],[Order Date]],"yyyy") &amp; "-" &amp; WEEKNUM(orders_Q4[[#This Row],[Order Date]])</f>
        <v>2024-46</v>
      </c>
      <c r="AJ176" t="str">
        <f>IF(orders_Q4[[#This Row],[Payment]]="COD","COD","Prepaid")</f>
        <v>Prepaid</v>
      </c>
    </row>
    <row r="177" spans="1:36" x14ac:dyDescent="0.3">
      <c r="A177" t="s">
        <v>790</v>
      </c>
      <c r="B177" s="1">
        <v>45610</v>
      </c>
      <c r="C177" t="s">
        <v>791</v>
      </c>
      <c r="D177" t="s">
        <v>25</v>
      </c>
      <c r="E177" t="s">
        <v>792</v>
      </c>
      <c r="F177" t="s">
        <v>27</v>
      </c>
      <c r="G177" t="s">
        <v>793</v>
      </c>
      <c r="H177">
        <v>1699</v>
      </c>
      <c r="I177">
        <v>1</v>
      </c>
      <c r="J177">
        <v>1699</v>
      </c>
      <c r="L177">
        <v>0</v>
      </c>
      <c r="M177" t="s">
        <v>29</v>
      </c>
      <c r="N177" t="s">
        <v>44</v>
      </c>
      <c r="O177" t="s">
        <v>77</v>
      </c>
      <c r="P177" t="s">
        <v>78</v>
      </c>
      <c r="Q177" t="s">
        <v>56</v>
      </c>
      <c r="R177" s="1">
        <v>45624</v>
      </c>
      <c r="S177" t="s">
        <v>33</v>
      </c>
      <c r="T177" t="s">
        <v>34</v>
      </c>
      <c r="W177" t="s">
        <v>35</v>
      </c>
      <c r="X177" t="str">
        <f>IF(OR(orders_Q4[[#This Row],[Qty]]&gt;5,orders_Q4[[#This Row],[Qty]]&lt;0),"Invalid Quantity","OK")</f>
        <v>OK</v>
      </c>
      <c r="Y177" t="b">
        <f>OR(orders_Q4[[#This Row],[Unit Price]]&gt;20000,orders_Q4[[#This Row],[Unit Price]]&lt;0,orders_Q4[[#This Row],[Unit Price]]=0)</f>
        <v>0</v>
      </c>
      <c r="Z17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77">
        <f>orders_Q4[[#This Row],[Unit Price]] * orders_Q4[[#This Row],[Qty]] * (1 - orders_Q4[[#This Row],[Disc %]]/100)</f>
        <v>1699</v>
      </c>
      <c r="AB177" t="str">
        <f>IF(ABS(orders_Q4[[#This Row],[Total]] - orders_Q4[[#This Row],[Calculated_order_total]]) &gt; 1, "Mismatch", "OK")</f>
        <v>OK</v>
      </c>
      <c r="AC177">
        <f>COUNTIF(C:C,orders_Q4[[#This Row],[Customer ID]])</f>
        <v>1</v>
      </c>
      <c r="AD177" t="str">
        <f>IF(AND(orders_Q4[[#This Row],[Type]]="New",orders_Q4[[#This Row],[Customer_id_count]]&gt;1),"Existing customer","OK")</f>
        <v>OK</v>
      </c>
      <c r="AE177">
        <f>orders_Q4[[#This Row],[Del Date]]-orders_Q4[[#This Row],[Order Date]]</f>
        <v>14</v>
      </c>
      <c r="AF177" t="str">
        <f>IF(OR(orders_Q4[[#This Row],[Delivery_time]]&gt;30,orders_Q4[[#This Row],[Delivery_time]]&lt;0),"Invalid_delivery_time","OK")</f>
        <v>OK</v>
      </c>
      <c r="AG177" s="20">
        <f>IF(
   AND(NOT(ISBLANK(orders_Q4[[#This Row],[return_received]])), NOT(ISBLANK(orders_Q4[[#This Row],[Del Date]]))),
   orders_Q4[[#This Row],[return_received]] - orders_Q4[[#This Row],[Del Date]],0)</f>
        <v>0</v>
      </c>
      <c r="AH177" t="str">
        <f>TEXT(orders_Q4[[#This Row],[Order Date]],"mmm-yyyy")</f>
        <v>Nov-2024</v>
      </c>
      <c r="AI177" s="1" t="str">
        <f>TEXT(orders_Q4[[#This Row],[Order Date]],"yyyy") &amp; "-" &amp; WEEKNUM(orders_Q4[[#This Row],[Order Date]])</f>
        <v>2024-46</v>
      </c>
      <c r="AJ177" t="str">
        <f>IF(orders_Q4[[#This Row],[Payment]]="COD","COD","Prepaid")</f>
        <v>Prepaid</v>
      </c>
    </row>
    <row r="178" spans="1:36" x14ac:dyDescent="0.3">
      <c r="A178" t="s">
        <v>794</v>
      </c>
      <c r="B178" s="1">
        <v>45610</v>
      </c>
      <c r="C178" t="s">
        <v>795</v>
      </c>
      <c r="D178" t="s">
        <v>25</v>
      </c>
      <c r="E178" t="s">
        <v>796</v>
      </c>
      <c r="F178" t="s">
        <v>40</v>
      </c>
      <c r="G178" t="s">
        <v>797</v>
      </c>
      <c r="H178">
        <v>3199</v>
      </c>
      <c r="I178">
        <v>1</v>
      </c>
      <c r="J178">
        <v>3199</v>
      </c>
      <c r="K178" s="2">
        <v>46341</v>
      </c>
      <c r="L178">
        <v>15</v>
      </c>
      <c r="M178" t="s">
        <v>64</v>
      </c>
      <c r="N178" t="s">
        <v>65</v>
      </c>
      <c r="O178" t="s">
        <v>84</v>
      </c>
      <c r="P178" t="s">
        <v>32</v>
      </c>
      <c r="Q178" t="s">
        <v>31</v>
      </c>
      <c r="R178" s="1">
        <v>45625</v>
      </c>
      <c r="S178" t="s">
        <v>33</v>
      </c>
      <c r="T178" t="s">
        <v>46</v>
      </c>
      <c r="U178" t="s">
        <v>47</v>
      </c>
      <c r="V178" s="1">
        <v>45654</v>
      </c>
      <c r="W178" t="s">
        <v>48</v>
      </c>
      <c r="X178" t="str">
        <f>IF(OR(orders_Q4[[#This Row],[Qty]]&gt;5,orders_Q4[[#This Row],[Qty]]&lt;0),"Invalid Quantity","OK")</f>
        <v>OK</v>
      </c>
      <c r="Y178" t="b">
        <f>OR(orders_Q4[[#This Row],[Unit Price]]&gt;20000,orders_Q4[[#This Row],[Unit Price]]&lt;0,orders_Q4[[#This Row],[Unit Price]]=0)</f>
        <v>0</v>
      </c>
      <c r="Z17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78">
        <f>orders_Q4[[#This Row],[Unit Price]] * orders_Q4[[#This Row],[Qty]] * (1 - orders_Q4[[#This Row],[Disc %]]/100)</f>
        <v>2719.15</v>
      </c>
      <c r="AB178" t="str">
        <f>IF(ABS(orders_Q4[[#This Row],[Total]] - orders_Q4[[#This Row],[Calculated_order_total]]) &gt; 1, "Mismatch", "OK")</f>
        <v>Mismatch</v>
      </c>
      <c r="AC178">
        <f>COUNTIF(C:C,orders_Q4[[#This Row],[Customer ID]])</f>
        <v>1</v>
      </c>
      <c r="AD178" t="str">
        <f>IF(AND(orders_Q4[[#This Row],[Type]]="New",orders_Q4[[#This Row],[Customer_id_count]]&gt;1),"Existing customer","OK")</f>
        <v>OK</v>
      </c>
      <c r="AE178">
        <f>orders_Q4[[#This Row],[Del Date]]-orders_Q4[[#This Row],[Order Date]]</f>
        <v>15</v>
      </c>
      <c r="AF178" t="str">
        <f>IF(OR(orders_Q4[[#This Row],[Delivery_time]]&gt;30,orders_Q4[[#This Row],[Delivery_time]]&lt;0),"Invalid_delivery_time","OK")</f>
        <v>OK</v>
      </c>
      <c r="AG178" s="20">
        <f>IF(
   AND(NOT(ISBLANK(orders_Q4[[#This Row],[return_received]])), NOT(ISBLANK(orders_Q4[[#This Row],[Del Date]]))),
   orders_Q4[[#This Row],[return_received]] - orders_Q4[[#This Row],[Del Date]],0)</f>
        <v>29</v>
      </c>
      <c r="AH178" t="str">
        <f>TEXT(orders_Q4[[#This Row],[Order Date]],"mmm-yyyy")</f>
        <v>Nov-2024</v>
      </c>
      <c r="AI178" s="1" t="str">
        <f>TEXT(orders_Q4[[#This Row],[Order Date]],"yyyy") &amp; "-" &amp; WEEKNUM(orders_Q4[[#This Row],[Order Date]])</f>
        <v>2024-46</v>
      </c>
      <c r="AJ178" t="str">
        <f>IF(orders_Q4[[#This Row],[Payment]]="COD","COD","Prepaid")</f>
        <v>Prepaid</v>
      </c>
    </row>
    <row r="179" spans="1:36" x14ac:dyDescent="0.3">
      <c r="A179" t="s">
        <v>798</v>
      </c>
      <c r="B179" s="1">
        <v>45611</v>
      </c>
      <c r="C179" t="s">
        <v>799</v>
      </c>
      <c r="D179" t="s">
        <v>38</v>
      </c>
      <c r="E179" t="s">
        <v>800</v>
      </c>
      <c r="F179" t="s">
        <v>53</v>
      </c>
      <c r="G179" t="s">
        <v>801</v>
      </c>
      <c r="H179">
        <v>2099</v>
      </c>
      <c r="I179">
        <v>1</v>
      </c>
      <c r="J179">
        <v>2099</v>
      </c>
      <c r="L179">
        <v>0</v>
      </c>
      <c r="M179" t="s">
        <v>43</v>
      </c>
      <c r="N179" t="s">
        <v>30</v>
      </c>
      <c r="O179" t="s">
        <v>96</v>
      </c>
      <c r="P179" t="s">
        <v>97</v>
      </c>
      <c r="Q179" t="s">
        <v>31</v>
      </c>
      <c r="R179" s="1">
        <v>45624</v>
      </c>
      <c r="S179" t="s">
        <v>33</v>
      </c>
      <c r="T179" t="s">
        <v>34</v>
      </c>
      <c r="W179" t="s">
        <v>35</v>
      </c>
      <c r="X179" t="str">
        <f>IF(OR(orders_Q4[[#This Row],[Qty]]&gt;5,orders_Q4[[#This Row],[Qty]]&lt;0),"Invalid Quantity","OK")</f>
        <v>OK</v>
      </c>
      <c r="Y179" t="b">
        <f>OR(orders_Q4[[#This Row],[Unit Price]]&gt;20000,orders_Q4[[#This Row],[Unit Price]]&lt;0,orders_Q4[[#This Row],[Unit Price]]=0)</f>
        <v>0</v>
      </c>
      <c r="Z17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79">
        <f>orders_Q4[[#This Row],[Unit Price]] * orders_Q4[[#This Row],[Qty]] * (1 - orders_Q4[[#This Row],[Disc %]]/100)</f>
        <v>2099</v>
      </c>
      <c r="AB179" t="str">
        <f>IF(ABS(orders_Q4[[#This Row],[Total]] - orders_Q4[[#This Row],[Calculated_order_total]]) &gt; 1, "Mismatch", "OK")</f>
        <v>OK</v>
      </c>
      <c r="AC179">
        <f>COUNTIF(C:C,orders_Q4[[#This Row],[Customer ID]])</f>
        <v>1</v>
      </c>
      <c r="AD179" t="str">
        <f>IF(AND(orders_Q4[[#This Row],[Type]]="New",orders_Q4[[#This Row],[Customer_id_count]]&gt;1),"Existing customer","OK")</f>
        <v>OK</v>
      </c>
      <c r="AE179">
        <f>orders_Q4[[#This Row],[Del Date]]-orders_Q4[[#This Row],[Order Date]]</f>
        <v>13</v>
      </c>
      <c r="AF179" t="str">
        <f>IF(OR(orders_Q4[[#This Row],[Delivery_time]]&gt;30,orders_Q4[[#This Row],[Delivery_time]]&lt;0),"Invalid_delivery_time","OK")</f>
        <v>OK</v>
      </c>
      <c r="AG179" s="20">
        <f>IF(
   AND(NOT(ISBLANK(orders_Q4[[#This Row],[return_received]])), NOT(ISBLANK(orders_Q4[[#This Row],[Del Date]]))),
   orders_Q4[[#This Row],[return_received]] - orders_Q4[[#This Row],[Del Date]],0)</f>
        <v>0</v>
      </c>
      <c r="AH179" t="str">
        <f>TEXT(orders_Q4[[#This Row],[Order Date]],"mmm-yyyy")</f>
        <v>Nov-2024</v>
      </c>
      <c r="AI179" s="1" t="str">
        <f>TEXT(orders_Q4[[#This Row],[Order Date]],"yyyy") &amp; "-" &amp; WEEKNUM(orders_Q4[[#This Row],[Order Date]])</f>
        <v>2024-46</v>
      </c>
      <c r="AJ179" t="str">
        <f>IF(orders_Q4[[#This Row],[Payment]]="COD","COD","Prepaid")</f>
        <v>Prepaid</v>
      </c>
    </row>
    <row r="180" spans="1:36" x14ac:dyDescent="0.3">
      <c r="A180" t="s">
        <v>802</v>
      </c>
      <c r="B180" s="1">
        <v>45611</v>
      </c>
      <c r="C180" t="s">
        <v>803</v>
      </c>
      <c r="D180" t="s">
        <v>25</v>
      </c>
      <c r="E180" t="s">
        <v>804</v>
      </c>
      <c r="F180" t="s">
        <v>61</v>
      </c>
      <c r="G180" t="s">
        <v>805</v>
      </c>
      <c r="H180">
        <v>6999</v>
      </c>
      <c r="I180">
        <v>1</v>
      </c>
      <c r="J180">
        <v>6999</v>
      </c>
      <c r="L180">
        <v>0</v>
      </c>
      <c r="M180" t="s">
        <v>29</v>
      </c>
      <c r="N180" t="s">
        <v>44</v>
      </c>
      <c r="O180" t="s">
        <v>102</v>
      </c>
      <c r="P180" t="s">
        <v>103</v>
      </c>
      <c r="Q180" t="s">
        <v>45</v>
      </c>
      <c r="R180" s="1">
        <v>45626</v>
      </c>
      <c r="S180" t="s">
        <v>33</v>
      </c>
      <c r="T180" t="s">
        <v>46</v>
      </c>
      <c r="U180" t="s">
        <v>104</v>
      </c>
      <c r="V180" s="1">
        <v>45655</v>
      </c>
      <c r="W180" t="s">
        <v>48</v>
      </c>
      <c r="X180" t="str">
        <f>IF(OR(orders_Q4[[#This Row],[Qty]]&gt;5,orders_Q4[[#This Row],[Qty]]&lt;0),"Invalid Quantity","OK")</f>
        <v>OK</v>
      </c>
      <c r="Y180" t="b">
        <f>OR(orders_Q4[[#This Row],[Unit Price]]&gt;20000,orders_Q4[[#This Row],[Unit Price]]&lt;0,orders_Q4[[#This Row],[Unit Price]]=0)</f>
        <v>0</v>
      </c>
      <c r="Z18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80">
        <f>orders_Q4[[#This Row],[Unit Price]] * orders_Q4[[#This Row],[Qty]] * (1 - orders_Q4[[#This Row],[Disc %]]/100)</f>
        <v>6999</v>
      </c>
      <c r="AB180" t="str">
        <f>IF(ABS(orders_Q4[[#This Row],[Total]] - orders_Q4[[#This Row],[Calculated_order_total]]) &gt; 1, "Mismatch", "OK")</f>
        <v>OK</v>
      </c>
      <c r="AC180">
        <f>COUNTIF(C:C,orders_Q4[[#This Row],[Customer ID]])</f>
        <v>1</v>
      </c>
      <c r="AD180" t="str">
        <f>IF(AND(orders_Q4[[#This Row],[Type]]="New",orders_Q4[[#This Row],[Customer_id_count]]&gt;1),"Existing customer","OK")</f>
        <v>OK</v>
      </c>
      <c r="AE180">
        <f>orders_Q4[[#This Row],[Del Date]]-orders_Q4[[#This Row],[Order Date]]</f>
        <v>15</v>
      </c>
      <c r="AF180" t="str">
        <f>IF(OR(orders_Q4[[#This Row],[Delivery_time]]&gt;30,orders_Q4[[#This Row],[Delivery_time]]&lt;0),"Invalid_delivery_time","OK")</f>
        <v>OK</v>
      </c>
      <c r="AG180" s="20">
        <f>IF(
   AND(NOT(ISBLANK(orders_Q4[[#This Row],[return_received]])), NOT(ISBLANK(orders_Q4[[#This Row],[Del Date]]))),
   orders_Q4[[#This Row],[return_received]] - orders_Q4[[#This Row],[Del Date]],0)</f>
        <v>29</v>
      </c>
      <c r="AH180" t="str">
        <f>TEXT(orders_Q4[[#This Row],[Order Date]],"mmm-yyyy")</f>
        <v>Nov-2024</v>
      </c>
      <c r="AI180" s="1" t="str">
        <f>TEXT(orders_Q4[[#This Row],[Order Date]],"yyyy") &amp; "-" &amp; WEEKNUM(orders_Q4[[#This Row],[Order Date]])</f>
        <v>2024-46</v>
      </c>
      <c r="AJ180" t="str">
        <f>IF(orders_Q4[[#This Row],[Payment]]="COD","COD","Prepaid")</f>
        <v>Prepaid</v>
      </c>
    </row>
    <row r="181" spans="1:36" x14ac:dyDescent="0.3">
      <c r="A181" t="s">
        <v>806</v>
      </c>
      <c r="B181" s="1">
        <v>45611</v>
      </c>
      <c r="C181" t="s">
        <v>807</v>
      </c>
      <c r="D181" t="s">
        <v>25</v>
      </c>
      <c r="E181" t="s">
        <v>808</v>
      </c>
      <c r="F181" t="s">
        <v>71</v>
      </c>
      <c r="G181" t="s">
        <v>809</v>
      </c>
      <c r="H181">
        <v>899</v>
      </c>
      <c r="I181">
        <v>1</v>
      </c>
      <c r="J181">
        <v>899</v>
      </c>
      <c r="L181">
        <v>0</v>
      </c>
      <c r="M181" t="s">
        <v>55</v>
      </c>
      <c r="N181" t="s">
        <v>65</v>
      </c>
      <c r="O181" t="s">
        <v>112</v>
      </c>
      <c r="P181" t="s">
        <v>113</v>
      </c>
      <c r="Q181" t="s">
        <v>45</v>
      </c>
      <c r="R181" s="1">
        <v>45624</v>
      </c>
      <c r="S181" t="s">
        <v>33</v>
      </c>
      <c r="T181" t="s">
        <v>46</v>
      </c>
      <c r="U181" t="s">
        <v>79</v>
      </c>
      <c r="V181" s="1">
        <v>45653</v>
      </c>
      <c r="W181" t="s">
        <v>48</v>
      </c>
      <c r="X181" t="str">
        <f>IF(OR(orders_Q4[[#This Row],[Qty]]&gt;5,orders_Q4[[#This Row],[Qty]]&lt;0),"Invalid Quantity","OK")</f>
        <v>OK</v>
      </c>
      <c r="Y181" t="b">
        <f>OR(orders_Q4[[#This Row],[Unit Price]]&gt;20000,orders_Q4[[#This Row],[Unit Price]]&lt;0,orders_Q4[[#This Row],[Unit Price]]=0)</f>
        <v>0</v>
      </c>
      <c r="Z18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81">
        <f>orders_Q4[[#This Row],[Unit Price]] * orders_Q4[[#This Row],[Qty]] * (1 - orders_Q4[[#This Row],[Disc %]]/100)</f>
        <v>899</v>
      </c>
      <c r="AB181" t="str">
        <f>IF(ABS(orders_Q4[[#This Row],[Total]] - orders_Q4[[#This Row],[Calculated_order_total]]) &gt; 1, "Mismatch", "OK")</f>
        <v>OK</v>
      </c>
      <c r="AC181">
        <f>COUNTIF(C:C,orders_Q4[[#This Row],[Customer ID]])</f>
        <v>1</v>
      </c>
      <c r="AD181" t="str">
        <f>IF(AND(orders_Q4[[#This Row],[Type]]="New",orders_Q4[[#This Row],[Customer_id_count]]&gt;1),"Existing customer","OK")</f>
        <v>OK</v>
      </c>
      <c r="AE181">
        <f>orders_Q4[[#This Row],[Del Date]]-orders_Q4[[#This Row],[Order Date]]</f>
        <v>13</v>
      </c>
      <c r="AF181" t="str">
        <f>IF(OR(orders_Q4[[#This Row],[Delivery_time]]&gt;30,orders_Q4[[#This Row],[Delivery_time]]&lt;0),"Invalid_delivery_time","OK")</f>
        <v>OK</v>
      </c>
      <c r="AG181" s="20">
        <f>IF(
   AND(NOT(ISBLANK(orders_Q4[[#This Row],[return_received]])), NOT(ISBLANK(orders_Q4[[#This Row],[Del Date]]))),
   orders_Q4[[#This Row],[return_received]] - orders_Q4[[#This Row],[Del Date]],0)</f>
        <v>29</v>
      </c>
      <c r="AH181" t="str">
        <f>TEXT(orders_Q4[[#This Row],[Order Date]],"mmm-yyyy")</f>
        <v>Nov-2024</v>
      </c>
      <c r="AI181" s="1" t="str">
        <f>TEXT(orders_Q4[[#This Row],[Order Date]],"yyyy") &amp; "-" &amp; WEEKNUM(orders_Q4[[#This Row],[Order Date]])</f>
        <v>2024-46</v>
      </c>
      <c r="AJ181" t="str">
        <f>IF(orders_Q4[[#This Row],[Payment]]="COD","COD","Prepaid")</f>
        <v>COD</v>
      </c>
    </row>
    <row r="182" spans="1:36" x14ac:dyDescent="0.3">
      <c r="A182" t="s">
        <v>810</v>
      </c>
      <c r="B182" s="1">
        <v>45612</v>
      </c>
      <c r="C182" t="s">
        <v>811</v>
      </c>
      <c r="D182" t="s">
        <v>25</v>
      </c>
      <c r="E182" t="s">
        <v>812</v>
      </c>
      <c r="F182" t="s">
        <v>27</v>
      </c>
      <c r="G182" t="s">
        <v>813</v>
      </c>
      <c r="H182">
        <v>1499</v>
      </c>
      <c r="I182">
        <v>1</v>
      </c>
      <c r="J182">
        <v>1499</v>
      </c>
      <c r="K182" s="2">
        <v>46341</v>
      </c>
      <c r="L182">
        <v>15</v>
      </c>
      <c r="M182" t="s">
        <v>111</v>
      </c>
      <c r="N182" t="s">
        <v>30</v>
      </c>
      <c r="O182" t="s">
        <v>56</v>
      </c>
      <c r="P182" t="s">
        <v>57</v>
      </c>
      <c r="Q182" t="s">
        <v>56</v>
      </c>
      <c r="R182" s="1">
        <v>45625</v>
      </c>
      <c r="S182" t="s">
        <v>33</v>
      </c>
      <c r="T182" t="s">
        <v>34</v>
      </c>
      <c r="W182" t="s">
        <v>35</v>
      </c>
      <c r="X182" t="str">
        <f>IF(OR(orders_Q4[[#This Row],[Qty]]&gt;5,orders_Q4[[#This Row],[Qty]]&lt;0),"Invalid Quantity","OK")</f>
        <v>OK</v>
      </c>
      <c r="Y182" t="b">
        <f>OR(orders_Q4[[#This Row],[Unit Price]]&gt;20000,orders_Q4[[#This Row],[Unit Price]]&lt;0,orders_Q4[[#This Row],[Unit Price]]=0)</f>
        <v>0</v>
      </c>
      <c r="Z18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82">
        <f>orders_Q4[[#This Row],[Unit Price]] * orders_Q4[[#This Row],[Qty]] * (1 - orders_Q4[[#This Row],[Disc %]]/100)</f>
        <v>1274.1499999999999</v>
      </c>
      <c r="AB182" t="str">
        <f>IF(ABS(orders_Q4[[#This Row],[Total]] - orders_Q4[[#This Row],[Calculated_order_total]]) &gt; 1, "Mismatch", "OK")</f>
        <v>Mismatch</v>
      </c>
      <c r="AC182">
        <f>COUNTIF(C:C,orders_Q4[[#This Row],[Customer ID]])</f>
        <v>1</v>
      </c>
      <c r="AD182" t="str">
        <f>IF(AND(orders_Q4[[#This Row],[Type]]="New",orders_Q4[[#This Row],[Customer_id_count]]&gt;1),"Existing customer","OK")</f>
        <v>OK</v>
      </c>
      <c r="AE182">
        <f>orders_Q4[[#This Row],[Del Date]]-orders_Q4[[#This Row],[Order Date]]</f>
        <v>13</v>
      </c>
      <c r="AF182" t="str">
        <f>IF(OR(orders_Q4[[#This Row],[Delivery_time]]&gt;30,orders_Q4[[#This Row],[Delivery_time]]&lt;0),"Invalid_delivery_time","OK")</f>
        <v>OK</v>
      </c>
      <c r="AG182" s="20">
        <f>IF(
   AND(NOT(ISBLANK(orders_Q4[[#This Row],[return_received]])), NOT(ISBLANK(orders_Q4[[#This Row],[Del Date]]))),
   orders_Q4[[#This Row],[return_received]] - orders_Q4[[#This Row],[Del Date]],0)</f>
        <v>0</v>
      </c>
      <c r="AH182" t="str">
        <f>TEXT(orders_Q4[[#This Row],[Order Date]],"mmm-yyyy")</f>
        <v>Nov-2024</v>
      </c>
      <c r="AI182" s="1" t="str">
        <f>TEXT(orders_Q4[[#This Row],[Order Date]],"yyyy") &amp; "-" &amp; WEEKNUM(orders_Q4[[#This Row],[Order Date]])</f>
        <v>2024-46</v>
      </c>
      <c r="AJ182" t="str">
        <f>IF(orders_Q4[[#This Row],[Payment]]="COD","COD","Prepaid")</f>
        <v>Prepaid</v>
      </c>
    </row>
    <row r="183" spans="1:36" x14ac:dyDescent="0.3">
      <c r="A183" t="s">
        <v>814</v>
      </c>
      <c r="B183" s="1">
        <v>45612</v>
      </c>
      <c r="C183" t="s">
        <v>815</v>
      </c>
      <c r="D183" t="s">
        <v>25</v>
      </c>
      <c r="E183" t="s">
        <v>816</v>
      </c>
      <c r="F183" t="s">
        <v>40</v>
      </c>
      <c r="G183" t="s">
        <v>817</v>
      </c>
      <c r="H183">
        <v>2999</v>
      </c>
      <c r="I183">
        <v>1</v>
      </c>
      <c r="J183">
        <v>2999</v>
      </c>
      <c r="L183">
        <v>0</v>
      </c>
      <c r="M183" t="s">
        <v>64</v>
      </c>
      <c r="N183" t="s">
        <v>44</v>
      </c>
      <c r="O183" t="s">
        <v>31</v>
      </c>
      <c r="P183" t="s">
        <v>32</v>
      </c>
      <c r="Q183" t="s">
        <v>31</v>
      </c>
      <c r="R183" s="1">
        <v>45627</v>
      </c>
      <c r="S183" t="s">
        <v>33</v>
      </c>
      <c r="T183" t="s">
        <v>46</v>
      </c>
      <c r="U183" t="s">
        <v>68</v>
      </c>
      <c r="V183" s="1">
        <v>45656</v>
      </c>
      <c r="W183" t="s">
        <v>48</v>
      </c>
      <c r="X183" t="str">
        <f>IF(OR(orders_Q4[[#This Row],[Qty]]&gt;5,orders_Q4[[#This Row],[Qty]]&lt;0),"Invalid Quantity","OK")</f>
        <v>OK</v>
      </c>
      <c r="Y183" t="b">
        <f>OR(orders_Q4[[#This Row],[Unit Price]]&gt;20000,orders_Q4[[#This Row],[Unit Price]]&lt;0,orders_Q4[[#This Row],[Unit Price]]=0)</f>
        <v>0</v>
      </c>
      <c r="Z18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83">
        <f>orders_Q4[[#This Row],[Unit Price]] * orders_Q4[[#This Row],[Qty]] * (1 - orders_Q4[[#This Row],[Disc %]]/100)</f>
        <v>2999</v>
      </c>
      <c r="AB183" t="str">
        <f>IF(ABS(orders_Q4[[#This Row],[Total]] - orders_Q4[[#This Row],[Calculated_order_total]]) &gt; 1, "Mismatch", "OK")</f>
        <v>OK</v>
      </c>
      <c r="AC183">
        <f>COUNTIF(C:C,orders_Q4[[#This Row],[Customer ID]])</f>
        <v>1</v>
      </c>
      <c r="AD183" t="str">
        <f>IF(AND(orders_Q4[[#This Row],[Type]]="New",orders_Q4[[#This Row],[Customer_id_count]]&gt;1),"Existing customer","OK")</f>
        <v>OK</v>
      </c>
      <c r="AE183">
        <f>orders_Q4[[#This Row],[Del Date]]-orders_Q4[[#This Row],[Order Date]]</f>
        <v>15</v>
      </c>
      <c r="AF183" t="str">
        <f>IF(OR(orders_Q4[[#This Row],[Delivery_time]]&gt;30,orders_Q4[[#This Row],[Delivery_time]]&lt;0),"Invalid_delivery_time","OK")</f>
        <v>OK</v>
      </c>
      <c r="AG183" s="20">
        <f>IF(
   AND(NOT(ISBLANK(orders_Q4[[#This Row],[return_received]])), NOT(ISBLANK(orders_Q4[[#This Row],[Del Date]]))),
   orders_Q4[[#This Row],[return_received]] - orders_Q4[[#This Row],[Del Date]],0)</f>
        <v>29</v>
      </c>
      <c r="AH183" t="str">
        <f>TEXT(orders_Q4[[#This Row],[Order Date]],"mmm-yyyy")</f>
        <v>Nov-2024</v>
      </c>
      <c r="AI183" s="1" t="str">
        <f>TEXT(orders_Q4[[#This Row],[Order Date]],"yyyy") &amp; "-" &amp; WEEKNUM(orders_Q4[[#This Row],[Order Date]])</f>
        <v>2024-46</v>
      </c>
      <c r="AJ183" t="str">
        <f>IF(orders_Q4[[#This Row],[Payment]]="COD","COD","Prepaid")</f>
        <v>Prepaid</v>
      </c>
    </row>
    <row r="184" spans="1:36" x14ac:dyDescent="0.3">
      <c r="A184" t="s">
        <v>818</v>
      </c>
      <c r="B184" s="1">
        <v>45612</v>
      </c>
      <c r="C184" t="s">
        <v>819</v>
      </c>
      <c r="D184" t="s">
        <v>38</v>
      </c>
      <c r="E184" t="s">
        <v>820</v>
      </c>
      <c r="F184" t="s">
        <v>53</v>
      </c>
      <c r="G184" t="s">
        <v>821</v>
      </c>
      <c r="H184">
        <v>1899</v>
      </c>
      <c r="I184">
        <v>1</v>
      </c>
      <c r="J184">
        <v>1899</v>
      </c>
      <c r="L184">
        <v>0</v>
      </c>
      <c r="M184" t="s">
        <v>43</v>
      </c>
      <c r="N184" t="s">
        <v>65</v>
      </c>
      <c r="O184" t="s">
        <v>45</v>
      </c>
      <c r="P184" t="s">
        <v>45</v>
      </c>
      <c r="Q184" t="s">
        <v>45</v>
      </c>
      <c r="R184" s="1">
        <v>45625</v>
      </c>
      <c r="S184" t="s">
        <v>33</v>
      </c>
      <c r="T184" t="s">
        <v>34</v>
      </c>
      <c r="W184" t="s">
        <v>35</v>
      </c>
      <c r="X184" t="str">
        <f>IF(OR(orders_Q4[[#This Row],[Qty]]&gt;5,orders_Q4[[#This Row],[Qty]]&lt;0),"Invalid Quantity","OK")</f>
        <v>OK</v>
      </c>
      <c r="Y184" t="b">
        <f>OR(orders_Q4[[#This Row],[Unit Price]]&gt;20000,orders_Q4[[#This Row],[Unit Price]]&lt;0,orders_Q4[[#This Row],[Unit Price]]=0)</f>
        <v>0</v>
      </c>
      <c r="Z18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84">
        <f>orders_Q4[[#This Row],[Unit Price]] * orders_Q4[[#This Row],[Qty]] * (1 - orders_Q4[[#This Row],[Disc %]]/100)</f>
        <v>1899</v>
      </c>
      <c r="AB184" t="str">
        <f>IF(ABS(orders_Q4[[#This Row],[Total]] - orders_Q4[[#This Row],[Calculated_order_total]]) &gt; 1, "Mismatch", "OK")</f>
        <v>OK</v>
      </c>
      <c r="AC184">
        <f>COUNTIF(C:C,orders_Q4[[#This Row],[Customer ID]])</f>
        <v>1</v>
      </c>
      <c r="AD184" t="str">
        <f>IF(AND(orders_Q4[[#This Row],[Type]]="New",orders_Q4[[#This Row],[Customer_id_count]]&gt;1),"Existing customer","OK")</f>
        <v>OK</v>
      </c>
      <c r="AE184">
        <f>orders_Q4[[#This Row],[Del Date]]-orders_Q4[[#This Row],[Order Date]]</f>
        <v>13</v>
      </c>
      <c r="AF184" t="str">
        <f>IF(OR(orders_Q4[[#This Row],[Delivery_time]]&gt;30,orders_Q4[[#This Row],[Delivery_time]]&lt;0),"Invalid_delivery_time","OK")</f>
        <v>OK</v>
      </c>
      <c r="AG184" s="20">
        <f>IF(
   AND(NOT(ISBLANK(orders_Q4[[#This Row],[return_received]])), NOT(ISBLANK(orders_Q4[[#This Row],[Del Date]]))),
   orders_Q4[[#This Row],[return_received]] - orders_Q4[[#This Row],[Del Date]],0)</f>
        <v>0</v>
      </c>
      <c r="AH184" t="str">
        <f>TEXT(orders_Q4[[#This Row],[Order Date]],"mmm-yyyy")</f>
        <v>Nov-2024</v>
      </c>
      <c r="AI184" s="1" t="str">
        <f>TEXT(orders_Q4[[#This Row],[Order Date]],"yyyy") &amp; "-" &amp; WEEKNUM(orders_Q4[[#This Row],[Order Date]])</f>
        <v>2024-46</v>
      </c>
      <c r="AJ184" t="str">
        <f>IF(orders_Q4[[#This Row],[Payment]]="COD","COD","Prepaid")</f>
        <v>Prepaid</v>
      </c>
    </row>
    <row r="185" spans="1:36" x14ac:dyDescent="0.3">
      <c r="A185" t="s">
        <v>822</v>
      </c>
      <c r="B185" s="1">
        <v>45613</v>
      </c>
      <c r="C185" t="s">
        <v>823</v>
      </c>
      <c r="D185" t="s">
        <v>25</v>
      </c>
      <c r="E185" t="s">
        <v>824</v>
      </c>
      <c r="F185" t="s">
        <v>61</v>
      </c>
      <c r="G185" t="s">
        <v>825</v>
      </c>
      <c r="H185">
        <v>7499</v>
      </c>
      <c r="I185">
        <v>1</v>
      </c>
      <c r="J185">
        <v>7499</v>
      </c>
      <c r="L185">
        <v>0</v>
      </c>
      <c r="M185" t="s">
        <v>29</v>
      </c>
      <c r="N185" t="s">
        <v>30</v>
      </c>
      <c r="O185" t="s">
        <v>118</v>
      </c>
      <c r="P185" t="s">
        <v>119</v>
      </c>
      <c r="Q185" t="s">
        <v>45</v>
      </c>
      <c r="R185" s="1">
        <v>45628</v>
      </c>
      <c r="S185" t="s">
        <v>33</v>
      </c>
      <c r="T185" t="s">
        <v>46</v>
      </c>
      <c r="U185" t="s">
        <v>47</v>
      </c>
      <c r="V185" s="1">
        <v>45657</v>
      </c>
      <c r="W185" t="s">
        <v>48</v>
      </c>
      <c r="X185" t="str">
        <f>IF(OR(orders_Q4[[#This Row],[Qty]]&gt;5,orders_Q4[[#This Row],[Qty]]&lt;0),"Invalid Quantity","OK")</f>
        <v>OK</v>
      </c>
      <c r="Y185" t="b">
        <f>OR(orders_Q4[[#This Row],[Unit Price]]&gt;20000,orders_Q4[[#This Row],[Unit Price]]&lt;0,orders_Q4[[#This Row],[Unit Price]]=0)</f>
        <v>0</v>
      </c>
      <c r="Z18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85">
        <f>orders_Q4[[#This Row],[Unit Price]] * orders_Q4[[#This Row],[Qty]] * (1 - orders_Q4[[#This Row],[Disc %]]/100)</f>
        <v>7499</v>
      </c>
      <c r="AB185" t="str">
        <f>IF(ABS(orders_Q4[[#This Row],[Total]] - orders_Q4[[#This Row],[Calculated_order_total]]) &gt; 1, "Mismatch", "OK")</f>
        <v>OK</v>
      </c>
      <c r="AC185">
        <f>COUNTIF(C:C,orders_Q4[[#This Row],[Customer ID]])</f>
        <v>1</v>
      </c>
      <c r="AD185" t="str">
        <f>IF(AND(orders_Q4[[#This Row],[Type]]="New",orders_Q4[[#This Row],[Customer_id_count]]&gt;1),"Existing customer","OK")</f>
        <v>OK</v>
      </c>
      <c r="AE185">
        <f>orders_Q4[[#This Row],[Del Date]]-orders_Q4[[#This Row],[Order Date]]</f>
        <v>15</v>
      </c>
      <c r="AF185" t="str">
        <f>IF(OR(orders_Q4[[#This Row],[Delivery_time]]&gt;30,orders_Q4[[#This Row],[Delivery_time]]&lt;0),"Invalid_delivery_time","OK")</f>
        <v>OK</v>
      </c>
      <c r="AG185" s="20">
        <f>IF(
   AND(NOT(ISBLANK(orders_Q4[[#This Row],[return_received]])), NOT(ISBLANK(orders_Q4[[#This Row],[Del Date]]))),
   orders_Q4[[#This Row],[return_received]] - orders_Q4[[#This Row],[Del Date]],0)</f>
        <v>29</v>
      </c>
      <c r="AH185" t="str">
        <f>TEXT(orders_Q4[[#This Row],[Order Date]],"mmm-yyyy")</f>
        <v>Nov-2024</v>
      </c>
      <c r="AI185" s="1" t="str">
        <f>TEXT(orders_Q4[[#This Row],[Order Date]],"yyyy") &amp; "-" &amp; WEEKNUM(orders_Q4[[#This Row],[Order Date]])</f>
        <v>2024-47</v>
      </c>
      <c r="AJ185" t="str">
        <f>IF(orders_Q4[[#This Row],[Payment]]="COD","COD","Prepaid")</f>
        <v>Prepaid</v>
      </c>
    </row>
    <row r="186" spans="1:36" x14ac:dyDescent="0.3">
      <c r="A186" t="s">
        <v>826</v>
      </c>
      <c r="B186" s="1">
        <v>45613</v>
      </c>
      <c r="C186" t="s">
        <v>827</v>
      </c>
      <c r="D186" t="s">
        <v>25</v>
      </c>
      <c r="E186" t="s">
        <v>828</v>
      </c>
      <c r="F186" t="s">
        <v>71</v>
      </c>
      <c r="G186" t="s">
        <v>829</v>
      </c>
      <c r="H186">
        <v>1299</v>
      </c>
      <c r="I186">
        <v>1</v>
      </c>
      <c r="J186">
        <v>1299</v>
      </c>
      <c r="K186" s="2">
        <v>46341</v>
      </c>
      <c r="L186">
        <v>15</v>
      </c>
      <c r="M186" t="s">
        <v>55</v>
      </c>
      <c r="N186" t="s">
        <v>44</v>
      </c>
      <c r="O186" t="s">
        <v>137</v>
      </c>
      <c r="P186" t="s">
        <v>113</v>
      </c>
      <c r="Q186" t="s">
        <v>45</v>
      </c>
      <c r="R186" s="1">
        <v>45626</v>
      </c>
      <c r="S186" t="s">
        <v>33</v>
      </c>
      <c r="T186" t="s">
        <v>34</v>
      </c>
      <c r="W186" t="s">
        <v>35</v>
      </c>
      <c r="X186" t="str">
        <f>IF(OR(orders_Q4[[#This Row],[Qty]]&gt;5,orders_Q4[[#This Row],[Qty]]&lt;0),"Invalid Quantity","OK")</f>
        <v>OK</v>
      </c>
      <c r="Y186" t="b">
        <f>OR(orders_Q4[[#This Row],[Unit Price]]&gt;20000,orders_Q4[[#This Row],[Unit Price]]&lt;0,orders_Q4[[#This Row],[Unit Price]]=0)</f>
        <v>0</v>
      </c>
      <c r="Z18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86">
        <f>orders_Q4[[#This Row],[Unit Price]] * orders_Q4[[#This Row],[Qty]] * (1 - orders_Q4[[#This Row],[Disc %]]/100)</f>
        <v>1104.1499999999999</v>
      </c>
      <c r="AB186" t="str">
        <f>IF(ABS(orders_Q4[[#This Row],[Total]] - orders_Q4[[#This Row],[Calculated_order_total]]) &gt; 1, "Mismatch", "OK")</f>
        <v>Mismatch</v>
      </c>
      <c r="AC186">
        <f>COUNTIF(C:C,orders_Q4[[#This Row],[Customer ID]])</f>
        <v>1</v>
      </c>
      <c r="AD186" t="str">
        <f>IF(AND(orders_Q4[[#This Row],[Type]]="New",orders_Q4[[#This Row],[Customer_id_count]]&gt;1),"Existing customer","OK")</f>
        <v>OK</v>
      </c>
      <c r="AE186">
        <f>orders_Q4[[#This Row],[Del Date]]-orders_Q4[[#This Row],[Order Date]]</f>
        <v>13</v>
      </c>
      <c r="AF186" t="str">
        <f>IF(OR(orders_Q4[[#This Row],[Delivery_time]]&gt;30,orders_Q4[[#This Row],[Delivery_time]]&lt;0),"Invalid_delivery_time","OK")</f>
        <v>OK</v>
      </c>
      <c r="AG186" s="20">
        <f>IF(
   AND(NOT(ISBLANK(orders_Q4[[#This Row],[return_received]])), NOT(ISBLANK(orders_Q4[[#This Row],[Del Date]]))),
   orders_Q4[[#This Row],[return_received]] - orders_Q4[[#This Row],[Del Date]],0)</f>
        <v>0</v>
      </c>
      <c r="AH186" t="str">
        <f>TEXT(orders_Q4[[#This Row],[Order Date]],"mmm-yyyy")</f>
        <v>Nov-2024</v>
      </c>
      <c r="AI186" s="1" t="str">
        <f>TEXT(orders_Q4[[#This Row],[Order Date]],"yyyy") &amp; "-" &amp; WEEKNUM(orders_Q4[[#This Row],[Order Date]])</f>
        <v>2024-47</v>
      </c>
      <c r="AJ186" t="str">
        <f>IF(orders_Q4[[#This Row],[Payment]]="COD","COD","Prepaid")</f>
        <v>COD</v>
      </c>
    </row>
    <row r="187" spans="1:36" x14ac:dyDescent="0.3">
      <c r="A187" t="s">
        <v>830</v>
      </c>
      <c r="B187" s="1">
        <v>45613</v>
      </c>
      <c r="C187" t="s">
        <v>831</v>
      </c>
      <c r="D187" t="s">
        <v>25</v>
      </c>
      <c r="E187" t="s">
        <v>832</v>
      </c>
      <c r="F187" t="s">
        <v>27</v>
      </c>
      <c r="G187" t="s">
        <v>833</v>
      </c>
      <c r="H187">
        <v>1599</v>
      </c>
      <c r="I187">
        <v>1</v>
      </c>
      <c r="J187">
        <v>1599</v>
      </c>
      <c r="L187">
        <v>0</v>
      </c>
      <c r="M187" t="s">
        <v>43</v>
      </c>
      <c r="N187" t="s">
        <v>65</v>
      </c>
      <c r="O187" t="s">
        <v>143</v>
      </c>
      <c r="P187" t="s">
        <v>144</v>
      </c>
      <c r="Q187" t="s">
        <v>45</v>
      </c>
      <c r="R187" s="1">
        <v>45627</v>
      </c>
      <c r="S187" t="s">
        <v>33</v>
      </c>
      <c r="T187" t="s">
        <v>46</v>
      </c>
      <c r="U187" t="s">
        <v>138</v>
      </c>
      <c r="V187" s="1">
        <v>45655</v>
      </c>
      <c r="W187" t="s">
        <v>48</v>
      </c>
      <c r="X187" t="str">
        <f>IF(OR(orders_Q4[[#This Row],[Qty]]&gt;5,orders_Q4[[#This Row],[Qty]]&lt;0),"Invalid Quantity","OK")</f>
        <v>OK</v>
      </c>
      <c r="Y187" t="b">
        <f>OR(orders_Q4[[#This Row],[Unit Price]]&gt;20000,orders_Q4[[#This Row],[Unit Price]]&lt;0,orders_Q4[[#This Row],[Unit Price]]=0)</f>
        <v>0</v>
      </c>
      <c r="Z18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87">
        <f>orders_Q4[[#This Row],[Unit Price]] * orders_Q4[[#This Row],[Qty]] * (1 - orders_Q4[[#This Row],[Disc %]]/100)</f>
        <v>1599</v>
      </c>
      <c r="AB187" t="str">
        <f>IF(ABS(orders_Q4[[#This Row],[Total]] - orders_Q4[[#This Row],[Calculated_order_total]]) &gt; 1, "Mismatch", "OK")</f>
        <v>OK</v>
      </c>
      <c r="AC187">
        <f>COUNTIF(C:C,orders_Q4[[#This Row],[Customer ID]])</f>
        <v>1</v>
      </c>
      <c r="AD187" t="str">
        <f>IF(AND(orders_Q4[[#This Row],[Type]]="New",orders_Q4[[#This Row],[Customer_id_count]]&gt;1),"Existing customer","OK")</f>
        <v>OK</v>
      </c>
      <c r="AE187">
        <f>orders_Q4[[#This Row],[Del Date]]-orders_Q4[[#This Row],[Order Date]]</f>
        <v>14</v>
      </c>
      <c r="AF187" t="str">
        <f>IF(OR(orders_Q4[[#This Row],[Delivery_time]]&gt;30,orders_Q4[[#This Row],[Delivery_time]]&lt;0),"Invalid_delivery_time","OK")</f>
        <v>OK</v>
      </c>
      <c r="AG187" s="20">
        <f>IF(
   AND(NOT(ISBLANK(orders_Q4[[#This Row],[return_received]])), NOT(ISBLANK(orders_Q4[[#This Row],[Del Date]]))),
   orders_Q4[[#This Row],[return_received]] - orders_Q4[[#This Row],[Del Date]],0)</f>
        <v>28</v>
      </c>
      <c r="AH187" t="str">
        <f>TEXT(orders_Q4[[#This Row],[Order Date]],"mmm-yyyy")</f>
        <v>Nov-2024</v>
      </c>
      <c r="AI187" s="1" t="str">
        <f>TEXT(orders_Q4[[#This Row],[Order Date]],"yyyy") &amp; "-" &amp; WEEKNUM(orders_Q4[[#This Row],[Order Date]])</f>
        <v>2024-47</v>
      </c>
      <c r="AJ187" t="str">
        <f>IF(orders_Q4[[#This Row],[Payment]]="COD","COD","Prepaid")</f>
        <v>Prepaid</v>
      </c>
    </row>
    <row r="188" spans="1:36" x14ac:dyDescent="0.3">
      <c r="A188" t="s">
        <v>834</v>
      </c>
      <c r="B188" s="1">
        <v>45614</v>
      </c>
      <c r="C188" t="s">
        <v>835</v>
      </c>
      <c r="D188" t="s">
        <v>25</v>
      </c>
      <c r="E188" t="s">
        <v>836</v>
      </c>
      <c r="F188" t="s">
        <v>40</v>
      </c>
      <c r="G188" t="s">
        <v>837</v>
      </c>
      <c r="H188">
        <v>3799</v>
      </c>
      <c r="I188">
        <v>1</v>
      </c>
      <c r="J188">
        <v>3799</v>
      </c>
      <c r="L188">
        <v>0</v>
      </c>
      <c r="M188" t="s">
        <v>111</v>
      </c>
      <c r="N188" t="s">
        <v>30</v>
      </c>
      <c r="O188" t="s">
        <v>150</v>
      </c>
      <c r="P188" t="s">
        <v>151</v>
      </c>
      <c r="Q188" t="s">
        <v>31</v>
      </c>
      <c r="R188" s="1">
        <v>45629</v>
      </c>
      <c r="S188" t="s">
        <v>33</v>
      </c>
      <c r="T188" t="s">
        <v>34</v>
      </c>
      <c r="W188" t="s">
        <v>35</v>
      </c>
      <c r="X188" t="str">
        <f>IF(OR(orders_Q4[[#This Row],[Qty]]&gt;5,orders_Q4[[#This Row],[Qty]]&lt;0),"Invalid Quantity","OK")</f>
        <v>OK</v>
      </c>
      <c r="Y188" t="b">
        <f>OR(orders_Q4[[#This Row],[Unit Price]]&gt;20000,orders_Q4[[#This Row],[Unit Price]]&lt;0,orders_Q4[[#This Row],[Unit Price]]=0)</f>
        <v>0</v>
      </c>
      <c r="Z18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88">
        <f>orders_Q4[[#This Row],[Unit Price]] * orders_Q4[[#This Row],[Qty]] * (1 - orders_Q4[[#This Row],[Disc %]]/100)</f>
        <v>3799</v>
      </c>
      <c r="AB188" t="str">
        <f>IF(ABS(orders_Q4[[#This Row],[Total]] - orders_Q4[[#This Row],[Calculated_order_total]]) &gt; 1, "Mismatch", "OK")</f>
        <v>OK</v>
      </c>
      <c r="AC188">
        <f>COUNTIF(C:C,orders_Q4[[#This Row],[Customer ID]])</f>
        <v>1</v>
      </c>
      <c r="AD188" t="str">
        <f>IF(AND(orders_Q4[[#This Row],[Type]]="New",orders_Q4[[#This Row],[Customer_id_count]]&gt;1),"Existing customer","OK")</f>
        <v>OK</v>
      </c>
      <c r="AE188">
        <f>orders_Q4[[#This Row],[Del Date]]-orders_Q4[[#This Row],[Order Date]]</f>
        <v>15</v>
      </c>
      <c r="AF188" t="str">
        <f>IF(OR(orders_Q4[[#This Row],[Delivery_time]]&gt;30,orders_Q4[[#This Row],[Delivery_time]]&lt;0),"Invalid_delivery_time","OK")</f>
        <v>OK</v>
      </c>
      <c r="AG188" s="20">
        <f>IF(
   AND(NOT(ISBLANK(orders_Q4[[#This Row],[return_received]])), NOT(ISBLANK(orders_Q4[[#This Row],[Del Date]]))),
   orders_Q4[[#This Row],[return_received]] - orders_Q4[[#This Row],[Del Date]],0)</f>
        <v>0</v>
      </c>
      <c r="AH188" t="str">
        <f>TEXT(orders_Q4[[#This Row],[Order Date]],"mmm-yyyy")</f>
        <v>Nov-2024</v>
      </c>
      <c r="AI188" s="1" t="str">
        <f>TEXT(orders_Q4[[#This Row],[Order Date]],"yyyy") &amp; "-" &amp; WEEKNUM(orders_Q4[[#This Row],[Order Date]])</f>
        <v>2024-47</v>
      </c>
      <c r="AJ188" t="str">
        <f>IF(orders_Q4[[#This Row],[Payment]]="COD","COD","Prepaid")</f>
        <v>Prepaid</v>
      </c>
    </row>
    <row r="189" spans="1:36" x14ac:dyDescent="0.3">
      <c r="A189" t="s">
        <v>838</v>
      </c>
      <c r="B189" s="1">
        <v>45614</v>
      </c>
      <c r="C189" t="s">
        <v>839</v>
      </c>
      <c r="D189" t="s">
        <v>38</v>
      </c>
      <c r="E189" t="s">
        <v>840</v>
      </c>
      <c r="F189" t="s">
        <v>53</v>
      </c>
      <c r="G189" t="s">
        <v>841</v>
      </c>
      <c r="H189">
        <v>2299</v>
      </c>
      <c r="I189">
        <v>1</v>
      </c>
      <c r="J189">
        <v>2299</v>
      </c>
      <c r="L189">
        <v>0</v>
      </c>
      <c r="M189" t="s">
        <v>29</v>
      </c>
      <c r="N189" t="s">
        <v>44</v>
      </c>
      <c r="O189" t="s">
        <v>156</v>
      </c>
      <c r="P189" t="s">
        <v>97</v>
      </c>
      <c r="Q189" t="s">
        <v>31</v>
      </c>
      <c r="R189" s="1">
        <v>45627</v>
      </c>
      <c r="S189" t="s">
        <v>33</v>
      </c>
      <c r="T189" t="s">
        <v>46</v>
      </c>
      <c r="U189" t="s">
        <v>47</v>
      </c>
      <c r="V189" s="1">
        <v>45656</v>
      </c>
      <c r="W189" t="s">
        <v>48</v>
      </c>
      <c r="X189" t="str">
        <f>IF(OR(orders_Q4[[#This Row],[Qty]]&gt;5,orders_Q4[[#This Row],[Qty]]&lt;0),"Invalid Quantity","OK")</f>
        <v>OK</v>
      </c>
      <c r="Y189" t="b">
        <f>OR(orders_Q4[[#This Row],[Unit Price]]&gt;20000,orders_Q4[[#This Row],[Unit Price]]&lt;0,orders_Q4[[#This Row],[Unit Price]]=0)</f>
        <v>0</v>
      </c>
      <c r="Z18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89">
        <f>orders_Q4[[#This Row],[Unit Price]] * orders_Q4[[#This Row],[Qty]] * (1 - orders_Q4[[#This Row],[Disc %]]/100)</f>
        <v>2299</v>
      </c>
      <c r="AB189" t="str">
        <f>IF(ABS(orders_Q4[[#This Row],[Total]] - orders_Q4[[#This Row],[Calculated_order_total]]) &gt; 1, "Mismatch", "OK")</f>
        <v>OK</v>
      </c>
      <c r="AC189">
        <f>COUNTIF(C:C,orders_Q4[[#This Row],[Customer ID]])</f>
        <v>1</v>
      </c>
      <c r="AD189" t="str">
        <f>IF(AND(orders_Q4[[#This Row],[Type]]="New",orders_Q4[[#This Row],[Customer_id_count]]&gt;1),"Existing customer","OK")</f>
        <v>OK</v>
      </c>
      <c r="AE189">
        <f>orders_Q4[[#This Row],[Del Date]]-orders_Q4[[#This Row],[Order Date]]</f>
        <v>13</v>
      </c>
      <c r="AF189" t="str">
        <f>IF(OR(orders_Q4[[#This Row],[Delivery_time]]&gt;30,orders_Q4[[#This Row],[Delivery_time]]&lt;0),"Invalid_delivery_time","OK")</f>
        <v>OK</v>
      </c>
      <c r="AG189" s="20">
        <f>IF(
   AND(NOT(ISBLANK(orders_Q4[[#This Row],[return_received]])), NOT(ISBLANK(orders_Q4[[#This Row],[Del Date]]))),
   orders_Q4[[#This Row],[return_received]] - orders_Q4[[#This Row],[Del Date]],0)</f>
        <v>29</v>
      </c>
      <c r="AH189" t="str">
        <f>TEXT(orders_Q4[[#This Row],[Order Date]],"mmm-yyyy")</f>
        <v>Nov-2024</v>
      </c>
      <c r="AI189" s="1" t="str">
        <f>TEXT(orders_Q4[[#This Row],[Order Date]],"yyyy") &amp; "-" &amp; WEEKNUM(orders_Q4[[#This Row],[Order Date]])</f>
        <v>2024-47</v>
      </c>
      <c r="AJ189" t="str">
        <f>IF(orders_Q4[[#This Row],[Payment]]="COD","COD","Prepaid")</f>
        <v>Prepaid</v>
      </c>
    </row>
    <row r="190" spans="1:36" x14ac:dyDescent="0.3">
      <c r="A190" t="s">
        <v>842</v>
      </c>
      <c r="B190" s="1">
        <v>45614</v>
      </c>
      <c r="C190" t="s">
        <v>843</v>
      </c>
      <c r="D190" t="s">
        <v>25</v>
      </c>
      <c r="E190" t="s">
        <v>844</v>
      </c>
      <c r="F190" t="s">
        <v>61</v>
      </c>
      <c r="G190" t="s">
        <v>845</v>
      </c>
      <c r="H190">
        <v>5999</v>
      </c>
      <c r="I190">
        <v>1</v>
      </c>
      <c r="J190">
        <v>5999</v>
      </c>
      <c r="K190" s="2">
        <v>46341</v>
      </c>
      <c r="L190">
        <v>15</v>
      </c>
      <c r="M190" t="s">
        <v>64</v>
      </c>
      <c r="N190" t="s">
        <v>65</v>
      </c>
      <c r="O190" t="s">
        <v>161</v>
      </c>
      <c r="P190" t="s">
        <v>162</v>
      </c>
      <c r="Q190" t="s">
        <v>45</v>
      </c>
      <c r="R190" s="1">
        <v>45630</v>
      </c>
      <c r="S190" t="s">
        <v>33</v>
      </c>
      <c r="T190" t="s">
        <v>46</v>
      </c>
      <c r="U190" t="s">
        <v>104</v>
      </c>
      <c r="V190" s="1">
        <v>45659</v>
      </c>
      <c r="W190" t="s">
        <v>48</v>
      </c>
      <c r="X190" t="str">
        <f>IF(OR(orders_Q4[[#This Row],[Qty]]&gt;5,orders_Q4[[#This Row],[Qty]]&lt;0),"Invalid Quantity","OK")</f>
        <v>OK</v>
      </c>
      <c r="Y190" t="b">
        <f>OR(orders_Q4[[#This Row],[Unit Price]]&gt;20000,orders_Q4[[#This Row],[Unit Price]]&lt;0,orders_Q4[[#This Row],[Unit Price]]=0)</f>
        <v>0</v>
      </c>
      <c r="Z19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90">
        <f>orders_Q4[[#This Row],[Unit Price]] * orders_Q4[[#This Row],[Qty]] * (1 - orders_Q4[[#This Row],[Disc %]]/100)</f>
        <v>5099.1499999999996</v>
      </c>
      <c r="AB190" t="str">
        <f>IF(ABS(orders_Q4[[#This Row],[Total]] - orders_Q4[[#This Row],[Calculated_order_total]]) &gt; 1, "Mismatch", "OK")</f>
        <v>Mismatch</v>
      </c>
      <c r="AC190">
        <f>COUNTIF(C:C,orders_Q4[[#This Row],[Customer ID]])</f>
        <v>1</v>
      </c>
      <c r="AD190" t="str">
        <f>IF(AND(orders_Q4[[#This Row],[Type]]="New",orders_Q4[[#This Row],[Customer_id_count]]&gt;1),"Existing customer","OK")</f>
        <v>OK</v>
      </c>
      <c r="AE190">
        <f>orders_Q4[[#This Row],[Del Date]]-orders_Q4[[#This Row],[Order Date]]</f>
        <v>16</v>
      </c>
      <c r="AF190" t="str">
        <f>IF(OR(orders_Q4[[#This Row],[Delivery_time]]&gt;30,orders_Q4[[#This Row],[Delivery_time]]&lt;0),"Invalid_delivery_time","OK")</f>
        <v>OK</v>
      </c>
      <c r="AG190" s="20">
        <f>IF(
   AND(NOT(ISBLANK(orders_Q4[[#This Row],[return_received]])), NOT(ISBLANK(orders_Q4[[#This Row],[Del Date]]))),
   orders_Q4[[#This Row],[return_received]] - orders_Q4[[#This Row],[Del Date]],0)</f>
        <v>29</v>
      </c>
      <c r="AH190" t="str">
        <f>TEXT(orders_Q4[[#This Row],[Order Date]],"mmm-yyyy")</f>
        <v>Nov-2024</v>
      </c>
      <c r="AI190" s="1" t="str">
        <f>TEXT(orders_Q4[[#This Row],[Order Date]],"yyyy") &amp; "-" &amp; WEEKNUM(orders_Q4[[#This Row],[Order Date]])</f>
        <v>2024-47</v>
      </c>
      <c r="AJ190" t="str">
        <f>IF(orders_Q4[[#This Row],[Payment]]="COD","COD","Prepaid")</f>
        <v>Prepaid</v>
      </c>
    </row>
    <row r="191" spans="1:36" x14ac:dyDescent="0.3">
      <c r="A191" t="s">
        <v>846</v>
      </c>
      <c r="B191" s="1">
        <v>45615</v>
      </c>
      <c r="C191" t="s">
        <v>847</v>
      </c>
      <c r="D191" t="s">
        <v>25</v>
      </c>
      <c r="E191" t="s">
        <v>848</v>
      </c>
      <c r="F191" t="s">
        <v>71</v>
      </c>
      <c r="G191" t="s">
        <v>849</v>
      </c>
      <c r="H191">
        <v>499</v>
      </c>
      <c r="I191">
        <v>2</v>
      </c>
      <c r="J191">
        <v>998</v>
      </c>
      <c r="L191">
        <v>0</v>
      </c>
      <c r="M191" t="s">
        <v>43</v>
      </c>
      <c r="N191" t="s">
        <v>30</v>
      </c>
      <c r="O191" t="s">
        <v>167</v>
      </c>
      <c r="P191" t="s">
        <v>151</v>
      </c>
      <c r="Q191" t="s">
        <v>31</v>
      </c>
      <c r="R191" s="1">
        <v>45628</v>
      </c>
      <c r="S191" t="s">
        <v>33</v>
      </c>
      <c r="T191" t="s">
        <v>34</v>
      </c>
      <c r="W191" t="s">
        <v>35</v>
      </c>
      <c r="X191" t="str">
        <f>IF(OR(orders_Q4[[#This Row],[Qty]]&gt;5,orders_Q4[[#This Row],[Qty]]&lt;0),"Invalid Quantity","OK")</f>
        <v>OK</v>
      </c>
      <c r="Y191" t="b">
        <f>OR(orders_Q4[[#This Row],[Unit Price]]&gt;20000,orders_Q4[[#This Row],[Unit Price]]&lt;0,orders_Q4[[#This Row],[Unit Price]]=0)</f>
        <v>0</v>
      </c>
      <c r="Z19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91">
        <f>orders_Q4[[#This Row],[Unit Price]] * orders_Q4[[#This Row],[Qty]] * (1 - orders_Q4[[#This Row],[Disc %]]/100)</f>
        <v>998</v>
      </c>
      <c r="AB191" t="str">
        <f>IF(ABS(orders_Q4[[#This Row],[Total]] - orders_Q4[[#This Row],[Calculated_order_total]]) &gt; 1, "Mismatch", "OK")</f>
        <v>OK</v>
      </c>
      <c r="AC191">
        <f>COUNTIF(C:C,orders_Q4[[#This Row],[Customer ID]])</f>
        <v>1</v>
      </c>
      <c r="AD191" t="str">
        <f>IF(AND(orders_Q4[[#This Row],[Type]]="New",orders_Q4[[#This Row],[Customer_id_count]]&gt;1),"Existing customer","OK")</f>
        <v>OK</v>
      </c>
      <c r="AE191">
        <f>orders_Q4[[#This Row],[Del Date]]-orders_Q4[[#This Row],[Order Date]]</f>
        <v>13</v>
      </c>
      <c r="AF191" t="str">
        <f>IF(OR(orders_Q4[[#This Row],[Delivery_time]]&gt;30,orders_Q4[[#This Row],[Delivery_time]]&lt;0),"Invalid_delivery_time","OK")</f>
        <v>OK</v>
      </c>
      <c r="AG191" s="20">
        <f>IF(
   AND(NOT(ISBLANK(orders_Q4[[#This Row],[return_received]])), NOT(ISBLANK(orders_Q4[[#This Row],[Del Date]]))),
   orders_Q4[[#This Row],[return_received]] - orders_Q4[[#This Row],[Del Date]],0)</f>
        <v>0</v>
      </c>
      <c r="AH191" t="str">
        <f>TEXT(orders_Q4[[#This Row],[Order Date]],"mmm-yyyy")</f>
        <v>Nov-2024</v>
      </c>
      <c r="AI191" s="1" t="str">
        <f>TEXT(orders_Q4[[#This Row],[Order Date]],"yyyy") &amp; "-" &amp; WEEKNUM(orders_Q4[[#This Row],[Order Date]])</f>
        <v>2024-47</v>
      </c>
      <c r="AJ191" t="str">
        <f>IF(orders_Q4[[#This Row],[Payment]]="COD","COD","Prepaid")</f>
        <v>Prepaid</v>
      </c>
    </row>
    <row r="192" spans="1:36" x14ac:dyDescent="0.3">
      <c r="A192" t="s">
        <v>850</v>
      </c>
      <c r="B192" s="1">
        <v>45615</v>
      </c>
      <c r="C192" t="s">
        <v>851</v>
      </c>
      <c r="D192" t="s">
        <v>25</v>
      </c>
      <c r="E192" t="s">
        <v>852</v>
      </c>
      <c r="F192" t="s">
        <v>27</v>
      </c>
      <c r="G192" t="s">
        <v>853</v>
      </c>
      <c r="H192">
        <v>1799</v>
      </c>
      <c r="I192">
        <v>1</v>
      </c>
      <c r="J192">
        <v>1799</v>
      </c>
      <c r="L192">
        <v>0</v>
      </c>
      <c r="M192" t="s">
        <v>55</v>
      </c>
      <c r="N192" t="s">
        <v>44</v>
      </c>
      <c r="O192" t="s">
        <v>172</v>
      </c>
      <c r="P192" t="s">
        <v>32</v>
      </c>
      <c r="Q192" t="s">
        <v>31</v>
      </c>
      <c r="S192" t="s">
        <v>120</v>
      </c>
      <c r="T192" t="s">
        <v>34</v>
      </c>
      <c r="W192" t="s">
        <v>35</v>
      </c>
      <c r="X192" t="str">
        <f>IF(OR(orders_Q4[[#This Row],[Qty]]&gt;5,orders_Q4[[#This Row],[Qty]]&lt;0),"Invalid Quantity","OK")</f>
        <v>OK</v>
      </c>
      <c r="Y192" t="b">
        <f>OR(orders_Q4[[#This Row],[Unit Price]]&gt;20000,orders_Q4[[#This Row],[Unit Price]]&lt;0,orders_Q4[[#This Row],[Unit Price]]=0)</f>
        <v>0</v>
      </c>
      <c r="Z19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92">
        <f>orders_Q4[[#This Row],[Unit Price]] * orders_Q4[[#This Row],[Qty]] * (1 - orders_Q4[[#This Row],[Disc %]]/100)</f>
        <v>1799</v>
      </c>
      <c r="AB192" t="str">
        <f>IF(ABS(orders_Q4[[#This Row],[Total]] - orders_Q4[[#This Row],[Calculated_order_total]]) &gt; 1, "Mismatch", "OK")</f>
        <v>OK</v>
      </c>
      <c r="AC192">
        <f>COUNTIF(C:C,orders_Q4[[#This Row],[Customer ID]])</f>
        <v>1</v>
      </c>
      <c r="AD192" t="str">
        <f>IF(AND(orders_Q4[[#This Row],[Type]]="New",orders_Q4[[#This Row],[Customer_id_count]]&gt;1),"Existing customer","OK")</f>
        <v>OK</v>
      </c>
      <c r="AE192">
        <f>orders_Q4[[#This Row],[Del Date]]-orders_Q4[[#This Row],[Order Date]]</f>
        <v>-45615</v>
      </c>
      <c r="AF192" t="str">
        <f>IF(OR(orders_Q4[[#This Row],[Delivery_time]]&gt;30,orders_Q4[[#This Row],[Delivery_time]]&lt;0),"Invalid_delivery_time","OK")</f>
        <v>Invalid_delivery_time</v>
      </c>
      <c r="AG192" s="20">
        <f>IF(
   AND(NOT(ISBLANK(orders_Q4[[#This Row],[return_received]])), NOT(ISBLANK(orders_Q4[[#This Row],[Del Date]]))),
   orders_Q4[[#This Row],[return_received]] - orders_Q4[[#This Row],[Del Date]],0)</f>
        <v>0</v>
      </c>
      <c r="AH192" t="str">
        <f>TEXT(orders_Q4[[#This Row],[Order Date]],"mmm-yyyy")</f>
        <v>Nov-2024</v>
      </c>
      <c r="AI192" s="1" t="str">
        <f>TEXT(orders_Q4[[#This Row],[Order Date]],"yyyy") &amp; "-" &amp; WEEKNUM(orders_Q4[[#This Row],[Order Date]])</f>
        <v>2024-47</v>
      </c>
      <c r="AJ192" t="str">
        <f>IF(orders_Q4[[#This Row],[Payment]]="COD","COD","Prepaid")</f>
        <v>COD</v>
      </c>
    </row>
    <row r="193" spans="1:36" x14ac:dyDescent="0.3">
      <c r="A193" t="s">
        <v>854</v>
      </c>
      <c r="B193" s="1">
        <v>45615</v>
      </c>
      <c r="C193" t="s">
        <v>855</v>
      </c>
      <c r="D193" t="s">
        <v>25</v>
      </c>
      <c r="E193" t="s">
        <v>856</v>
      </c>
      <c r="F193" t="s">
        <v>40</v>
      </c>
      <c r="G193" t="s">
        <v>857</v>
      </c>
      <c r="H193">
        <v>2999</v>
      </c>
      <c r="I193">
        <v>1</v>
      </c>
      <c r="J193">
        <v>2999</v>
      </c>
      <c r="L193">
        <v>0</v>
      </c>
      <c r="M193" t="s">
        <v>29</v>
      </c>
      <c r="N193" t="s">
        <v>65</v>
      </c>
      <c r="O193" t="s">
        <v>177</v>
      </c>
      <c r="P193" t="s">
        <v>67</v>
      </c>
      <c r="Q193" t="s">
        <v>56</v>
      </c>
      <c r="R193" s="1">
        <v>45631</v>
      </c>
      <c r="S193" t="s">
        <v>33</v>
      </c>
      <c r="T193" t="s">
        <v>46</v>
      </c>
      <c r="U193" t="s">
        <v>79</v>
      </c>
      <c r="V193" s="1">
        <v>45660</v>
      </c>
      <c r="W193" t="s">
        <v>48</v>
      </c>
      <c r="X193" t="str">
        <f>IF(OR(orders_Q4[[#This Row],[Qty]]&gt;5,orders_Q4[[#This Row],[Qty]]&lt;0),"Invalid Quantity","OK")</f>
        <v>OK</v>
      </c>
      <c r="Y193" t="b">
        <f>OR(orders_Q4[[#This Row],[Unit Price]]&gt;20000,orders_Q4[[#This Row],[Unit Price]]&lt;0,orders_Q4[[#This Row],[Unit Price]]=0)</f>
        <v>0</v>
      </c>
      <c r="Z19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93">
        <f>orders_Q4[[#This Row],[Unit Price]] * orders_Q4[[#This Row],[Qty]] * (1 - orders_Q4[[#This Row],[Disc %]]/100)</f>
        <v>2999</v>
      </c>
      <c r="AB193" t="str">
        <f>IF(ABS(orders_Q4[[#This Row],[Total]] - orders_Q4[[#This Row],[Calculated_order_total]]) &gt; 1, "Mismatch", "OK")</f>
        <v>OK</v>
      </c>
      <c r="AC193">
        <f>COUNTIF(C:C,orders_Q4[[#This Row],[Customer ID]])</f>
        <v>1</v>
      </c>
      <c r="AD193" t="str">
        <f>IF(AND(orders_Q4[[#This Row],[Type]]="New",orders_Q4[[#This Row],[Customer_id_count]]&gt;1),"Existing customer","OK")</f>
        <v>OK</v>
      </c>
      <c r="AE193">
        <f>orders_Q4[[#This Row],[Del Date]]-orders_Q4[[#This Row],[Order Date]]</f>
        <v>16</v>
      </c>
      <c r="AF193" t="str">
        <f>IF(OR(orders_Q4[[#This Row],[Delivery_time]]&gt;30,orders_Q4[[#This Row],[Delivery_time]]&lt;0),"Invalid_delivery_time","OK")</f>
        <v>OK</v>
      </c>
      <c r="AG193" s="20">
        <f>IF(
   AND(NOT(ISBLANK(orders_Q4[[#This Row],[return_received]])), NOT(ISBLANK(orders_Q4[[#This Row],[Del Date]]))),
   orders_Q4[[#This Row],[return_received]] - orders_Q4[[#This Row],[Del Date]],0)</f>
        <v>29</v>
      </c>
      <c r="AH193" t="str">
        <f>TEXT(orders_Q4[[#This Row],[Order Date]],"mmm-yyyy")</f>
        <v>Nov-2024</v>
      </c>
      <c r="AI193" s="1" t="str">
        <f>TEXT(orders_Q4[[#This Row],[Order Date]],"yyyy") &amp; "-" &amp; WEEKNUM(orders_Q4[[#This Row],[Order Date]])</f>
        <v>2024-47</v>
      </c>
      <c r="AJ193" t="str">
        <f>IF(orders_Q4[[#This Row],[Payment]]="COD","COD","Prepaid")</f>
        <v>Prepaid</v>
      </c>
    </row>
    <row r="194" spans="1:36" x14ac:dyDescent="0.3">
      <c r="A194" t="s">
        <v>858</v>
      </c>
      <c r="B194" s="1">
        <v>45616</v>
      </c>
      <c r="C194" t="s">
        <v>859</v>
      </c>
      <c r="D194" t="s">
        <v>38</v>
      </c>
      <c r="E194" t="s">
        <v>860</v>
      </c>
      <c r="F194" t="s">
        <v>53</v>
      </c>
      <c r="G194" t="s">
        <v>861</v>
      </c>
      <c r="H194">
        <v>2199</v>
      </c>
      <c r="I194">
        <v>1</v>
      </c>
      <c r="J194">
        <v>2199</v>
      </c>
      <c r="K194" s="2">
        <v>46341</v>
      </c>
      <c r="L194">
        <v>15</v>
      </c>
      <c r="M194" t="s">
        <v>111</v>
      </c>
      <c r="N194" t="s">
        <v>30</v>
      </c>
      <c r="O194" t="s">
        <v>182</v>
      </c>
      <c r="P194" t="s">
        <v>183</v>
      </c>
      <c r="Q194" t="s">
        <v>56</v>
      </c>
      <c r="R194" s="1">
        <v>45629</v>
      </c>
      <c r="S194" t="s">
        <v>33</v>
      </c>
      <c r="T194" t="s">
        <v>34</v>
      </c>
      <c r="W194" t="s">
        <v>35</v>
      </c>
      <c r="X194" t="str">
        <f>IF(OR(orders_Q4[[#This Row],[Qty]]&gt;5,orders_Q4[[#This Row],[Qty]]&lt;0),"Invalid Quantity","OK")</f>
        <v>OK</v>
      </c>
      <c r="Y194" t="b">
        <f>OR(orders_Q4[[#This Row],[Unit Price]]&gt;20000,orders_Q4[[#This Row],[Unit Price]]&lt;0,orders_Q4[[#This Row],[Unit Price]]=0)</f>
        <v>0</v>
      </c>
      <c r="Z19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94">
        <f>orders_Q4[[#This Row],[Unit Price]] * orders_Q4[[#This Row],[Qty]] * (1 - orders_Q4[[#This Row],[Disc %]]/100)</f>
        <v>1869.1499999999999</v>
      </c>
      <c r="AB194" t="str">
        <f>IF(ABS(orders_Q4[[#This Row],[Total]] - orders_Q4[[#This Row],[Calculated_order_total]]) &gt; 1, "Mismatch", "OK")</f>
        <v>Mismatch</v>
      </c>
      <c r="AC194">
        <f>COUNTIF(C:C,orders_Q4[[#This Row],[Customer ID]])</f>
        <v>1</v>
      </c>
      <c r="AD194" t="str">
        <f>IF(AND(orders_Q4[[#This Row],[Type]]="New",orders_Q4[[#This Row],[Customer_id_count]]&gt;1),"Existing customer","OK")</f>
        <v>OK</v>
      </c>
      <c r="AE194">
        <f>orders_Q4[[#This Row],[Del Date]]-orders_Q4[[#This Row],[Order Date]]</f>
        <v>13</v>
      </c>
      <c r="AF194" t="str">
        <f>IF(OR(orders_Q4[[#This Row],[Delivery_time]]&gt;30,orders_Q4[[#This Row],[Delivery_time]]&lt;0),"Invalid_delivery_time","OK")</f>
        <v>OK</v>
      </c>
      <c r="AG194" s="20">
        <f>IF(
   AND(NOT(ISBLANK(orders_Q4[[#This Row],[return_received]])), NOT(ISBLANK(orders_Q4[[#This Row],[Del Date]]))),
   orders_Q4[[#This Row],[return_received]] - orders_Q4[[#This Row],[Del Date]],0)</f>
        <v>0</v>
      </c>
      <c r="AH194" t="str">
        <f>TEXT(orders_Q4[[#This Row],[Order Date]],"mmm-yyyy")</f>
        <v>Nov-2024</v>
      </c>
      <c r="AI194" s="1" t="str">
        <f>TEXT(orders_Q4[[#This Row],[Order Date]],"yyyy") &amp; "-" &amp; WEEKNUM(orders_Q4[[#This Row],[Order Date]])</f>
        <v>2024-47</v>
      </c>
      <c r="AJ194" t="str">
        <f>IF(orders_Q4[[#This Row],[Payment]]="COD","COD","Prepaid")</f>
        <v>Prepaid</v>
      </c>
    </row>
    <row r="195" spans="1:36" x14ac:dyDescent="0.3">
      <c r="A195" t="s">
        <v>862</v>
      </c>
      <c r="B195" s="1">
        <v>45616</v>
      </c>
      <c r="C195" t="s">
        <v>863</v>
      </c>
      <c r="D195" t="s">
        <v>25</v>
      </c>
      <c r="E195" t="s">
        <v>864</v>
      </c>
      <c r="F195" t="s">
        <v>61</v>
      </c>
      <c r="G195" t="s">
        <v>865</v>
      </c>
      <c r="H195">
        <v>4899</v>
      </c>
      <c r="I195">
        <v>1</v>
      </c>
      <c r="J195">
        <v>4899</v>
      </c>
      <c r="L195">
        <v>0</v>
      </c>
      <c r="M195" t="s">
        <v>64</v>
      </c>
      <c r="N195" t="s">
        <v>44</v>
      </c>
      <c r="O195" t="s">
        <v>188</v>
      </c>
      <c r="P195" t="s">
        <v>189</v>
      </c>
      <c r="Q195" t="s">
        <v>56</v>
      </c>
      <c r="R195" s="1">
        <v>45632</v>
      </c>
      <c r="S195" t="s">
        <v>33</v>
      </c>
      <c r="T195" t="s">
        <v>46</v>
      </c>
      <c r="U195" t="s">
        <v>68</v>
      </c>
      <c r="V195" s="1">
        <v>45661</v>
      </c>
      <c r="W195" t="s">
        <v>48</v>
      </c>
      <c r="X195" t="str">
        <f>IF(OR(orders_Q4[[#This Row],[Qty]]&gt;5,orders_Q4[[#This Row],[Qty]]&lt;0),"Invalid Quantity","OK")</f>
        <v>OK</v>
      </c>
      <c r="Y195" t="b">
        <f>OR(orders_Q4[[#This Row],[Unit Price]]&gt;20000,orders_Q4[[#This Row],[Unit Price]]&lt;0,orders_Q4[[#This Row],[Unit Price]]=0)</f>
        <v>0</v>
      </c>
      <c r="Z19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95">
        <f>orders_Q4[[#This Row],[Unit Price]] * orders_Q4[[#This Row],[Qty]] * (1 - orders_Q4[[#This Row],[Disc %]]/100)</f>
        <v>4899</v>
      </c>
      <c r="AB195" t="str">
        <f>IF(ABS(orders_Q4[[#This Row],[Total]] - orders_Q4[[#This Row],[Calculated_order_total]]) &gt; 1, "Mismatch", "OK")</f>
        <v>OK</v>
      </c>
      <c r="AC195">
        <f>COUNTIF(C:C,orders_Q4[[#This Row],[Customer ID]])</f>
        <v>1</v>
      </c>
      <c r="AD195" t="str">
        <f>IF(AND(orders_Q4[[#This Row],[Type]]="New",orders_Q4[[#This Row],[Customer_id_count]]&gt;1),"Existing customer","OK")</f>
        <v>OK</v>
      </c>
      <c r="AE195">
        <f>orders_Q4[[#This Row],[Del Date]]-orders_Q4[[#This Row],[Order Date]]</f>
        <v>16</v>
      </c>
      <c r="AF195" t="str">
        <f>IF(OR(orders_Q4[[#This Row],[Delivery_time]]&gt;30,orders_Q4[[#This Row],[Delivery_time]]&lt;0),"Invalid_delivery_time","OK")</f>
        <v>OK</v>
      </c>
      <c r="AG195" s="20">
        <f>IF(
   AND(NOT(ISBLANK(orders_Q4[[#This Row],[return_received]])), NOT(ISBLANK(orders_Q4[[#This Row],[Del Date]]))),
   orders_Q4[[#This Row],[return_received]] - orders_Q4[[#This Row],[Del Date]],0)</f>
        <v>29</v>
      </c>
      <c r="AH195" t="str">
        <f>TEXT(orders_Q4[[#This Row],[Order Date]],"mmm-yyyy")</f>
        <v>Nov-2024</v>
      </c>
      <c r="AI195" s="1" t="str">
        <f>TEXT(orders_Q4[[#This Row],[Order Date]],"yyyy") &amp; "-" &amp; WEEKNUM(orders_Q4[[#This Row],[Order Date]])</f>
        <v>2024-47</v>
      </c>
      <c r="AJ195" t="str">
        <f>IF(orders_Q4[[#This Row],[Payment]]="COD","COD","Prepaid")</f>
        <v>Prepaid</v>
      </c>
    </row>
    <row r="196" spans="1:36" x14ac:dyDescent="0.3">
      <c r="A196" t="s">
        <v>866</v>
      </c>
      <c r="B196" s="1">
        <v>45616</v>
      </c>
      <c r="C196" t="s">
        <v>867</v>
      </c>
      <c r="D196" t="s">
        <v>25</v>
      </c>
      <c r="E196" t="s">
        <v>868</v>
      </c>
      <c r="F196" t="s">
        <v>71</v>
      </c>
      <c r="G196" t="s">
        <v>869</v>
      </c>
      <c r="H196">
        <v>799</v>
      </c>
      <c r="I196">
        <v>1</v>
      </c>
      <c r="J196">
        <v>799</v>
      </c>
      <c r="L196">
        <v>0</v>
      </c>
      <c r="M196" t="s">
        <v>43</v>
      </c>
      <c r="N196" t="s">
        <v>65</v>
      </c>
      <c r="O196" t="s">
        <v>194</v>
      </c>
      <c r="P196" t="s">
        <v>183</v>
      </c>
      <c r="Q196" t="s">
        <v>56</v>
      </c>
      <c r="R196" s="1">
        <v>45630</v>
      </c>
      <c r="S196" t="s">
        <v>33</v>
      </c>
      <c r="T196" t="s">
        <v>34</v>
      </c>
      <c r="W196" t="s">
        <v>35</v>
      </c>
      <c r="X196" t="str">
        <f>IF(OR(orders_Q4[[#This Row],[Qty]]&gt;5,orders_Q4[[#This Row],[Qty]]&lt;0),"Invalid Quantity","OK")</f>
        <v>OK</v>
      </c>
      <c r="Y196" t="b">
        <f>OR(orders_Q4[[#This Row],[Unit Price]]&gt;20000,orders_Q4[[#This Row],[Unit Price]]&lt;0,orders_Q4[[#This Row],[Unit Price]]=0)</f>
        <v>0</v>
      </c>
      <c r="Z19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96">
        <f>orders_Q4[[#This Row],[Unit Price]] * orders_Q4[[#This Row],[Qty]] * (1 - orders_Q4[[#This Row],[Disc %]]/100)</f>
        <v>799</v>
      </c>
      <c r="AB196" t="str">
        <f>IF(ABS(orders_Q4[[#This Row],[Total]] - orders_Q4[[#This Row],[Calculated_order_total]]) &gt; 1, "Mismatch", "OK")</f>
        <v>OK</v>
      </c>
      <c r="AC196">
        <f>COUNTIF(C:C,orders_Q4[[#This Row],[Customer ID]])</f>
        <v>1</v>
      </c>
      <c r="AD196" t="str">
        <f>IF(AND(orders_Q4[[#This Row],[Type]]="New",orders_Q4[[#This Row],[Customer_id_count]]&gt;1),"Existing customer","OK")</f>
        <v>OK</v>
      </c>
      <c r="AE196">
        <f>orders_Q4[[#This Row],[Del Date]]-orders_Q4[[#This Row],[Order Date]]</f>
        <v>14</v>
      </c>
      <c r="AF196" t="str">
        <f>IF(OR(orders_Q4[[#This Row],[Delivery_time]]&gt;30,orders_Q4[[#This Row],[Delivery_time]]&lt;0),"Invalid_delivery_time","OK")</f>
        <v>OK</v>
      </c>
      <c r="AG196" s="20">
        <f>IF(
   AND(NOT(ISBLANK(orders_Q4[[#This Row],[return_received]])), NOT(ISBLANK(orders_Q4[[#This Row],[Del Date]]))),
   orders_Q4[[#This Row],[return_received]] - orders_Q4[[#This Row],[Del Date]],0)</f>
        <v>0</v>
      </c>
      <c r="AH196" t="str">
        <f>TEXT(orders_Q4[[#This Row],[Order Date]],"mmm-yyyy")</f>
        <v>Nov-2024</v>
      </c>
      <c r="AI196" s="1" t="str">
        <f>TEXT(orders_Q4[[#This Row],[Order Date]],"yyyy") &amp; "-" &amp; WEEKNUM(orders_Q4[[#This Row],[Order Date]])</f>
        <v>2024-47</v>
      </c>
      <c r="AJ196" t="str">
        <f>IF(orders_Q4[[#This Row],[Payment]]="COD","COD","Prepaid")</f>
        <v>Prepaid</v>
      </c>
    </row>
    <row r="197" spans="1:36" x14ac:dyDescent="0.3">
      <c r="A197" t="s">
        <v>870</v>
      </c>
      <c r="B197" s="1">
        <v>45617</v>
      </c>
      <c r="C197" t="s">
        <v>871</v>
      </c>
      <c r="D197" t="s">
        <v>25</v>
      </c>
      <c r="E197" t="s">
        <v>872</v>
      </c>
      <c r="F197" t="s">
        <v>27</v>
      </c>
      <c r="G197" t="s">
        <v>873</v>
      </c>
      <c r="H197">
        <v>1999</v>
      </c>
      <c r="I197">
        <v>1</v>
      </c>
      <c r="J197">
        <v>1999</v>
      </c>
      <c r="L197">
        <v>0</v>
      </c>
      <c r="M197" t="s">
        <v>29</v>
      </c>
      <c r="N197" t="s">
        <v>30</v>
      </c>
      <c r="O197" t="s">
        <v>199</v>
      </c>
      <c r="P197" t="s">
        <v>57</v>
      </c>
      <c r="Q197" t="s">
        <v>56</v>
      </c>
      <c r="R197" s="1">
        <v>45631</v>
      </c>
      <c r="S197" t="s">
        <v>33</v>
      </c>
      <c r="T197" t="s">
        <v>46</v>
      </c>
      <c r="U197" t="s">
        <v>47</v>
      </c>
      <c r="V197" s="1">
        <v>45660</v>
      </c>
      <c r="W197" t="s">
        <v>48</v>
      </c>
      <c r="X197" t="str">
        <f>IF(OR(orders_Q4[[#This Row],[Qty]]&gt;5,orders_Q4[[#This Row],[Qty]]&lt;0),"Invalid Quantity","OK")</f>
        <v>OK</v>
      </c>
      <c r="Y197" t="b">
        <f>OR(orders_Q4[[#This Row],[Unit Price]]&gt;20000,orders_Q4[[#This Row],[Unit Price]]&lt;0,orders_Q4[[#This Row],[Unit Price]]=0)</f>
        <v>0</v>
      </c>
      <c r="Z19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97">
        <f>orders_Q4[[#This Row],[Unit Price]] * orders_Q4[[#This Row],[Qty]] * (1 - orders_Q4[[#This Row],[Disc %]]/100)</f>
        <v>1999</v>
      </c>
      <c r="AB197" t="str">
        <f>IF(ABS(orders_Q4[[#This Row],[Total]] - orders_Q4[[#This Row],[Calculated_order_total]]) &gt; 1, "Mismatch", "OK")</f>
        <v>OK</v>
      </c>
      <c r="AC197">
        <f>COUNTIF(C:C,orders_Q4[[#This Row],[Customer ID]])</f>
        <v>1</v>
      </c>
      <c r="AD197" t="str">
        <f>IF(AND(orders_Q4[[#This Row],[Type]]="New",orders_Q4[[#This Row],[Customer_id_count]]&gt;1),"Existing customer","OK")</f>
        <v>OK</v>
      </c>
      <c r="AE197">
        <f>orders_Q4[[#This Row],[Del Date]]-orders_Q4[[#This Row],[Order Date]]</f>
        <v>14</v>
      </c>
      <c r="AF197" t="str">
        <f>IF(OR(orders_Q4[[#This Row],[Delivery_time]]&gt;30,orders_Q4[[#This Row],[Delivery_time]]&lt;0),"Invalid_delivery_time","OK")</f>
        <v>OK</v>
      </c>
      <c r="AG197" s="20">
        <f>IF(
   AND(NOT(ISBLANK(orders_Q4[[#This Row],[return_received]])), NOT(ISBLANK(orders_Q4[[#This Row],[Del Date]]))),
   orders_Q4[[#This Row],[return_received]] - orders_Q4[[#This Row],[Del Date]],0)</f>
        <v>29</v>
      </c>
      <c r="AH197" t="str">
        <f>TEXT(orders_Q4[[#This Row],[Order Date]],"mmm-yyyy")</f>
        <v>Nov-2024</v>
      </c>
      <c r="AI197" s="1" t="str">
        <f>TEXT(orders_Q4[[#This Row],[Order Date]],"yyyy") &amp; "-" &amp; WEEKNUM(orders_Q4[[#This Row],[Order Date]])</f>
        <v>2024-47</v>
      </c>
      <c r="AJ197" t="str">
        <f>IF(orders_Q4[[#This Row],[Payment]]="COD","COD","Prepaid")</f>
        <v>Prepaid</v>
      </c>
    </row>
    <row r="198" spans="1:36" x14ac:dyDescent="0.3">
      <c r="A198" t="s">
        <v>874</v>
      </c>
      <c r="B198" s="1">
        <v>45617</v>
      </c>
      <c r="C198" t="s">
        <v>875</v>
      </c>
      <c r="D198" t="s">
        <v>25</v>
      </c>
      <c r="E198" t="s">
        <v>876</v>
      </c>
      <c r="F198" t="s">
        <v>40</v>
      </c>
      <c r="G198" t="s">
        <v>877</v>
      </c>
      <c r="H198">
        <v>3499</v>
      </c>
      <c r="I198">
        <v>1</v>
      </c>
      <c r="J198">
        <v>3499</v>
      </c>
      <c r="K198" s="2">
        <v>46341</v>
      </c>
      <c r="L198">
        <v>15</v>
      </c>
      <c r="M198" t="s">
        <v>55</v>
      </c>
      <c r="N198" t="s">
        <v>44</v>
      </c>
      <c r="O198" t="s">
        <v>204</v>
      </c>
      <c r="P198" t="s">
        <v>97</v>
      </c>
      <c r="Q198" t="s">
        <v>31</v>
      </c>
      <c r="R198" s="1">
        <v>45633</v>
      </c>
      <c r="S198" t="s">
        <v>33</v>
      </c>
      <c r="T198" t="s">
        <v>46</v>
      </c>
      <c r="U198" t="s">
        <v>104</v>
      </c>
      <c r="V198" s="1">
        <v>45662</v>
      </c>
      <c r="W198" t="s">
        <v>48</v>
      </c>
      <c r="X198" t="str">
        <f>IF(OR(orders_Q4[[#This Row],[Qty]]&gt;5,orders_Q4[[#This Row],[Qty]]&lt;0),"Invalid Quantity","OK")</f>
        <v>OK</v>
      </c>
      <c r="Y198" t="b">
        <f>OR(orders_Q4[[#This Row],[Unit Price]]&gt;20000,orders_Q4[[#This Row],[Unit Price]]&lt;0,orders_Q4[[#This Row],[Unit Price]]=0)</f>
        <v>0</v>
      </c>
      <c r="Z19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198">
        <f>orders_Q4[[#This Row],[Unit Price]] * orders_Q4[[#This Row],[Qty]] * (1 - orders_Q4[[#This Row],[Disc %]]/100)</f>
        <v>2974.15</v>
      </c>
      <c r="AB198" t="str">
        <f>IF(ABS(orders_Q4[[#This Row],[Total]] - orders_Q4[[#This Row],[Calculated_order_total]]) &gt; 1, "Mismatch", "OK")</f>
        <v>Mismatch</v>
      </c>
      <c r="AC198">
        <f>COUNTIF(C:C,orders_Q4[[#This Row],[Customer ID]])</f>
        <v>1</v>
      </c>
      <c r="AD198" t="str">
        <f>IF(AND(orders_Q4[[#This Row],[Type]]="New",orders_Q4[[#This Row],[Customer_id_count]]&gt;1),"Existing customer","OK")</f>
        <v>OK</v>
      </c>
      <c r="AE198">
        <f>orders_Q4[[#This Row],[Del Date]]-orders_Q4[[#This Row],[Order Date]]</f>
        <v>16</v>
      </c>
      <c r="AF198" t="str">
        <f>IF(OR(orders_Q4[[#This Row],[Delivery_time]]&gt;30,orders_Q4[[#This Row],[Delivery_time]]&lt;0),"Invalid_delivery_time","OK")</f>
        <v>OK</v>
      </c>
      <c r="AG198" s="20">
        <f>IF(
   AND(NOT(ISBLANK(orders_Q4[[#This Row],[return_received]])), NOT(ISBLANK(orders_Q4[[#This Row],[Del Date]]))),
   orders_Q4[[#This Row],[return_received]] - orders_Q4[[#This Row],[Del Date]],0)</f>
        <v>29</v>
      </c>
      <c r="AH198" t="str">
        <f>TEXT(orders_Q4[[#This Row],[Order Date]],"mmm-yyyy")</f>
        <v>Nov-2024</v>
      </c>
      <c r="AI198" s="1" t="str">
        <f>TEXT(orders_Q4[[#This Row],[Order Date]],"yyyy") &amp; "-" &amp; WEEKNUM(orders_Q4[[#This Row],[Order Date]])</f>
        <v>2024-47</v>
      </c>
      <c r="AJ198" t="str">
        <f>IF(orders_Q4[[#This Row],[Payment]]="COD","COD","Prepaid")</f>
        <v>COD</v>
      </c>
    </row>
    <row r="199" spans="1:36" x14ac:dyDescent="0.3">
      <c r="A199" t="s">
        <v>878</v>
      </c>
      <c r="B199" s="1">
        <v>45617</v>
      </c>
      <c r="C199" t="s">
        <v>879</v>
      </c>
      <c r="D199" t="s">
        <v>38</v>
      </c>
      <c r="E199" t="s">
        <v>880</v>
      </c>
      <c r="F199" t="s">
        <v>53</v>
      </c>
      <c r="G199" t="s">
        <v>881</v>
      </c>
      <c r="H199">
        <v>2599</v>
      </c>
      <c r="I199">
        <v>1</v>
      </c>
      <c r="J199">
        <v>2599</v>
      </c>
      <c r="L199">
        <v>0</v>
      </c>
      <c r="M199" t="s">
        <v>43</v>
      </c>
      <c r="N199" t="s">
        <v>65</v>
      </c>
      <c r="O199" t="s">
        <v>209</v>
      </c>
      <c r="P199" t="s">
        <v>97</v>
      </c>
      <c r="Q199" t="s">
        <v>31</v>
      </c>
      <c r="R199" s="1">
        <v>45631</v>
      </c>
      <c r="S199" t="s">
        <v>33</v>
      </c>
      <c r="T199" t="s">
        <v>34</v>
      </c>
      <c r="W199" t="s">
        <v>35</v>
      </c>
      <c r="X199" t="str">
        <f>IF(OR(orders_Q4[[#This Row],[Qty]]&gt;5,orders_Q4[[#This Row],[Qty]]&lt;0),"Invalid Quantity","OK")</f>
        <v>OK</v>
      </c>
      <c r="Y199" t="b">
        <f>OR(orders_Q4[[#This Row],[Unit Price]]&gt;20000,orders_Q4[[#This Row],[Unit Price]]&lt;0,orders_Q4[[#This Row],[Unit Price]]=0)</f>
        <v>0</v>
      </c>
      <c r="Z19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199">
        <f>orders_Q4[[#This Row],[Unit Price]] * orders_Q4[[#This Row],[Qty]] * (1 - orders_Q4[[#This Row],[Disc %]]/100)</f>
        <v>2599</v>
      </c>
      <c r="AB199" t="str">
        <f>IF(ABS(orders_Q4[[#This Row],[Total]] - orders_Q4[[#This Row],[Calculated_order_total]]) &gt; 1, "Mismatch", "OK")</f>
        <v>OK</v>
      </c>
      <c r="AC199">
        <f>COUNTIF(C:C,orders_Q4[[#This Row],[Customer ID]])</f>
        <v>1</v>
      </c>
      <c r="AD199" t="str">
        <f>IF(AND(orders_Q4[[#This Row],[Type]]="New",orders_Q4[[#This Row],[Customer_id_count]]&gt;1),"Existing customer","OK")</f>
        <v>OK</v>
      </c>
      <c r="AE199">
        <f>orders_Q4[[#This Row],[Del Date]]-orders_Q4[[#This Row],[Order Date]]</f>
        <v>14</v>
      </c>
      <c r="AF199" t="str">
        <f>IF(OR(orders_Q4[[#This Row],[Delivery_time]]&gt;30,orders_Q4[[#This Row],[Delivery_time]]&lt;0),"Invalid_delivery_time","OK")</f>
        <v>OK</v>
      </c>
      <c r="AG199" s="20">
        <f>IF(
   AND(NOT(ISBLANK(orders_Q4[[#This Row],[return_received]])), NOT(ISBLANK(orders_Q4[[#This Row],[Del Date]]))),
   orders_Q4[[#This Row],[return_received]] - orders_Q4[[#This Row],[Del Date]],0)</f>
        <v>0</v>
      </c>
      <c r="AH199" t="str">
        <f>TEXT(orders_Q4[[#This Row],[Order Date]],"mmm-yyyy")</f>
        <v>Nov-2024</v>
      </c>
      <c r="AI199" s="1" t="str">
        <f>TEXT(orders_Q4[[#This Row],[Order Date]],"yyyy") &amp; "-" &amp; WEEKNUM(orders_Q4[[#This Row],[Order Date]])</f>
        <v>2024-47</v>
      </c>
      <c r="AJ199" t="str">
        <f>IF(orders_Q4[[#This Row],[Payment]]="COD","COD","Prepaid")</f>
        <v>Prepaid</v>
      </c>
    </row>
    <row r="200" spans="1:36" x14ac:dyDescent="0.3">
      <c r="A200" t="s">
        <v>882</v>
      </c>
      <c r="B200" s="1">
        <v>45618</v>
      </c>
      <c r="C200" t="s">
        <v>883</v>
      </c>
      <c r="D200" t="s">
        <v>25</v>
      </c>
      <c r="E200" t="s">
        <v>884</v>
      </c>
      <c r="F200" t="s">
        <v>61</v>
      </c>
      <c r="G200" t="s">
        <v>885</v>
      </c>
      <c r="H200">
        <v>5499</v>
      </c>
      <c r="I200">
        <v>1</v>
      </c>
      <c r="J200">
        <v>5499</v>
      </c>
      <c r="L200">
        <v>0</v>
      </c>
      <c r="M200" t="s">
        <v>111</v>
      </c>
      <c r="N200" t="s">
        <v>30</v>
      </c>
      <c r="O200" t="s">
        <v>214</v>
      </c>
      <c r="P200" t="s">
        <v>113</v>
      </c>
      <c r="Q200" t="s">
        <v>45</v>
      </c>
      <c r="R200" s="1">
        <v>45634</v>
      </c>
      <c r="S200" t="s">
        <v>33</v>
      </c>
      <c r="T200" t="s">
        <v>46</v>
      </c>
      <c r="U200" t="s">
        <v>79</v>
      </c>
      <c r="V200" s="1">
        <v>45663</v>
      </c>
      <c r="W200" t="s">
        <v>48</v>
      </c>
      <c r="X200" t="str">
        <f>IF(OR(orders_Q4[[#This Row],[Qty]]&gt;5,orders_Q4[[#This Row],[Qty]]&lt;0),"Invalid Quantity","OK")</f>
        <v>OK</v>
      </c>
      <c r="Y200" t="b">
        <f>OR(orders_Q4[[#This Row],[Unit Price]]&gt;20000,orders_Q4[[#This Row],[Unit Price]]&lt;0,orders_Q4[[#This Row],[Unit Price]]=0)</f>
        <v>0</v>
      </c>
      <c r="Z20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0">
        <f>orders_Q4[[#This Row],[Unit Price]] * orders_Q4[[#This Row],[Qty]] * (1 - orders_Q4[[#This Row],[Disc %]]/100)</f>
        <v>5499</v>
      </c>
      <c r="AB200" t="str">
        <f>IF(ABS(orders_Q4[[#This Row],[Total]] - orders_Q4[[#This Row],[Calculated_order_total]]) &gt; 1, "Mismatch", "OK")</f>
        <v>OK</v>
      </c>
      <c r="AC200">
        <f>COUNTIF(C:C,orders_Q4[[#This Row],[Customer ID]])</f>
        <v>1</v>
      </c>
      <c r="AD200" t="str">
        <f>IF(AND(orders_Q4[[#This Row],[Type]]="New",orders_Q4[[#This Row],[Customer_id_count]]&gt;1),"Existing customer","OK")</f>
        <v>OK</v>
      </c>
      <c r="AE200">
        <f>orders_Q4[[#This Row],[Del Date]]-orders_Q4[[#This Row],[Order Date]]</f>
        <v>16</v>
      </c>
      <c r="AF200" t="str">
        <f>IF(OR(orders_Q4[[#This Row],[Delivery_time]]&gt;30,orders_Q4[[#This Row],[Delivery_time]]&lt;0),"Invalid_delivery_time","OK")</f>
        <v>OK</v>
      </c>
      <c r="AG200" s="20">
        <f>IF(
   AND(NOT(ISBLANK(orders_Q4[[#This Row],[return_received]])), NOT(ISBLANK(orders_Q4[[#This Row],[Del Date]]))),
   orders_Q4[[#This Row],[return_received]] - orders_Q4[[#This Row],[Del Date]],0)</f>
        <v>29</v>
      </c>
      <c r="AH200" t="str">
        <f>TEXT(orders_Q4[[#This Row],[Order Date]],"mmm-yyyy")</f>
        <v>Nov-2024</v>
      </c>
      <c r="AI200" s="1" t="str">
        <f>TEXT(orders_Q4[[#This Row],[Order Date]],"yyyy") &amp; "-" &amp; WEEKNUM(orders_Q4[[#This Row],[Order Date]])</f>
        <v>2024-47</v>
      </c>
      <c r="AJ200" t="str">
        <f>IF(orders_Q4[[#This Row],[Payment]]="COD","COD","Prepaid")</f>
        <v>Prepaid</v>
      </c>
    </row>
    <row r="201" spans="1:36" x14ac:dyDescent="0.3">
      <c r="A201" t="s">
        <v>886</v>
      </c>
      <c r="B201" s="1">
        <v>45618</v>
      </c>
      <c r="C201" t="s">
        <v>887</v>
      </c>
      <c r="D201" t="s">
        <v>25</v>
      </c>
      <c r="E201" t="s">
        <v>888</v>
      </c>
      <c r="F201" t="s">
        <v>71</v>
      </c>
      <c r="G201" t="s">
        <v>889</v>
      </c>
      <c r="H201">
        <v>999</v>
      </c>
      <c r="I201">
        <v>1</v>
      </c>
      <c r="J201">
        <v>999</v>
      </c>
      <c r="L201">
        <v>0</v>
      </c>
      <c r="M201" t="s">
        <v>64</v>
      </c>
      <c r="N201" t="s">
        <v>44</v>
      </c>
      <c r="O201" t="s">
        <v>31</v>
      </c>
      <c r="P201" t="s">
        <v>32</v>
      </c>
      <c r="Q201" t="s">
        <v>31</v>
      </c>
      <c r="R201" s="1">
        <v>45632</v>
      </c>
      <c r="S201" t="s">
        <v>33</v>
      </c>
      <c r="T201" t="s">
        <v>34</v>
      </c>
      <c r="W201" t="s">
        <v>35</v>
      </c>
      <c r="X201" t="str">
        <f>IF(OR(orders_Q4[[#This Row],[Qty]]&gt;5,orders_Q4[[#This Row],[Qty]]&lt;0),"Invalid Quantity","OK")</f>
        <v>OK</v>
      </c>
      <c r="Y201" t="b">
        <f>OR(orders_Q4[[#This Row],[Unit Price]]&gt;20000,orders_Q4[[#This Row],[Unit Price]]&lt;0,orders_Q4[[#This Row],[Unit Price]]=0)</f>
        <v>0</v>
      </c>
      <c r="Z20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1">
        <f>orders_Q4[[#This Row],[Unit Price]] * orders_Q4[[#This Row],[Qty]] * (1 - orders_Q4[[#This Row],[Disc %]]/100)</f>
        <v>999</v>
      </c>
      <c r="AB201" t="str">
        <f>IF(ABS(orders_Q4[[#This Row],[Total]] - orders_Q4[[#This Row],[Calculated_order_total]]) &gt; 1, "Mismatch", "OK")</f>
        <v>OK</v>
      </c>
      <c r="AC201">
        <f>COUNTIF(C:C,orders_Q4[[#This Row],[Customer ID]])</f>
        <v>1</v>
      </c>
      <c r="AD201" t="str">
        <f>IF(AND(orders_Q4[[#This Row],[Type]]="New",orders_Q4[[#This Row],[Customer_id_count]]&gt;1),"Existing customer","OK")</f>
        <v>OK</v>
      </c>
      <c r="AE201">
        <f>orders_Q4[[#This Row],[Del Date]]-orders_Q4[[#This Row],[Order Date]]</f>
        <v>14</v>
      </c>
      <c r="AF201" t="str">
        <f>IF(OR(orders_Q4[[#This Row],[Delivery_time]]&gt;30,orders_Q4[[#This Row],[Delivery_time]]&lt;0),"Invalid_delivery_time","OK")</f>
        <v>OK</v>
      </c>
      <c r="AG201" s="20">
        <f>IF(
   AND(NOT(ISBLANK(orders_Q4[[#This Row],[return_received]])), NOT(ISBLANK(orders_Q4[[#This Row],[Del Date]]))),
   orders_Q4[[#This Row],[return_received]] - orders_Q4[[#This Row],[Del Date]],0)</f>
        <v>0</v>
      </c>
      <c r="AH201" t="str">
        <f>TEXT(orders_Q4[[#This Row],[Order Date]],"mmm-yyyy")</f>
        <v>Nov-2024</v>
      </c>
      <c r="AI201" s="1" t="str">
        <f>TEXT(orders_Q4[[#This Row],[Order Date]],"yyyy") &amp; "-" &amp; WEEKNUM(orders_Q4[[#This Row],[Order Date]])</f>
        <v>2024-47</v>
      </c>
      <c r="AJ201" t="str">
        <f>IF(orders_Q4[[#This Row],[Payment]]="COD","COD","Prepaid")</f>
        <v>Prepaid</v>
      </c>
    </row>
    <row r="202" spans="1:36" x14ac:dyDescent="0.3">
      <c r="A202" t="s">
        <v>890</v>
      </c>
      <c r="B202" s="1">
        <v>45618</v>
      </c>
      <c r="C202" t="s">
        <v>891</v>
      </c>
      <c r="D202" t="s">
        <v>25</v>
      </c>
      <c r="E202" t="s">
        <v>892</v>
      </c>
      <c r="F202" t="s">
        <v>27</v>
      </c>
      <c r="G202" t="s">
        <v>893</v>
      </c>
      <c r="H202">
        <v>1699</v>
      </c>
      <c r="I202">
        <v>1</v>
      </c>
      <c r="J202">
        <v>1699</v>
      </c>
      <c r="K202" s="2">
        <v>46341</v>
      </c>
      <c r="L202">
        <v>15</v>
      </c>
      <c r="M202" t="s">
        <v>29</v>
      </c>
      <c r="N202" t="s">
        <v>65</v>
      </c>
      <c r="O202" t="s">
        <v>45</v>
      </c>
      <c r="P202" t="s">
        <v>45</v>
      </c>
      <c r="Q202" t="s">
        <v>45</v>
      </c>
      <c r="R202" s="1">
        <v>45633</v>
      </c>
      <c r="S202" t="s">
        <v>33</v>
      </c>
      <c r="T202" t="s">
        <v>46</v>
      </c>
      <c r="U202" t="s">
        <v>138</v>
      </c>
      <c r="V202" s="1">
        <v>45662</v>
      </c>
      <c r="W202" t="s">
        <v>48</v>
      </c>
      <c r="X202" t="str">
        <f>IF(OR(orders_Q4[[#This Row],[Qty]]&gt;5,orders_Q4[[#This Row],[Qty]]&lt;0),"Invalid Quantity","OK")</f>
        <v>OK</v>
      </c>
      <c r="Y202" t="b">
        <f>OR(orders_Q4[[#This Row],[Unit Price]]&gt;20000,orders_Q4[[#This Row],[Unit Price]]&lt;0,orders_Q4[[#This Row],[Unit Price]]=0)</f>
        <v>0</v>
      </c>
      <c r="Z20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02">
        <f>orders_Q4[[#This Row],[Unit Price]] * orders_Q4[[#This Row],[Qty]] * (1 - orders_Q4[[#This Row],[Disc %]]/100)</f>
        <v>1444.1499999999999</v>
      </c>
      <c r="AB202" t="str">
        <f>IF(ABS(orders_Q4[[#This Row],[Total]] - orders_Q4[[#This Row],[Calculated_order_total]]) &gt; 1, "Mismatch", "OK")</f>
        <v>Mismatch</v>
      </c>
      <c r="AC202">
        <f>COUNTIF(C:C,orders_Q4[[#This Row],[Customer ID]])</f>
        <v>1</v>
      </c>
      <c r="AD202" t="str">
        <f>IF(AND(orders_Q4[[#This Row],[Type]]="New",orders_Q4[[#This Row],[Customer_id_count]]&gt;1),"Existing customer","OK")</f>
        <v>OK</v>
      </c>
      <c r="AE202">
        <f>orders_Q4[[#This Row],[Del Date]]-orders_Q4[[#This Row],[Order Date]]</f>
        <v>15</v>
      </c>
      <c r="AF202" t="str">
        <f>IF(OR(orders_Q4[[#This Row],[Delivery_time]]&gt;30,orders_Q4[[#This Row],[Delivery_time]]&lt;0),"Invalid_delivery_time","OK")</f>
        <v>OK</v>
      </c>
      <c r="AG202" s="20">
        <f>IF(
   AND(NOT(ISBLANK(orders_Q4[[#This Row],[return_received]])), NOT(ISBLANK(orders_Q4[[#This Row],[Del Date]]))),
   orders_Q4[[#This Row],[return_received]] - orders_Q4[[#This Row],[Del Date]],0)</f>
        <v>29</v>
      </c>
      <c r="AH202" t="str">
        <f>TEXT(orders_Q4[[#This Row],[Order Date]],"mmm-yyyy")</f>
        <v>Nov-2024</v>
      </c>
      <c r="AI202" s="1" t="str">
        <f>TEXT(orders_Q4[[#This Row],[Order Date]],"yyyy") &amp; "-" &amp; WEEKNUM(orders_Q4[[#This Row],[Order Date]])</f>
        <v>2024-47</v>
      </c>
      <c r="AJ202" t="str">
        <f>IF(orders_Q4[[#This Row],[Payment]]="COD","COD","Prepaid")</f>
        <v>Prepaid</v>
      </c>
    </row>
    <row r="203" spans="1:36" x14ac:dyDescent="0.3">
      <c r="A203" t="s">
        <v>894</v>
      </c>
      <c r="B203" s="1">
        <v>45619</v>
      </c>
      <c r="C203" t="s">
        <v>895</v>
      </c>
      <c r="D203" t="s">
        <v>25</v>
      </c>
      <c r="E203" t="s">
        <v>896</v>
      </c>
      <c r="F203" t="s">
        <v>40</v>
      </c>
      <c r="G203" t="s">
        <v>897</v>
      </c>
      <c r="H203">
        <v>2799</v>
      </c>
      <c r="I203">
        <v>1</v>
      </c>
      <c r="J203">
        <v>2799</v>
      </c>
      <c r="L203">
        <v>0</v>
      </c>
      <c r="M203" t="s">
        <v>43</v>
      </c>
      <c r="N203" t="s">
        <v>30</v>
      </c>
      <c r="O203" t="s">
        <v>90</v>
      </c>
      <c r="P203" t="s">
        <v>91</v>
      </c>
      <c r="Q203" t="s">
        <v>45</v>
      </c>
      <c r="R203" s="1">
        <v>45635</v>
      </c>
      <c r="S203" t="s">
        <v>33</v>
      </c>
      <c r="T203" t="s">
        <v>34</v>
      </c>
      <c r="W203" t="s">
        <v>35</v>
      </c>
      <c r="X203" t="str">
        <f>IF(OR(orders_Q4[[#This Row],[Qty]]&gt;5,orders_Q4[[#This Row],[Qty]]&lt;0),"Invalid Quantity","OK")</f>
        <v>OK</v>
      </c>
      <c r="Y203" t="b">
        <f>OR(orders_Q4[[#This Row],[Unit Price]]&gt;20000,orders_Q4[[#This Row],[Unit Price]]&lt;0,orders_Q4[[#This Row],[Unit Price]]=0)</f>
        <v>0</v>
      </c>
      <c r="Z20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3">
        <f>orders_Q4[[#This Row],[Unit Price]] * orders_Q4[[#This Row],[Qty]] * (1 - orders_Q4[[#This Row],[Disc %]]/100)</f>
        <v>2799</v>
      </c>
      <c r="AB203" t="str">
        <f>IF(ABS(orders_Q4[[#This Row],[Total]] - orders_Q4[[#This Row],[Calculated_order_total]]) &gt; 1, "Mismatch", "OK")</f>
        <v>OK</v>
      </c>
      <c r="AC203">
        <f>COUNTIF(C:C,orders_Q4[[#This Row],[Customer ID]])</f>
        <v>1</v>
      </c>
      <c r="AD203" t="str">
        <f>IF(AND(orders_Q4[[#This Row],[Type]]="New",orders_Q4[[#This Row],[Customer_id_count]]&gt;1),"Existing customer","OK")</f>
        <v>OK</v>
      </c>
      <c r="AE203">
        <f>orders_Q4[[#This Row],[Del Date]]-orders_Q4[[#This Row],[Order Date]]</f>
        <v>16</v>
      </c>
      <c r="AF203" t="str">
        <f>IF(OR(orders_Q4[[#This Row],[Delivery_time]]&gt;30,orders_Q4[[#This Row],[Delivery_time]]&lt;0),"Invalid_delivery_time","OK")</f>
        <v>OK</v>
      </c>
      <c r="AG203" s="20">
        <f>IF(
   AND(NOT(ISBLANK(orders_Q4[[#This Row],[return_received]])), NOT(ISBLANK(orders_Q4[[#This Row],[Del Date]]))),
   orders_Q4[[#This Row],[return_received]] - orders_Q4[[#This Row],[Del Date]],0)</f>
        <v>0</v>
      </c>
      <c r="AH203" t="str">
        <f>TEXT(orders_Q4[[#This Row],[Order Date]],"mmm-yyyy")</f>
        <v>Nov-2024</v>
      </c>
      <c r="AI203" s="1" t="str">
        <f>TEXT(orders_Q4[[#This Row],[Order Date]],"yyyy") &amp; "-" &amp; WEEKNUM(orders_Q4[[#This Row],[Order Date]])</f>
        <v>2024-47</v>
      </c>
      <c r="AJ203" t="str">
        <f>IF(orders_Q4[[#This Row],[Payment]]="COD","COD","Prepaid")</f>
        <v>Prepaid</v>
      </c>
    </row>
    <row r="204" spans="1:36" x14ac:dyDescent="0.3">
      <c r="A204" t="s">
        <v>898</v>
      </c>
      <c r="B204" s="1">
        <v>45619</v>
      </c>
      <c r="C204" t="s">
        <v>899</v>
      </c>
      <c r="D204" t="s">
        <v>38</v>
      </c>
      <c r="E204" t="s">
        <v>900</v>
      </c>
      <c r="F204" t="s">
        <v>53</v>
      </c>
      <c r="G204" t="s">
        <v>901</v>
      </c>
      <c r="H204">
        <v>2399</v>
      </c>
      <c r="I204">
        <v>1</v>
      </c>
      <c r="J204">
        <v>2399</v>
      </c>
      <c r="L204">
        <v>0</v>
      </c>
      <c r="M204" t="s">
        <v>55</v>
      </c>
      <c r="N204" t="s">
        <v>44</v>
      </c>
      <c r="O204" t="s">
        <v>66</v>
      </c>
      <c r="P204" t="s">
        <v>67</v>
      </c>
      <c r="Q204" t="s">
        <v>56</v>
      </c>
      <c r="R204" s="1">
        <v>45633</v>
      </c>
      <c r="S204" t="s">
        <v>33</v>
      </c>
      <c r="T204" t="s">
        <v>46</v>
      </c>
      <c r="U204" t="s">
        <v>68</v>
      </c>
      <c r="V204" s="1">
        <v>45661</v>
      </c>
      <c r="W204" t="s">
        <v>48</v>
      </c>
      <c r="X204" t="str">
        <f>IF(OR(orders_Q4[[#This Row],[Qty]]&gt;5,orders_Q4[[#This Row],[Qty]]&lt;0),"Invalid Quantity","OK")</f>
        <v>OK</v>
      </c>
      <c r="Y204" t="b">
        <f>OR(orders_Q4[[#This Row],[Unit Price]]&gt;20000,orders_Q4[[#This Row],[Unit Price]]&lt;0,orders_Q4[[#This Row],[Unit Price]]=0)</f>
        <v>0</v>
      </c>
      <c r="Z20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4">
        <f>orders_Q4[[#This Row],[Unit Price]] * orders_Q4[[#This Row],[Qty]] * (1 - orders_Q4[[#This Row],[Disc %]]/100)</f>
        <v>2399</v>
      </c>
      <c r="AB204" t="str">
        <f>IF(ABS(orders_Q4[[#This Row],[Total]] - orders_Q4[[#This Row],[Calculated_order_total]]) &gt; 1, "Mismatch", "OK")</f>
        <v>OK</v>
      </c>
      <c r="AC204">
        <f>COUNTIF(C:C,orders_Q4[[#This Row],[Customer ID]])</f>
        <v>1</v>
      </c>
      <c r="AD204" t="str">
        <f>IF(AND(orders_Q4[[#This Row],[Type]]="New",orders_Q4[[#This Row],[Customer_id_count]]&gt;1),"Existing customer","OK")</f>
        <v>OK</v>
      </c>
      <c r="AE204">
        <f>orders_Q4[[#This Row],[Del Date]]-orders_Q4[[#This Row],[Order Date]]</f>
        <v>14</v>
      </c>
      <c r="AF204" t="str">
        <f>IF(OR(orders_Q4[[#This Row],[Delivery_time]]&gt;30,orders_Q4[[#This Row],[Delivery_time]]&lt;0),"Invalid_delivery_time","OK")</f>
        <v>OK</v>
      </c>
      <c r="AG204" s="20">
        <f>IF(
   AND(NOT(ISBLANK(orders_Q4[[#This Row],[return_received]])), NOT(ISBLANK(orders_Q4[[#This Row],[Del Date]]))),
   orders_Q4[[#This Row],[return_received]] - orders_Q4[[#This Row],[Del Date]],0)</f>
        <v>28</v>
      </c>
      <c r="AH204" t="str">
        <f>TEXT(orders_Q4[[#This Row],[Order Date]],"mmm-yyyy")</f>
        <v>Nov-2024</v>
      </c>
      <c r="AI204" s="1" t="str">
        <f>TEXT(orders_Q4[[#This Row],[Order Date]],"yyyy") &amp; "-" &amp; WEEKNUM(orders_Q4[[#This Row],[Order Date]])</f>
        <v>2024-47</v>
      </c>
      <c r="AJ204" t="str">
        <f>IF(orders_Q4[[#This Row],[Payment]]="COD","COD","Prepaid")</f>
        <v>COD</v>
      </c>
    </row>
    <row r="205" spans="1:36" x14ac:dyDescent="0.3">
      <c r="A205" t="s">
        <v>902</v>
      </c>
      <c r="B205" s="1">
        <v>45619</v>
      </c>
      <c r="C205" t="s">
        <v>903</v>
      </c>
      <c r="D205" t="s">
        <v>25</v>
      </c>
      <c r="E205" t="s">
        <v>904</v>
      </c>
      <c r="F205" t="s">
        <v>61</v>
      </c>
      <c r="G205" t="s">
        <v>905</v>
      </c>
      <c r="H205">
        <v>6799</v>
      </c>
      <c r="I205">
        <v>1</v>
      </c>
      <c r="J205">
        <v>6799</v>
      </c>
      <c r="L205">
        <v>0</v>
      </c>
      <c r="M205" t="s">
        <v>29</v>
      </c>
      <c r="N205" t="s">
        <v>65</v>
      </c>
      <c r="O205" t="s">
        <v>77</v>
      </c>
      <c r="P205" t="s">
        <v>78</v>
      </c>
      <c r="Q205" t="s">
        <v>56</v>
      </c>
      <c r="R205" s="1">
        <v>45636</v>
      </c>
      <c r="S205" t="s">
        <v>33</v>
      </c>
      <c r="T205" t="s">
        <v>46</v>
      </c>
      <c r="U205" t="s">
        <v>47</v>
      </c>
      <c r="V205" s="1">
        <v>45665</v>
      </c>
      <c r="W205" t="s">
        <v>48</v>
      </c>
      <c r="X205" t="str">
        <f>IF(OR(orders_Q4[[#This Row],[Qty]]&gt;5,orders_Q4[[#This Row],[Qty]]&lt;0),"Invalid Quantity","OK")</f>
        <v>OK</v>
      </c>
      <c r="Y205" t="b">
        <f>OR(orders_Q4[[#This Row],[Unit Price]]&gt;20000,orders_Q4[[#This Row],[Unit Price]]&lt;0,orders_Q4[[#This Row],[Unit Price]]=0)</f>
        <v>0</v>
      </c>
      <c r="Z20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5">
        <f>orders_Q4[[#This Row],[Unit Price]] * orders_Q4[[#This Row],[Qty]] * (1 - orders_Q4[[#This Row],[Disc %]]/100)</f>
        <v>6799</v>
      </c>
      <c r="AB205" t="str">
        <f>IF(ABS(orders_Q4[[#This Row],[Total]] - orders_Q4[[#This Row],[Calculated_order_total]]) &gt; 1, "Mismatch", "OK")</f>
        <v>OK</v>
      </c>
      <c r="AC205">
        <f>COUNTIF(C:C,orders_Q4[[#This Row],[Customer ID]])</f>
        <v>1</v>
      </c>
      <c r="AD205" t="str">
        <f>IF(AND(orders_Q4[[#This Row],[Type]]="New",orders_Q4[[#This Row],[Customer_id_count]]&gt;1),"Existing customer","OK")</f>
        <v>OK</v>
      </c>
      <c r="AE205">
        <f>orders_Q4[[#This Row],[Del Date]]-orders_Q4[[#This Row],[Order Date]]</f>
        <v>17</v>
      </c>
      <c r="AF205" t="str">
        <f>IF(OR(orders_Q4[[#This Row],[Delivery_time]]&gt;30,orders_Q4[[#This Row],[Delivery_time]]&lt;0),"Invalid_delivery_time","OK")</f>
        <v>OK</v>
      </c>
      <c r="AG205" s="20">
        <f>IF(
   AND(NOT(ISBLANK(orders_Q4[[#This Row],[return_received]])), NOT(ISBLANK(orders_Q4[[#This Row],[Del Date]]))),
   orders_Q4[[#This Row],[return_received]] - orders_Q4[[#This Row],[Del Date]],0)</f>
        <v>29</v>
      </c>
      <c r="AH205" t="str">
        <f>TEXT(orders_Q4[[#This Row],[Order Date]],"mmm-yyyy")</f>
        <v>Nov-2024</v>
      </c>
      <c r="AI205" s="1" t="str">
        <f>TEXT(orders_Q4[[#This Row],[Order Date]],"yyyy") &amp; "-" &amp; WEEKNUM(orders_Q4[[#This Row],[Order Date]])</f>
        <v>2024-47</v>
      </c>
      <c r="AJ205" t="str">
        <f>IF(orders_Q4[[#This Row],[Payment]]="COD","COD","Prepaid")</f>
        <v>Prepaid</v>
      </c>
    </row>
    <row r="206" spans="1:36" x14ac:dyDescent="0.3">
      <c r="A206" t="s">
        <v>906</v>
      </c>
      <c r="B206" s="1">
        <v>45620</v>
      </c>
      <c r="C206" t="s">
        <v>907</v>
      </c>
      <c r="D206" t="s">
        <v>25</v>
      </c>
      <c r="E206" t="s">
        <v>908</v>
      </c>
      <c r="F206" t="s">
        <v>71</v>
      </c>
      <c r="G206" t="s">
        <v>909</v>
      </c>
      <c r="H206">
        <v>1499</v>
      </c>
      <c r="I206">
        <v>1</v>
      </c>
      <c r="J206">
        <v>1499</v>
      </c>
      <c r="K206" s="2">
        <v>46341</v>
      </c>
      <c r="L206">
        <v>15</v>
      </c>
      <c r="M206" t="s">
        <v>111</v>
      </c>
      <c r="N206" t="s">
        <v>30</v>
      </c>
      <c r="O206" t="s">
        <v>84</v>
      </c>
      <c r="P206" t="s">
        <v>32</v>
      </c>
      <c r="Q206" t="s">
        <v>31</v>
      </c>
      <c r="R206" s="1">
        <v>45634</v>
      </c>
      <c r="S206" t="s">
        <v>33</v>
      </c>
      <c r="T206" t="s">
        <v>34</v>
      </c>
      <c r="W206" t="s">
        <v>35</v>
      </c>
      <c r="X206" t="str">
        <f>IF(OR(orders_Q4[[#This Row],[Qty]]&gt;5,orders_Q4[[#This Row],[Qty]]&lt;0),"Invalid Quantity","OK")</f>
        <v>OK</v>
      </c>
      <c r="Y206" t="b">
        <f>OR(orders_Q4[[#This Row],[Unit Price]]&gt;20000,orders_Q4[[#This Row],[Unit Price]]&lt;0,orders_Q4[[#This Row],[Unit Price]]=0)</f>
        <v>0</v>
      </c>
      <c r="Z20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06">
        <f>orders_Q4[[#This Row],[Unit Price]] * orders_Q4[[#This Row],[Qty]] * (1 - orders_Q4[[#This Row],[Disc %]]/100)</f>
        <v>1274.1499999999999</v>
      </c>
      <c r="AB206" t="str">
        <f>IF(ABS(orders_Q4[[#This Row],[Total]] - orders_Q4[[#This Row],[Calculated_order_total]]) &gt; 1, "Mismatch", "OK")</f>
        <v>Mismatch</v>
      </c>
      <c r="AC206">
        <f>COUNTIF(C:C,orders_Q4[[#This Row],[Customer ID]])</f>
        <v>1</v>
      </c>
      <c r="AD206" t="str">
        <f>IF(AND(orders_Q4[[#This Row],[Type]]="New",orders_Q4[[#This Row],[Customer_id_count]]&gt;1),"Existing customer","OK")</f>
        <v>OK</v>
      </c>
      <c r="AE206">
        <f>orders_Q4[[#This Row],[Del Date]]-orders_Q4[[#This Row],[Order Date]]</f>
        <v>14</v>
      </c>
      <c r="AF206" t="str">
        <f>IF(OR(orders_Q4[[#This Row],[Delivery_time]]&gt;30,orders_Q4[[#This Row],[Delivery_time]]&lt;0),"Invalid_delivery_time","OK")</f>
        <v>OK</v>
      </c>
      <c r="AG206" s="20">
        <f>IF(
   AND(NOT(ISBLANK(orders_Q4[[#This Row],[return_received]])), NOT(ISBLANK(orders_Q4[[#This Row],[Del Date]]))),
   orders_Q4[[#This Row],[return_received]] - orders_Q4[[#This Row],[Del Date]],0)</f>
        <v>0</v>
      </c>
      <c r="AH206" t="str">
        <f>TEXT(orders_Q4[[#This Row],[Order Date]],"mmm-yyyy")</f>
        <v>Nov-2024</v>
      </c>
      <c r="AI206" s="1" t="str">
        <f>TEXT(orders_Q4[[#This Row],[Order Date]],"yyyy") &amp; "-" &amp; WEEKNUM(orders_Q4[[#This Row],[Order Date]])</f>
        <v>2024-48</v>
      </c>
      <c r="AJ206" t="str">
        <f>IF(orders_Q4[[#This Row],[Payment]]="COD","COD","Prepaid")</f>
        <v>Prepaid</v>
      </c>
    </row>
    <row r="207" spans="1:36" x14ac:dyDescent="0.3">
      <c r="A207" t="s">
        <v>910</v>
      </c>
      <c r="B207" s="1">
        <v>45620</v>
      </c>
      <c r="C207" t="s">
        <v>911</v>
      </c>
      <c r="D207" t="s">
        <v>25</v>
      </c>
      <c r="E207" t="s">
        <v>912</v>
      </c>
      <c r="F207" t="s">
        <v>27</v>
      </c>
      <c r="G207" t="s">
        <v>913</v>
      </c>
      <c r="H207">
        <v>2299</v>
      </c>
      <c r="I207">
        <v>1</v>
      </c>
      <c r="J207">
        <v>2299</v>
      </c>
      <c r="L207">
        <v>0</v>
      </c>
      <c r="M207" t="s">
        <v>64</v>
      </c>
      <c r="N207" t="s">
        <v>44</v>
      </c>
      <c r="O207" t="s">
        <v>96</v>
      </c>
      <c r="P207" t="s">
        <v>97</v>
      </c>
      <c r="Q207" t="s">
        <v>31</v>
      </c>
      <c r="R207" s="1">
        <v>45635</v>
      </c>
      <c r="S207" t="s">
        <v>33</v>
      </c>
      <c r="T207" t="s">
        <v>46</v>
      </c>
      <c r="U207" t="s">
        <v>104</v>
      </c>
      <c r="V207" s="1">
        <v>45664</v>
      </c>
      <c r="W207" t="s">
        <v>48</v>
      </c>
      <c r="X207" t="str">
        <f>IF(OR(orders_Q4[[#This Row],[Qty]]&gt;5,orders_Q4[[#This Row],[Qty]]&lt;0),"Invalid Quantity","OK")</f>
        <v>OK</v>
      </c>
      <c r="Y207" t="b">
        <f>OR(orders_Q4[[#This Row],[Unit Price]]&gt;20000,orders_Q4[[#This Row],[Unit Price]]&lt;0,orders_Q4[[#This Row],[Unit Price]]=0)</f>
        <v>0</v>
      </c>
      <c r="Z20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7">
        <f>orders_Q4[[#This Row],[Unit Price]] * orders_Q4[[#This Row],[Qty]] * (1 - orders_Q4[[#This Row],[Disc %]]/100)</f>
        <v>2299</v>
      </c>
      <c r="AB207" t="str">
        <f>IF(ABS(orders_Q4[[#This Row],[Total]] - orders_Q4[[#This Row],[Calculated_order_total]]) &gt; 1, "Mismatch", "OK")</f>
        <v>OK</v>
      </c>
      <c r="AC207">
        <f>COUNTIF(C:C,orders_Q4[[#This Row],[Customer ID]])</f>
        <v>1</v>
      </c>
      <c r="AD207" t="str">
        <f>IF(AND(orders_Q4[[#This Row],[Type]]="New",orders_Q4[[#This Row],[Customer_id_count]]&gt;1),"Existing customer","OK")</f>
        <v>OK</v>
      </c>
      <c r="AE207">
        <f>orders_Q4[[#This Row],[Del Date]]-orders_Q4[[#This Row],[Order Date]]</f>
        <v>15</v>
      </c>
      <c r="AF207" t="str">
        <f>IF(OR(orders_Q4[[#This Row],[Delivery_time]]&gt;30,orders_Q4[[#This Row],[Delivery_time]]&lt;0),"Invalid_delivery_time","OK")</f>
        <v>OK</v>
      </c>
      <c r="AG207" s="20">
        <f>IF(
   AND(NOT(ISBLANK(orders_Q4[[#This Row],[return_received]])), NOT(ISBLANK(orders_Q4[[#This Row],[Del Date]]))),
   orders_Q4[[#This Row],[return_received]] - orders_Q4[[#This Row],[Del Date]],0)</f>
        <v>29</v>
      </c>
      <c r="AH207" t="str">
        <f>TEXT(orders_Q4[[#This Row],[Order Date]],"mmm-yyyy")</f>
        <v>Nov-2024</v>
      </c>
      <c r="AI207" s="1" t="str">
        <f>TEXT(orders_Q4[[#This Row],[Order Date]],"yyyy") &amp; "-" &amp; WEEKNUM(orders_Q4[[#This Row],[Order Date]])</f>
        <v>2024-48</v>
      </c>
      <c r="AJ207" t="str">
        <f>IF(orders_Q4[[#This Row],[Payment]]="COD","COD","Prepaid")</f>
        <v>Prepaid</v>
      </c>
    </row>
    <row r="208" spans="1:36" x14ac:dyDescent="0.3">
      <c r="A208" t="s">
        <v>914</v>
      </c>
      <c r="B208" s="1">
        <v>45620</v>
      </c>
      <c r="C208" t="s">
        <v>915</v>
      </c>
      <c r="D208" t="s">
        <v>25</v>
      </c>
      <c r="E208" t="s">
        <v>916</v>
      </c>
      <c r="F208" t="s">
        <v>40</v>
      </c>
      <c r="G208" t="s">
        <v>917</v>
      </c>
      <c r="H208">
        <v>4999</v>
      </c>
      <c r="I208">
        <v>1</v>
      </c>
      <c r="J208">
        <v>4999</v>
      </c>
      <c r="L208">
        <v>0</v>
      </c>
      <c r="M208" t="s">
        <v>43</v>
      </c>
      <c r="N208" t="s">
        <v>65</v>
      </c>
      <c r="O208" t="s">
        <v>102</v>
      </c>
      <c r="P208" t="s">
        <v>103</v>
      </c>
      <c r="Q208" t="s">
        <v>45</v>
      </c>
      <c r="R208" s="1">
        <v>45637</v>
      </c>
      <c r="S208" t="s">
        <v>33</v>
      </c>
      <c r="T208" t="s">
        <v>34</v>
      </c>
      <c r="W208" t="s">
        <v>35</v>
      </c>
      <c r="X208" t="str">
        <f>IF(OR(orders_Q4[[#This Row],[Qty]]&gt;5,orders_Q4[[#This Row],[Qty]]&lt;0),"Invalid Quantity","OK")</f>
        <v>OK</v>
      </c>
      <c r="Y208" t="b">
        <f>OR(orders_Q4[[#This Row],[Unit Price]]&gt;20000,orders_Q4[[#This Row],[Unit Price]]&lt;0,orders_Q4[[#This Row],[Unit Price]]=0)</f>
        <v>0</v>
      </c>
      <c r="Z20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8">
        <f>orders_Q4[[#This Row],[Unit Price]] * orders_Q4[[#This Row],[Qty]] * (1 - orders_Q4[[#This Row],[Disc %]]/100)</f>
        <v>4999</v>
      </c>
      <c r="AB208" t="str">
        <f>IF(ABS(orders_Q4[[#This Row],[Total]] - orders_Q4[[#This Row],[Calculated_order_total]]) &gt; 1, "Mismatch", "OK")</f>
        <v>OK</v>
      </c>
      <c r="AC208">
        <f>COUNTIF(C:C,orders_Q4[[#This Row],[Customer ID]])</f>
        <v>1</v>
      </c>
      <c r="AD208" t="str">
        <f>IF(AND(orders_Q4[[#This Row],[Type]]="New",orders_Q4[[#This Row],[Customer_id_count]]&gt;1),"Existing customer","OK")</f>
        <v>OK</v>
      </c>
      <c r="AE208">
        <f>orders_Q4[[#This Row],[Del Date]]-orders_Q4[[#This Row],[Order Date]]</f>
        <v>17</v>
      </c>
      <c r="AF208" t="str">
        <f>IF(OR(orders_Q4[[#This Row],[Delivery_time]]&gt;30,orders_Q4[[#This Row],[Delivery_time]]&lt;0),"Invalid_delivery_time","OK")</f>
        <v>OK</v>
      </c>
      <c r="AG208" s="20">
        <f>IF(
   AND(NOT(ISBLANK(orders_Q4[[#This Row],[return_received]])), NOT(ISBLANK(orders_Q4[[#This Row],[Del Date]]))),
   orders_Q4[[#This Row],[return_received]] - orders_Q4[[#This Row],[Del Date]],0)</f>
        <v>0</v>
      </c>
      <c r="AH208" t="str">
        <f>TEXT(orders_Q4[[#This Row],[Order Date]],"mmm-yyyy")</f>
        <v>Nov-2024</v>
      </c>
      <c r="AI208" s="1" t="str">
        <f>TEXT(orders_Q4[[#This Row],[Order Date]],"yyyy") &amp; "-" &amp; WEEKNUM(orders_Q4[[#This Row],[Order Date]])</f>
        <v>2024-48</v>
      </c>
      <c r="AJ208" t="str">
        <f>IF(orders_Q4[[#This Row],[Payment]]="COD","COD","Prepaid")</f>
        <v>Prepaid</v>
      </c>
    </row>
    <row r="209" spans="1:36" x14ac:dyDescent="0.3">
      <c r="A209" t="s">
        <v>918</v>
      </c>
      <c r="B209" s="1">
        <v>45621</v>
      </c>
      <c r="C209" t="s">
        <v>919</v>
      </c>
      <c r="D209" t="s">
        <v>38</v>
      </c>
      <c r="E209" t="s">
        <v>920</v>
      </c>
      <c r="F209" t="s">
        <v>53</v>
      </c>
      <c r="G209" t="s">
        <v>921</v>
      </c>
      <c r="H209">
        <v>2099</v>
      </c>
      <c r="I209">
        <v>1</v>
      </c>
      <c r="J209">
        <v>2099</v>
      </c>
      <c r="L209">
        <v>0</v>
      </c>
      <c r="M209" t="s">
        <v>29</v>
      </c>
      <c r="N209" t="s">
        <v>30</v>
      </c>
      <c r="O209" t="s">
        <v>112</v>
      </c>
      <c r="P209" t="s">
        <v>113</v>
      </c>
      <c r="Q209" t="s">
        <v>45</v>
      </c>
      <c r="R209" s="1">
        <v>45635</v>
      </c>
      <c r="S209" t="s">
        <v>33</v>
      </c>
      <c r="T209" t="s">
        <v>46</v>
      </c>
      <c r="U209" t="s">
        <v>79</v>
      </c>
      <c r="V209" s="1">
        <v>45663</v>
      </c>
      <c r="W209" t="s">
        <v>48</v>
      </c>
      <c r="X209" t="str">
        <f>IF(OR(orders_Q4[[#This Row],[Qty]]&gt;5,orders_Q4[[#This Row],[Qty]]&lt;0),"Invalid Quantity","OK")</f>
        <v>OK</v>
      </c>
      <c r="Y209" t="b">
        <f>OR(orders_Q4[[#This Row],[Unit Price]]&gt;20000,orders_Q4[[#This Row],[Unit Price]]&lt;0,orders_Q4[[#This Row],[Unit Price]]=0)</f>
        <v>0</v>
      </c>
      <c r="Z20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09">
        <f>orders_Q4[[#This Row],[Unit Price]] * orders_Q4[[#This Row],[Qty]] * (1 - orders_Q4[[#This Row],[Disc %]]/100)</f>
        <v>2099</v>
      </c>
      <c r="AB209" t="str">
        <f>IF(ABS(orders_Q4[[#This Row],[Total]] - orders_Q4[[#This Row],[Calculated_order_total]]) &gt; 1, "Mismatch", "OK")</f>
        <v>OK</v>
      </c>
      <c r="AC209">
        <f>COUNTIF(C:C,orders_Q4[[#This Row],[Customer ID]])</f>
        <v>1</v>
      </c>
      <c r="AD209" t="str">
        <f>IF(AND(orders_Q4[[#This Row],[Type]]="New",orders_Q4[[#This Row],[Customer_id_count]]&gt;1),"Existing customer","OK")</f>
        <v>OK</v>
      </c>
      <c r="AE209">
        <f>orders_Q4[[#This Row],[Del Date]]-orders_Q4[[#This Row],[Order Date]]</f>
        <v>14</v>
      </c>
      <c r="AF209" t="str">
        <f>IF(OR(orders_Q4[[#This Row],[Delivery_time]]&gt;30,orders_Q4[[#This Row],[Delivery_time]]&lt;0),"Invalid_delivery_time","OK")</f>
        <v>OK</v>
      </c>
      <c r="AG209" s="20">
        <f>IF(
   AND(NOT(ISBLANK(orders_Q4[[#This Row],[return_received]])), NOT(ISBLANK(orders_Q4[[#This Row],[Del Date]]))),
   orders_Q4[[#This Row],[return_received]] - orders_Q4[[#This Row],[Del Date]],0)</f>
        <v>28</v>
      </c>
      <c r="AH209" t="str">
        <f>TEXT(orders_Q4[[#This Row],[Order Date]],"mmm-yyyy")</f>
        <v>Nov-2024</v>
      </c>
      <c r="AI209" s="1" t="str">
        <f>TEXT(orders_Q4[[#This Row],[Order Date]],"yyyy") &amp; "-" &amp; WEEKNUM(orders_Q4[[#This Row],[Order Date]])</f>
        <v>2024-48</v>
      </c>
      <c r="AJ209" t="str">
        <f>IF(orders_Q4[[#This Row],[Payment]]="COD","COD","Prepaid")</f>
        <v>Prepaid</v>
      </c>
    </row>
    <row r="210" spans="1:36" x14ac:dyDescent="0.3">
      <c r="A210" t="s">
        <v>922</v>
      </c>
      <c r="B210" s="1">
        <v>45621</v>
      </c>
      <c r="C210" t="s">
        <v>923</v>
      </c>
      <c r="D210" t="s">
        <v>25</v>
      </c>
      <c r="E210" t="s">
        <v>924</v>
      </c>
      <c r="F210" t="s">
        <v>61</v>
      </c>
      <c r="G210" t="s">
        <v>925</v>
      </c>
      <c r="H210">
        <v>5799</v>
      </c>
      <c r="I210">
        <v>1</v>
      </c>
      <c r="J210">
        <v>5799</v>
      </c>
      <c r="K210" s="2">
        <v>46341</v>
      </c>
      <c r="L210">
        <v>15</v>
      </c>
      <c r="M210" t="s">
        <v>55</v>
      </c>
      <c r="N210" t="s">
        <v>44</v>
      </c>
      <c r="O210" t="s">
        <v>56</v>
      </c>
      <c r="P210" t="s">
        <v>57</v>
      </c>
      <c r="Q210" t="s">
        <v>56</v>
      </c>
      <c r="R210" s="1">
        <v>45638</v>
      </c>
      <c r="S210" t="s">
        <v>33</v>
      </c>
      <c r="T210" t="s">
        <v>46</v>
      </c>
      <c r="U210" t="s">
        <v>47</v>
      </c>
      <c r="V210" s="1">
        <v>45667</v>
      </c>
      <c r="W210" t="s">
        <v>48</v>
      </c>
      <c r="X210" t="str">
        <f>IF(OR(orders_Q4[[#This Row],[Qty]]&gt;5,orders_Q4[[#This Row],[Qty]]&lt;0),"Invalid Quantity","OK")</f>
        <v>OK</v>
      </c>
      <c r="Y210" t="b">
        <f>OR(orders_Q4[[#This Row],[Unit Price]]&gt;20000,orders_Q4[[#This Row],[Unit Price]]&lt;0,orders_Q4[[#This Row],[Unit Price]]=0)</f>
        <v>0</v>
      </c>
      <c r="Z21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10">
        <f>orders_Q4[[#This Row],[Unit Price]] * orders_Q4[[#This Row],[Qty]] * (1 - orders_Q4[[#This Row],[Disc %]]/100)</f>
        <v>4929.1499999999996</v>
      </c>
      <c r="AB210" t="str">
        <f>IF(ABS(orders_Q4[[#This Row],[Total]] - orders_Q4[[#This Row],[Calculated_order_total]]) &gt; 1, "Mismatch", "OK")</f>
        <v>Mismatch</v>
      </c>
      <c r="AC210">
        <f>COUNTIF(C:C,orders_Q4[[#This Row],[Customer ID]])</f>
        <v>1</v>
      </c>
      <c r="AD210" t="str">
        <f>IF(AND(orders_Q4[[#This Row],[Type]]="New",orders_Q4[[#This Row],[Customer_id_count]]&gt;1),"Existing customer","OK")</f>
        <v>OK</v>
      </c>
      <c r="AE210">
        <f>orders_Q4[[#This Row],[Del Date]]-orders_Q4[[#This Row],[Order Date]]</f>
        <v>17</v>
      </c>
      <c r="AF210" t="str">
        <f>IF(OR(orders_Q4[[#This Row],[Delivery_time]]&gt;30,orders_Q4[[#This Row],[Delivery_time]]&lt;0),"Invalid_delivery_time","OK")</f>
        <v>OK</v>
      </c>
      <c r="AG210" s="20">
        <f>IF(
   AND(NOT(ISBLANK(orders_Q4[[#This Row],[return_received]])), NOT(ISBLANK(orders_Q4[[#This Row],[Del Date]]))),
   orders_Q4[[#This Row],[return_received]] - orders_Q4[[#This Row],[Del Date]],0)</f>
        <v>29</v>
      </c>
      <c r="AH210" t="str">
        <f>TEXT(orders_Q4[[#This Row],[Order Date]],"mmm-yyyy")</f>
        <v>Nov-2024</v>
      </c>
      <c r="AI210" s="1" t="str">
        <f>TEXT(orders_Q4[[#This Row],[Order Date]],"yyyy") &amp; "-" &amp; WEEKNUM(orders_Q4[[#This Row],[Order Date]])</f>
        <v>2024-48</v>
      </c>
      <c r="AJ210" t="str">
        <f>IF(orders_Q4[[#This Row],[Payment]]="COD","COD","Prepaid")</f>
        <v>COD</v>
      </c>
    </row>
    <row r="211" spans="1:36" x14ac:dyDescent="0.3">
      <c r="A211" t="s">
        <v>926</v>
      </c>
      <c r="B211" s="1">
        <v>45621</v>
      </c>
      <c r="C211" t="s">
        <v>927</v>
      </c>
      <c r="D211" t="s">
        <v>25</v>
      </c>
      <c r="E211" t="s">
        <v>928</v>
      </c>
      <c r="F211" t="s">
        <v>71</v>
      </c>
      <c r="G211" t="s">
        <v>929</v>
      </c>
      <c r="H211">
        <v>1199</v>
      </c>
      <c r="I211">
        <v>1</v>
      </c>
      <c r="J211">
        <v>1199</v>
      </c>
      <c r="L211">
        <v>0</v>
      </c>
      <c r="M211" t="s">
        <v>43</v>
      </c>
      <c r="N211" t="s">
        <v>65</v>
      </c>
      <c r="O211" t="s">
        <v>31</v>
      </c>
      <c r="P211" t="s">
        <v>32</v>
      </c>
      <c r="Q211" t="s">
        <v>31</v>
      </c>
      <c r="R211" s="1">
        <v>45636</v>
      </c>
      <c r="S211" t="s">
        <v>33</v>
      </c>
      <c r="T211" t="s">
        <v>34</v>
      </c>
      <c r="W211" t="s">
        <v>35</v>
      </c>
      <c r="X211" t="str">
        <f>IF(OR(orders_Q4[[#This Row],[Qty]]&gt;5,orders_Q4[[#This Row],[Qty]]&lt;0),"Invalid Quantity","OK")</f>
        <v>OK</v>
      </c>
      <c r="Y211" t="b">
        <f>OR(orders_Q4[[#This Row],[Unit Price]]&gt;20000,orders_Q4[[#This Row],[Unit Price]]&lt;0,orders_Q4[[#This Row],[Unit Price]]=0)</f>
        <v>0</v>
      </c>
      <c r="Z21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11">
        <f>orders_Q4[[#This Row],[Unit Price]] * orders_Q4[[#This Row],[Qty]] * (1 - orders_Q4[[#This Row],[Disc %]]/100)</f>
        <v>1199</v>
      </c>
      <c r="AB211" t="str">
        <f>IF(ABS(orders_Q4[[#This Row],[Total]] - orders_Q4[[#This Row],[Calculated_order_total]]) &gt; 1, "Mismatch", "OK")</f>
        <v>OK</v>
      </c>
      <c r="AC211">
        <f>COUNTIF(C:C,orders_Q4[[#This Row],[Customer ID]])</f>
        <v>1</v>
      </c>
      <c r="AD211" t="str">
        <f>IF(AND(orders_Q4[[#This Row],[Type]]="New",orders_Q4[[#This Row],[Customer_id_count]]&gt;1),"Existing customer","OK")</f>
        <v>OK</v>
      </c>
      <c r="AE211">
        <f>orders_Q4[[#This Row],[Del Date]]-orders_Q4[[#This Row],[Order Date]]</f>
        <v>15</v>
      </c>
      <c r="AF211" t="str">
        <f>IF(OR(orders_Q4[[#This Row],[Delivery_time]]&gt;30,orders_Q4[[#This Row],[Delivery_time]]&lt;0),"Invalid_delivery_time","OK")</f>
        <v>OK</v>
      </c>
      <c r="AG211" s="20">
        <f>IF(
   AND(NOT(ISBLANK(orders_Q4[[#This Row],[return_received]])), NOT(ISBLANK(orders_Q4[[#This Row],[Del Date]]))),
   orders_Q4[[#This Row],[return_received]] - orders_Q4[[#This Row],[Del Date]],0)</f>
        <v>0</v>
      </c>
      <c r="AH211" t="str">
        <f>TEXT(orders_Q4[[#This Row],[Order Date]],"mmm-yyyy")</f>
        <v>Nov-2024</v>
      </c>
      <c r="AI211" s="1" t="str">
        <f>TEXT(orders_Q4[[#This Row],[Order Date]],"yyyy") &amp; "-" &amp; WEEKNUM(orders_Q4[[#This Row],[Order Date]])</f>
        <v>2024-48</v>
      </c>
      <c r="AJ211" t="str">
        <f>IF(orders_Q4[[#This Row],[Payment]]="COD","COD","Prepaid")</f>
        <v>Prepaid</v>
      </c>
    </row>
    <row r="212" spans="1:36" x14ac:dyDescent="0.3">
      <c r="A212" t="s">
        <v>930</v>
      </c>
      <c r="B212" s="1">
        <v>45622</v>
      </c>
      <c r="C212" t="s">
        <v>931</v>
      </c>
      <c r="D212" t="s">
        <v>25</v>
      </c>
      <c r="E212" t="s">
        <v>932</v>
      </c>
      <c r="F212" t="s">
        <v>27</v>
      </c>
      <c r="G212" t="s">
        <v>933</v>
      </c>
      <c r="H212">
        <v>1899</v>
      </c>
      <c r="I212">
        <v>1</v>
      </c>
      <c r="J212">
        <v>1899</v>
      </c>
      <c r="L212">
        <v>0</v>
      </c>
      <c r="M212" t="s">
        <v>111</v>
      </c>
      <c r="N212" t="s">
        <v>30</v>
      </c>
      <c r="O212" t="s">
        <v>45</v>
      </c>
      <c r="P212" t="s">
        <v>45</v>
      </c>
      <c r="Q212" t="s">
        <v>45</v>
      </c>
      <c r="R212" s="1">
        <v>45637</v>
      </c>
      <c r="S212" t="s">
        <v>33</v>
      </c>
      <c r="T212" t="s">
        <v>46</v>
      </c>
      <c r="U212" t="s">
        <v>138</v>
      </c>
      <c r="V212" s="1">
        <v>45665</v>
      </c>
      <c r="W212" t="s">
        <v>48</v>
      </c>
      <c r="X212" t="str">
        <f>IF(OR(orders_Q4[[#This Row],[Qty]]&gt;5,orders_Q4[[#This Row],[Qty]]&lt;0),"Invalid Quantity","OK")</f>
        <v>OK</v>
      </c>
      <c r="Y212" t="b">
        <f>OR(orders_Q4[[#This Row],[Unit Price]]&gt;20000,orders_Q4[[#This Row],[Unit Price]]&lt;0,orders_Q4[[#This Row],[Unit Price]]=0)</f>
        <v>0</v>
      </c>
      <c r="Z21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12">
        <f>orders_Q4[[#This Row],[Unit Price]] * orders_Q4[[#This Row],[Qty]] * (1 - orders_Q4[[#This Row],[Disc %]]/100)</f>
        <v>1899</v>
      </c>
      <c r="AB212" t="str">
        <f>IF(ABS(orders_Q4[[#This Row],[Total]] - orders_Q4[[#This Row],[Calculated_order_total]]) &gt; 1, "Mismatch", "OK")</f>
        <v>OK</v>
      </c>
      <c r="AC212">
        <f>COUNTIF(C:C,orders_Q4[[#This Row],[Customer ID]])</f>
        <v>1</v>
      </c>
      <c r="AD212" t="str">
        <f>IF(AND(orders_Q4[[#This Row],[Type]]="New",orders_Q4[[#This Row],[Customer_id_count]]&gt;1),"Existing customer","OK")</f>
        <v>OK</v>
      </c>
      <c r="AE212">
        <f>orders_Q4[[#This Row],[Del Date]]-orders_Q4[[#This Row],[Order Date]]</f>
        <v>15</v>
      </c>
      <c r="AF212" t="str">
        <f>IF(OR(orders_Q4[[#This Row],[Delivery_time]]&gt;30,orders_Q4[[#This Row],[Delivery_time]]&lt;0),"Invalid_delivery_time","OK")</f>
        <v>OK</v>
      </c>
      <c r="AG212" s="20">
        <f>IF(
   AND(NOT(ISBLANK(orders_Q4[[#This Row],[return_received]])), NOT(ISBLANK(orders_Q4[[#This Row],[Del Date]]))),
   orders_Q4[[#This Row],[return_received]] - orders_Q4[[#This Row],[Del Date]],0)</f>
        <v>28</v>
      </c>
      <c r="AH212" t="str">
        <f>TEXT(orders_Q4[[#This Row],[Order Date]],"mmm-yyyy")</f>
        <v>Nov-2024</v>
      </c>
      <c r="AI212" s="1" t="str">
        <f>TEXT(orders_Q4[[#This Row],[Order Date]],"yyyy") &amp; "-" &amp; WEEKNUM(orders_Q4[[#This Row],[Order Date]])</f>
        <v>2024-48</v>
      </c>
      <c r="AJ212" t="str">
        <f>IF(orders_Q4[[#This Row],[Payment]]="COD","COD","Prepaid")</f>
        <v>Prepaid</v>
      </c>
    </row>
    <row r="213" spans="1:36" x14ac:dyDescent="0.3">
      <c r="A213" t="s">
        <v>934</v>
      </c>
      <c r="B213" s="1">
        <v>45622</v>
      </c>
      <c r="C213" t="s">
        <v>935</v>
      </c>
      <c r="D213" t="s">
        <v>25</v>
      </c>
      <c r="E213" t="s">
        <v>936</v>
      </c>
      <c r="F213" t="s">
        <v>40</v>
      </c>
      <c r="G213" t="s">
        <v>937</v>
      </c>
      <c r="H213">
        <v>3699</v>
      </c>
      <c r="I213">
        <v>1</v>
      </c>
      <c r="J213">
        <v>3699</v>
      </c>
      <c r="L213">
        <v>0</v>
      </c>
      <c r="M213" t="s">
        <v>64</v>
      </c>
      <c r="N213" t="s">
        <v>44</v>
      </c>
      <c r="O213" t="s">
        <v>118</v>
      </c>
      <c r="P213" t="s">
        <v>119</v>
      </c>
      <c r="Q213" t="s">
        <v>45</v>
      </c>
      <c r="R213" s="1">
        <v>45639</v>
      </c>
      <c r="S213" t="s">
        <v>33</v>
      </c>
      <c r="T213" t="s">
        <v>34</v>
      </c>
      <c r="W213" t="s">
        <v>35</v>
      </c>
      <c r="X213" t="str">
        <f>IF(OR(orders_Q4[[#This Row],[Qty]]&gt;5,orders_Q4[[#This Row],[Qty]]&lt;0),"Invalid Quantity","OK")</f>
        <v>OK</v>
      </c>
      <c r="Y213" t="b">
        <f>OR(orders_Q4[[#This Row],[Unit Price]]&gt;20000,orders_Q4[[#This Row],[Unit Price]]&lt;0,orders_Q4[[#This Row],[Unit Price]]=0)</f>
        <v>0</v>
      </c>
      <c r="Z21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13">
        <f>orders_Q4[[#This Row],[Unit Price]] * orders_Q4[[#This Row],[Qty]] * (1 - orders_Q4[[#This Row],[Disc %]]/100)</f>
        <v>3699</v>
      </c>
      <c r="AB213" t="str">
        <f>IF(ABS(orders_Q4[[#This Row],[Total]] - orders_Q4[[#This Row],[Calculated_order_total]]) &gt; 1, "Mismatch", "OK")</f>
        <v>OK</v>
      </c>
      <c r="AC213">
        <f>COUNTIF(C:C,orders_Q4[[#This Row],[Customer ID]])</f>
        <v>1</v>
      </c>
      <c r="AD213" t="str">
        <f>IF(AND(orders_Q4[[#This Row],[Type]]="New",orders_Q4[[#This Row],[Customer_id_count]]&gt;1),"Existing customer","OK")</f>
        <v>OK</v>
      </c>
      <c r="AE213">
        <f>orders_Q4[[#This Row],[Del Date]]-orders_Q4[[#This Row],[Order Date]]</f>
        <v>17</v>
      </c>
      <c r="AF213" t="str">
        <f>IF(OR(orders_Q4[[#This Row],[Delivery_time]]&gt;30,orders_Q4[[#This Row],[Delivery_time]]&lt;0),"Invalid_delivery_time","OK")</f>
        <v>OK</v>
      </c>
      <c r="AG213" s="20">
        <f>IF(
   AND(NOT(ISBLANK(orders_Q4[[#This Row],[return_received]])), NOT(ISBLANK(orders_Q4[[#This Row],[Del Date]]))),
   orders_Q4[[#This Row],[return_received]] - orders_Q4[[#This Row],[Del Date]],0)</f>
        <v>0</v>
      </c>
      <c r="AH213" t="str">
        <f>TEXT(orders_Q4[[#This Row],[Order Date]],"mmm-yyyy")</f>
        <v>Nov-2024</v>
      </c>
      <c r="AI213" s="1" t="str">
        <f>TEXT(orders_Q4[[#This Row],[Order Date]],"yyyy") &amp; "-" &amp; WEEKNUM(orders_Q4[[#This Row],[Order Date]])</f>
        <v>2024-48</v>
      </c>
      <c r="AJ213" t="str">
        <f>IF(orders_Q4[[#This Row],[Payment]]="COD","COD","Prepaid")</f>
        <v>Prepaid</v>
      </c>
    </row>
    <row r="214" spans="1:36" x14ac:dyDescent="0.3">
      <c r="A214" t="s">
        <v>938</v>
      </c>
      <c r="B214" s="1">
        <v>45622</v>
      </c>
      <c r="C214" t="s">
        <v>939</v>
      </c>
      <c r="D214" t="s">
        <v>38</v>
      </c>
      <c r="E214" t="s">
        <v>940</v>
      </c>
      <c r="F214" t="s">
        <v>53</v>
      </c>
      <c r="G214" t="s">
        <v>941</v>
      </c>
      <c r="H214">
        <v>2699</v>
      </c>
      <c r="I214">
        <v>1</v>
      </c>
      <c r="J214">
        <v>2699</v>
      </c>
      <c r="K214" s="2">
        <v>46341</v>
      </c>
      <c r="L214">
        <v>15</v>
      </c>
      <c r="M214" t="s">
        <v>29</v>
      </c>
      <c r="N214" t="s">
        <v>65</v>
      </c>
      <c r="O214" t="s">
        <v>137</v>
      </c>
      <c r="P214" t="s">
        <v>113</v>
      </c>
      <c r="Q214" t="s">
        <v>45</v>
      </c>
      <c r="R214" s="1">
        <v>45637</v>
      </c>
      <c r="S214" t="s">
        <v>33</v>
      </c>
      <c r="T214" t="s">
        <v>46</v>
      </c>
      <c r="U214" t="s">
        <v>68</v>
      </c>
      <c r="V214" s="1">
        <v>45666</v>
      </c>
      <c r="W214" t="s">
        <v>48</v>
      </c>
      <c r="X214" t="str">
        <f>IF(OR(orders_Q4[[#This Row],[Qty]]&gt;5,orders_Q4[[#This Row],[Qty]]&lt;0),"Invalid Quantity","OK")</f>
        <v>OK</v>
      </c>
      <c r="Y214" t="b">
        <f>OR(orders_Q4[[#This Row],[Unit Price]]&gt;20000,orders_Q4[[#This Row],[Unit Price]]&lt;0,orders_Q4[[#This Row],[Unit Price]]=0)</f>
        <v>0</v>
      </c>
      <c r="Z21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14">
        <f>orders_Q4[[#This Row],[Unit Price]] * orders_Q4[[#This Row],[Qty]] * (1 - orders_Q4[[#This Row],[Disc %]]/100)</f>
        <v>2294.15</v>
      </c>
      <c r="AB214" t="str">
        <f>IF(ABS(orders_Q4[[#This Row],[Total]] - orders_Q4[[#This Row],[Calculated_order_total]]) &gt; 1, "Mismatch", "OK")</f>
        <v>Mismatch</v>
      </c>
      <c r="AC214">
        <f>COUNTIF(C:C,orders_Q4[[#This Row],[Customer ID]])</f>
        <v>1</v>
      </c>
      <c r="AD214" t="str">
        <f>IF(AND(orders_Q4[[#This Row],[Type]]="New",orders_Q4[[#This Row],[Customer_id_count]]&gt;1),"Existing customer","OK")</f>
        <v>OK</v>
      </c>
      <c r="AE214">
        <f>orders_Q4[[#This Row],[Del Date]]-orders_Q4[[#This Row],[Order Date]]</f>
        <v>15</v>
      </c>
      <c r="AF214" t="str">
        <f>IF(OR(orders_Q4[[#This Row],[Delivery_time]]&gt;30,orders_Q4[[#This Row],[Delivery_time]]&lt;0),"Invalid_delivery_time","OK")</f>
        <v>OK</v>
      </c>
      <c r="AG214" s="20">
        <f>IF(
   AND(NOT(ISBLANK(orders_Q4[[#This Row],[return_received]])), NOT(ISBLANK(orders_Q4[[#This Row],[Del Date]]))),
   orders_Q4[[#This Row],[return_received]] - orders_Q4[[#This Row],[Del Date]],0)</f>
        <v>29</v>
      </c>
      <c r="AH214" t="str">
        <f>TEXT(orders_Q4[[#This Row],[Order Date]],"mmm-yyyy")</f>
        <v>Nov-2024</v>
      </c>
      <c r="AI214" s="1" t="str">
        <f>TEXT(orders_Q4[[#This Row],[Order Date]],"yyyy") &amp; "-" &amp; WEEKNUM(orders_Q4[[#This Row],[Order Date]])</f>
        <v>2024-48</v>
      </c>
      <c r="AJ214" t="str">
        <f>IF(orders_Q4[[#This Row],[Payment]]="COD","COD","Prepaid")</f>
        <v>Prepaid</v>
      </c>
    </row>
    <row r="215" spans="1:36" x14ac:dyDescent="0.3">
      <c r="A215" t="s">
        <v>942</v>
      </c>
      <c r="B215" s="1">
        <v>45623</v>
      </c>
      <c r="C215" t="s">
        <v>943</v>
      </c>
      <c r="D215" t="s">
        <v>25</v>
      </c>
      <c r="E215" t="s">
        <v>944</v>
      </c>
      <c r="F215" t="s">
        <v>61</v>
      </c>
      <c r="G215" t="s">
        <v>945</v>
      </c>
      <c r="H215">
        <v>4999</v>
      </c>
      <c r="I215">
        <v>1</v>
      </c>
      <c r="J215">
        <v>4999</v>
      </c>
      <c r="L215">
        <v>0</v>
      </c>
      <c r="M215" t="s">
        <v>43</v>
      </c>
      <c r="N215" t="s">
        <v>30</v>
      </c>
      <c r="O215" t="s">
        <v>143</v>
      </c>
      <c r="P215" t="s">
        <v>144</v>
      </c>
      <c r="Q215" t="s">
        <v>45</v>
      </c>
      <c r="R215" s="1">
        <v>45640</v>
      </c>
      <c r="S215" t="s">
        <v>33</v>
      </c>
      <c r="T215" t="s">
        <v>46</v>
      </c>
      <c r="U215" t="s">
        <v>47</v>
      </c>
      <c r="V215" s="1">
        <v>45669</v>
      </c>
      <c r="W215" t="s">
        <v>48</v>
      </c>
      <c r="X215" t="str">
        <f>IF(OR(orders_Q4[[#This Row],[Qty]]&gt;5,orders_Q4[[#This Row],[Qty]]&lt;0),"Invalid Quantity","OK")</f>
        <v>OK</v>
      </c>
      <c r="Y215" t="b">
        <f>OR(orders_Q4[[#This Row],[Unit Price]]&gt;20000,orders_Q4[[#This Row],[Unit Price]]&lt;0,orders_Q4[[#This Row],[Unit Price]]=0)</f>
        <v>0</v>
      </c>
      <c r="Z21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15">
        <f>orders_Q4[[#This Row],[Unit Price]] * orders_Q4[[#This Row],[Qty]] * (1 - orders_Q4[[#This Row],[Disc %]]/100)</f>
        <v>4999</v>
      </c>
      <c r="AB215" t="str">
        <f>IF(ABS(orders_Q4[[#This Row],[Total]] - orders_Q4[[#This Row],[Calculated_order_total]]) &gt; 1, "Mismatch", "OK")</f>
        <v>OK</v>
      </c>
      <c r="AC215">
        <f>COUNTIF(C:C,orders_Q4[[#This Row],[Customer ID]])</f>
        <v>1</v>
      </c>
      <c r="AD215" t="str">
        <f>IF(AND(orders_Q4[[#This Row],[Type]]="New",orders_Q4[[#This Row],[Customer_id_count]]&gt;1),"Existing customer","OK")</f>
        <v>OK</v>
      </c>
      <c r="AE215">
        <f>orders_Q4[[#This Row],[Del Date]]-orders_Q4[[#This Row],[Order Date]]</f>
        <v>17</v>
      </c>
      <c r="AF215" t="str">
        <f>IF(OR(orders_Q4[[#This Row],[Delivery_time]]&gt;30,orders_Q4[[#This Row],[Delivery_time]]&lt;0),"Invalid_delivery_time","OK")</f>
        <v>OK</v>
      </c>
      <c r="AG215" s="20">
        <f>IF(
   AND(NOT(ISBLANK(orders_Q4[[#This Row],[return_received]])), NOT(ISBLANK(orders_Q4[[#This Row],[Del Date]]))),
   orders_Q4[[#This Row],[return_received]] - orders_Q4[[#This Row],[Del Date]],0)</f>
        <v>29</v>
      </c>
      <c r="AH215" t="str">
        <f>TEXT(orders_Q4[[#This Row],[Order Date]],"mmm-yyyy")</f>
        <v>Nov-2024</v>
      </c>
      <c r="AI215" s="1" t="str">
        <f>TEXT(orders_Q4[[#This Row],[Order Date]],"yyyy") &amp; "-" &amp; WEEKNUM(orders_Q4[[#This Row],[Order Date]])</f>
        <v>2024-48</v>
      </c>
      <c r="AJ215" t="str">
        <f>IF(orders_Q4[[#This Row],[Payment]]="COD","COD","Prepaid")</f>
        <v>Prepaid</v>
      </c>
    </row>
    <row r="216" spans="1:36" x14ac:dyDescent="0.3">
      <c r="A216" t="s">
        <v>946</v>
      </c>
      <c r="B216" s="1">
        <v>45623</v>
      </c>
      <c r="C216" t="s">
        <v>947</v>
      </c>
      <c r="D216" t="s">
        <v>25</v>
      </c>
      <c r="E216" t="s">
        <v>948</v>
      </c>
      <c r="F216" t="s">
        <v>71</v>
      </c>
      <c r="G216" t="s">
        <v>949</v>
      </c>
      <c r="H216">
        <v>899</v>
      </c>
      <c r="I216">
        <v>2</v>
      </c>
      <c r="J216">
        <v>1798</v>
      </c>
      <c r="L216">
        <v>0</v>
      </c>
      <c r="M216" t="s">
        <v>55</v>
      </c>
      <c r="N216" t="s">
        <v>44</v>
      </c>
      <c r="O216" t="s">
        <v>150</v>
      </c>
      <c r="P216" t="s">
        <v>151</v>
      </c>
      <c r="Q216" t="s">
        <v>31</v>
      </c>
      <c r="R216" s="1">
        <v>45638</v>
      </c>
      <c r="S216" t="s">
        <v>33</v>
      </c>
      <c r="T216" t="s">
        <v>34</v>
      </c>
      <c r="W216" t="s">
        <v>35</v>
      </c>
      <c r="X216" t="str">
        <f>IF(OR(orders_Q4[[#This Row],[Qty]]&gt;5,orders_Q4[[#This Row],[Qty]]&lt;0),"Invalid Quantity","OK")</f>
        <v>OK</v>
      </c>
      <c r="Y216" t="b">
        <f>OR(orders_Q4[[#This Row],[Unit Price]]&gt;20000,orders_Q4[[#This Row],[Unit Price]]&lt;0,orders_Q4[[#This Row],[Unit Price]]=0)</f>
        <v>0</v>
      </c>
      <c r="Z21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16">
        <f>orders_Q4[[#This Row],[Unit Price]] * orders_Q4[[#This Row],[Qty]] * (1 - orders_Q4[[#This Row],[Disc %]]/100)</f>
        <v>1798</v>
      </c>
      <c r="AB216" t="str">
        <f>IF(ABS(orders_Q4[[#This Row],[Total]] - orders_Q4[[#This Row],[Calculated_order_total]]) &gt; 1, "Mismatch", "OK")</f>
        <v>OK</v>
      </c>
      <c r="AC216">
        <f>COUNTIF(C:C,orders_Q4[[#This Row],[Customer ID]])</f>
        <v>1</v>
      </c>
      <c r="AD216" t="str">
        <f>IF(AND(orders_Q4[[#This Row],[Type]]="New",orders_Q4[[#This Row],[Customer_id_count]]&gt;1),"Existing customer","OK")</f>
        <v>OK</v>
      </c>
      <c r="AE216">
        <f>orders_Q4[[#This Row],[Del Date]]-orders_Q4[[#This Row],[Order Date]]</f>
        <v>15</v>
      </c>
      <c r="AF216" t="str">
        <f>IF(OR(orders_Q4[[#This Row],[Delivery_time]]&gt;30,orders_Q4[[#This Row],[Delivery_time]]&lt;0),"Invalid_delivery_time","OK")</f>
        <v>OK</v>
      </c>
      <c r="AG216" s="20">
        <f>IF(
   AND(NOT(ISBLANK(orders_Q4[[#This Row],[return_received]])), NOT(ISBLANK(orders_Q4[[#This Row],[Del Date]]))),
   orders_Q4[[#This Row],[return_received]] - orders_Q4[[#This Row],[Del Date]],0)</f>
        <v>0</v>
      </c>
      <c r="AH216" t="str">
        <f>TEXT(orders_Q4[[#This Row],[Order Date]],"mmm-yyyy")</f>
        <v>Nov-2024</v>
      </c>
      <c r="AI216" s="1" t="str">
        <f>TEXT(orders_Q4[[#This Row],[Order Date]],"yyyy") &amp; "-" &amp; WEEKNUM(orders_Q4[[#This Row],[Order Date]])</f>
        <v>2024-48</v>
      </c>
      <c r="AJ216" t="str">
        <f>IF(orders_Q4[[#This Row],[Payment]]="COD","COD","Prepaid")</f>
        <v>COD</v>
      </c>
    </row>
    <row r="217" spans="1:36" x14ac:dyDescent="0.3">
      <c r="A217" t="s">
        <v>950</v>
      </c>
      <c r="B217" s="1">
        <v>45623</v>
      </c>
      <c r="C217" t="s">
        <v>951</v>
      </c>
      <c r="D217" t="s">
        <v>25</v>
      </c>
      <c r="E217" t="s">
        <v>952</v>
      </c>
      <c r="F217" t="s">
        <v>27</v>
      </c>
      <c r="G217" t="s">
        <v>953</v>
      </c>
      <c r="H217">
        <v>1599</v>
      </c>
      <c r="I217">
        <v>1</v>
      </c>
      <c r="J217">
        <v>1599</v>
      </c>
      <c r="L217">
        <v>0</v>
      </c>
      <c r="M217" t="s">
        <v>29</v>
      </c>
      <c r="N217" t="s">
        <v>65</v>
      </c>
      <c r="O217" t="s">
        <v>156</v>
      </c>
      <c r="P217" t="s">
        <v>97</v>
      </c>
      <c r="Q217" t="s">
        <v>31</v>
      </c>
      <c r="R217" s="1">
        <v>45639</v>
      </c>
      <c r="S217" t="s">
        <v>33</v>
      </c>
      <c r="T217" t="s">
        <v>46</v>
      </c>
      <c r="U217" t="s">
        <v>104</v>
      </c>
      <c r="V217" s="1">
        <v>45667</v>
      </c>
      <c r="W217" t="s">
        <v>48</v>
      </c>
      <c r="X217" t="str">
        <f>IF(OR(orders_Q4[[#This Row],[Qty]]&gt;5,orders_Q4[[#This Row],[Qty]]&lt;0),"Invalid Quantity","OK")</f>
        <v>OK</v>
      </c>
      <c r="Y217" t="b">
        <f>OR(orders_Q4[[#This Row],[Unit Price]]&gt;20000,orders_Q4[[#This Row],[Unit Price]]&lt;0,orders_Q4[[#This Row],[Unit Price]]=0)</f>
        <v>0</v>
      </c>
      <c r="Z21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17">
        <f>orders_Q4[[#This Row],[Unit Price]] * orders_Q4[[#This Row],[Qty]] * (1 - orders_Q4[[#This Row],[Disc %]]/100)</f>
        <v>1599</v>
      </c>
      <c r="AB217" t="str">
        <f>IF(ABS(orders_Q4[[#This Row],[Total]] - orders_Q4[[#This Row],[Calculated_order_total]]) &gt; 1, "Mismatch", "OK")</f>
        <v>OK</v>
      </c>
      <c r="AC217">
        <f>COUNTIF(C:C,orders_Q4[[#This Row],[Customer ID]])</f>
        <v>1</v>
      </c>
      <c r="AD217" t="str">
        <f>IF(AND(orders_Q4[[#This Row],[Type]]="New",orders_Q4[[#This Row],[Customer_id_count]]&gt;1),"Existing customer","OK")</f>
        <v>OK</v>
      </c>
      <c r="AE217">
        <f>orders_Q4[[#This Row],[Del Date]]-orders_Q4[[#This Row],[Order Date]]</f>
        <v>16</v>
      </c>
      <c r="AF217" t="str">
        <f>IF(OR(orders_Q4[[#This Row],[Delivery_time]]&gt;30,orders_Q4[[#This Row],[Delivery_time]]&lt;0),"Invalid_delivery_time","OK")</f>
        <v>OK</v>
      </c>
      <c r="AG217" s="20">
        <f>IF(
   AND(NOT(ISBLANK(orders_Q4[[#This Row],[return_received]])), NOT(ISBLANK(orders_Q4[[#This Row],[Del Date]]))),
   orders_Q4[[#This Row],[return_received]] - orders_Q4[[#This Row],[Del Date]],0)</f>
        <v>28</v>
      </c>
      <c r="AH217" t="str">
        <f>TEXT(orders_Q4[[#This Row],[Order Date]],"mmm-yyyy")</f>
        <v>Nov-2024</v>
      </c>
      <c r="AI217" s="1" t="str">
        <f>TEXT(orders_Q4[[#This Row],[Order Date]],"yyyy") &amp; "-" &amp; WEEKNUM(orders_Q4[[#This Row],[Order Date]])</f>
        <v>2024-48</v>
      </c>
      <c r="AJ217" t="str">
        <f>IF(orders_Q4[[#This Row],[Payment]]="COD","COD","Prepaid")</f>
        <v>Prepaid</v>
      </c>
    </row>
    <row r="218" spans="1:36" x14ac:dyDescent="0.3">
      <c r="A218" t="s">
        <v>954</v>
      </c>
      <c r="B218" s="1">
        <v>45624</v>
      </c>
      <c r="C218" t="s">
        <v>955</v>
      </c>
      <c r="D218" t="s">
        <v>25</v>
      </c>
      <c r="E218" t="s">
        <v>956</v>
      </c>
      <c r="F218" t="s">
        <v>40</v>
      </c>
      <c r="G218" t="s">
        <v>957</v>
      </c>
      <c r="H218">
        <v>2599</v>
      </c>
      <c r="I218">
        <v>1</v>
      </c>
      <c r="J218">
        <v>2599</v>
      </c>
      <c r="K218" s="2">
        <v>46341</v>
      </c>
      <c r="L218">
        <v>15</v>
      </c>
      <c r="M218" t="s">
        <v>111</v>
      </c>
      <c r="N218" t="s">
        <v>30</v>
      </c>
      <c r="O218" t="s">
        <v>161</v>
      </c>
      <c r="P218" t="s">
        <v>162</v>
      </c>
      <c r="Q218" t="s">
        <v>45</v>
      </c>
      <c r="R218" s="1">
        <v>45641</v>
      </c>
      <c r="S218" t="s">
        <v>33</v>
      </c>
      <c r="T218" t="s">
        <v>34</v>
      </c>
      <c r="W218" t="s">
        <v>35</v>
      </c>
      <c r="X218" t="str">
        <f>IF(OR(orders_Q4[[#This Row],[Qty]]&gt;5,orders_Q4[[#This Row],[Qty]]&lt;0),"Invalid Quantity","OK")</f>
        <v>OK</v>
      </c>
      <c r="Y218" t="b">
        <f>OR(orders_Q4[[#This Row],[Unit Price]]&gt;20000,orders_Q4[[#This Row],[Unit Price]]&lt;0,orders_Q4[[#This Row],[Unit Price]]=0)</f>
        <v>0</v>
      </c>
      <c r="Z21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18">
        <f>orders_Q4[[#This Row],[Unit Price]] * orders_Q4[[#This Row],[Qty]] * (1 - orders_Q4[[#This Row],[Disc %]]/100)</f>
        <v>2209.15</v>
      </c>
      <c r="AB218" t="str">
        <f>IF(ABS(orders_Q4[[#This Row],[Total]] - orders_Q4[[#This Row],[Calculated_order_total]]) &gt; 1, "Mismatch", "OK")</f>
        <v>Mismatch</v>
      </c>
      <c r="AC218">
        <f>COUNTIF(C:C,orders_Q4[[#This Row],[Customer ID]])</f>
        <v>1</v>
      </c>
      <c r="AD218" t="str">
        <f>IF(AND(orders_Q4[[#This Row],[Type]]="New",orders_Q4[[#This Row],[Customer_id_count]]&gt;1),"Existing customer","OK")</f>
        <v>OK</v>
      </c>
      <c r="AE218">
        <f>orders_Q4[[#This Row],[Del Date]]-orders_Q4[[#This Row],[Order Date]]</f>
        <v>17</v>
      </c>
      <c r="AF218" t="str">
        <f>IF(OR(orders_Q4[[#This Row],[Delivery_time]]&gt;30,orders_Q4[[#This Row],[Delivery_time]]&lt;0),"Invalid_delivery_time","OK")</f>
        <v>OK</v>
      </c>
      <c r="AG218" s="20">
        <f>IF(
   AND(NOT(ISBLANK(orders_Q4[[#This Row],[return_received]])), NOT(ISBLANK(orders_Q4[[#This Row],[Del Date]]))),
   orders_Q4[[#This Row],[return_received]] - orders_Q4[[#This Row],[Del Date]],0)</f>
        <v>0</v>
      </c>
      <c r="AH218" t="str">
        <f>TEXT(orders_Q4[[#This Row],[Order Date]],"mmm-yyyy")</f>
        <v>Nov-2024</v>
      </c>
      <c r="AI218" s="1" t="str">
        <f>TEXT(orders_Q4[[#This Row],[Order Date]],"yyyy") &amp; "-" &amp; WEEKNUM(orders_Q4[[#This Row],[Order Date]])</f>
        <v>2024-48</v>
      </c>
      <c r="AJ218" t="str">
        <f>IF(orders_Q4[[#This Row],[Payment]]="COD","COD","Prepaid")</f>
        <v>Prepaid</v>
      </c>
    </row>
    <row r="219" spans="1:36" x14ac:dyDescent="0.3">
      <c r="A219" t="s">
        <v>958</v>
      </c>
      <c r="B219" s="1">
        <v>45624</v>
      </c>
      <c r="C219" t="s">
        <v>959</v>
      </c>
      <c r="D219" t="s">
        <v>38</v>
      </c>
      <c r="E219" t="s">
        <v>960</v>
      </c>
      <c r="F219" t="s">
        <v>53</v>
      </c>
      <c r="G219" t="s">
        <v>961</v>
      </c>
      <c r="H219">
        <v>2399</v>
      </c>
      <c r="I219">
        <v>1</v>
      </c>
      <c r="J219">
        <v>2399</v>
      </c>
      <c r="L219">
        <v>0</v>
      </c>
      <c r="M219" t="s">
        <v>64</v>
      </c>
      <c r="N219" t="s">
        <v>44</v>
      </c>
      <c r="O219" t="s">
        <v>167</v>
      </c>
      <c r="P219" t="s">
        <v>151</v>
      </c>
      <c r="Q219" t="s">
        <v>31</v>
      </c>
      <c r="R219" s="1">
        <v>45639</v>
      </c>
      <c r="S219" t="s">
        <v>33</v>
      </c>
      <c r="T219" t="s">
        <v>46</v>
      </c>
      <c r="U219" t="s">
        <v>79</v>
      </c>
      <c r="V219" s="1">
        <v>45668</v>
      </c>
      <c r="W219" t="s">
        <v>48</v>
      </c>
      <c r="X219" t="str">
        <f>IF(OR(orders_Q4[[#This Row],[Qty]]&gt;5,orders_Q4[[#This Row],[Qty]]&lt;0),"Invalid Quantity","OK")</f>
        <v>OK</v>
      </c>
      <c r="Y219" t="b">
        <f>OR(orders_Q4[[#This Row],[Unit Price]]&gt;20000,orders_Q4[[#This Row],[Unit Price]]&lt;0,orders_Q4[[#This Row],[Unit Price]]=0)</f>
        <v>0</v>
      </c>
      <c r="Z21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19">
        <f>orders_Q4[[#This Row],[Unit Price]] * orders_Q4[[#This Row],[Qty]] * (1 - orders_Q4[[#This Row],[Disc %]]/100)</f>
        <v>2399</v>
      </c>
      <c r="AB219" t="str">
        <f>IF(ABS(orders_Q4[[#This Row],[Total]] - orders_Q4[[#This Row],[Calculated_order_total]]) &gt; 1, "Mismatch", "OK")</f>
        <v>OK</v>
      </c>
      <c r="AC219">
        <f>COUNTIF(C:C,orders_Q4[[#This Row],[Customer ID]])</f>
        <v>1</v>
      </c>
      <c r="AD219" t="str">
        <f>IF(AND(orders_Q4[[#This Row],[Type]]="New",orders_Q4[[#This Row],[Customer_id_count]]&gt;1),"Existing customer","OK")</f>
        <v>OK</v>
      </c>
      <c r="AE219">
        <f>orders_Q4[[#This Row],[Del Date]]-orders_Q4[[#This Row],[Order Date]]</f>
        <v>15</v>
      </c>
      <c r="AF219" t="str">
        <f>IF(OR(orders_Q4[[#This Row],[Delivery_time]]&gt;30,orders_Q4[[#This Row],[Delivery_time]]&lt;0),"Invalid_delivery_time","OK")</f>
        <v>OK</v>
      </c>
      <c r="AG219" s="20">
        <f>IF(
   AND(NOT(ISBLANK(orders_Q4[[#This Row],[return_received]])), NOT(ISBLANK(orders_Q4[[#This Row],[Del Date]]))),
   orders_Q4[[#This Row],[return_received]] - orders_Q4[[#This Row],[Del Date]],0)</f>
        <v>29</v>
      </c>
      <c r="AH219" t="str">
        <f>TEXT(orders_Q4[[#This Row],[Order Date]],"mmm-yyyy")</f>
        <v>Nov-2024</v>
      </c>
      <c r="AI219" s="1" t="str">
        <f>TEXT(orders_Q4[[#This Row],[Order Date]],"yyyy") &amp; "-" &amp; WEEKNUM(orders_Q4[[#This Row],[Order Date]])</f>
        <v>2024-48</v>
      </c>
      <c r="AJ219" t="str">
        <f>IF(orders_Q4[[#This Row],[Payment]]="COD","COD","Prepaid")</f>
        <v>Prepaid</v>
      </c>
    </row>
    <row r="220" spans="1:36" x14ac:dyDescent="0.3">
      <c r="A220" t="s">
        <v>962</v>
      </c>
      <c r="B220" s="1">
        <v>45624</v>
      </c>
      <c r="C220" t="s">
        <v>963</v>
      </c>
      <c r="D220" t="s">
        <v>25</v>
      </c>
      <c r="E220" t="s">
        <v>964</v>
      </c>
      <c r="F220" t="s">
        <v>61</v>
      </c>
      <c r="G220" t="s">
        <v>965</v>
      </c>
      <c r="H220">
        <v>6499</v>
      </c>
      <c r="I220">
        <v>1</v>
      </c>
      <c r="J220">
        <v>6499</v>
      </c>
      <c r="L220">
        <v>0</v>
      </c>
      <c r="M220" t="s">
        <v>43</v>
      </c>
      <c r="N220" t="s">
        <v>65</v>
      </c>
      <c r="O220" t="s">
        <v>172</v>
      </c>
      <c r="P220" t="s">
        <v>32</v>
      </c>
      <c r="Q220" t="s">
        <v>31</v>
      </c>
      <c r="R220" s="1">
        <v>45642</v>
      </c>
      <c r="S220" t="s">
        <v>33</v>
      </c>
      <c r="T220" t="s">
        <v>46</v>
      </c>
      <c r="U220" t="s">
        <v>47</v>
      </c>
      <c r="V220" s="1">
        <v>45671</v>
      </c>
      <c r="W220" t="s">
        <v>48</v>
      </c>
      <c r="X220" t="str">
        <f>IF(OR(orders_Q4[[#This Row],[Qty]]&gt;5,orders_Q4[[#This Row],[Qty]]&lt;0),"Invalid Quantity","OK")</f>
        <v>OK</v>
      </c>
      <c r="Y220" t="b">
        <f>OR(orders_Q4[[#This Row],[Unit Price]]&gt;20000,orders_Q4[[#This Row],[Unit Price]]&lt;0,orders_Q4[[#This Row],[Unit Price]]=0)</f>
        <v>0</v>
      </c>
      <c r="Z22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20">
        <f>orders_Q4[[#This Row],[Unit Price]] * orders_Q4[[#This Row],[Qty]] * (1 - orders_Q4[[#This Row],[Disc %]]/100)</f>
        <v>6499</v>
      </c>
      <c r="AB220" t="str">
        <f>IF(ABS(orders_Q4[[#This Row],[Total]] - orders_Q4[[#This Row],[Calculated_order_total]]) &gt; 1, "Mismatch", "OK")</f>
        <v>OK</v>
      </c>
      <c r="AC220">
        <f>COUNTIF(C:C,orders_Q4[[#This Row],[Customer ID]])</f>
        <v>1</v>
      </c>
      <c r="AD220" t="str">
        <f>IF(AND(orders_Q4[[#This Row],[Type]]="New",orders_Q4[[#This Row],[Customer_id_count]]&gt;1),"Existing customer","OK")</f>
        <v>OK</v>
      </c>
      <c r="AE220">
        <f>orders_Q4[[#This Row],[Del Date]]-orders_Q4[[#This Row],[Order Date]]</f>
        <v>18</v>
      </c>
      <c r="AF220" t="str">
        <f>IF(OR(orders_Q4[[#This Row],[Delivery_time]]&gt;30,orders_Q4[[#This Row],[Delivery_time]]&lt;0),"Invalid_delivery_time","OK")</f>
        <v>OK</v>
      </c>
      <c r="AG220" s="20">
        <f>IF(
   AND(NOT(ISBLANK(orders_Q4[[#This Row],[return_received]])), NOT(ISBLANK(orders_Q4[[#This Row],[Del Date]]))),
   orders_Q4[[#This Row],[return_received]] - orders_Q4[[#This Row],[Del Date]],0)</f>
        <v>29</v>
      </c>
      <c r="AH220" t="str">
        <f>TEXT(orders_Q4[[#This Row],[Order Date]],"mmm-yyyy")</f>
        <v>Nov-2024</v>
      </c>
      <c r="AI220" s="1" t="str">
        <f>TEXT(orders_Q4[[#This Row],[Order Date]],"yyyy") &amp; "-" &amp; WEEKNUM(orders_Q4[[#This Row],[Order Date]])</f>
        <v>2024-48</v>
      </c>
      <c r="AJ220" t="str">
        <f>IF(orders_Q4[[#This Row],[Payment]]="COD","COD","Prepaid")</f>
        <v>Prepaid</v>
      </c>
    </row>
    <row r="221" spans="1:36" x14ac:dyDescent="0.3">
      <c r="A221" t="s">
        <v>966</v>
      </c>
      <c r="B221" s="1">
        <v>45625</v>
      </c>
      <c r="C221" t="s">
        <v>967</v>
      </c>
      <c r="D221" t="s">
        <v>25</v>
      </c>
      <c r="E221" t="s">
        <v>968</v>
      </c>
      <c r="F221" t="s">
        <v>71</v>
      </c>
      <c r="G221" t="s">
        <v>969</v>
      </c>
      <c r="H221">
        <v>499</v>
      </c>
      <c r="I221">
        <v>2</v>
      </c>
      <c r="J221">
        <v>998</v>
      </c>
      <c r="L221">
        <v>0</v>
      </c>
      <c r="M221" t="s">
        <v>29</v>
      </c>
      <c r="N221" t="s">
        <v>30</v>
      </c>
      <c r="O221" t="s">
        <v>177</v>
      </c>
      <c r="P221" t="s">
        <v>67</v>
      </c>
      <c r="Q221" t="s">
        <v>56</v>
      </c>
      <c r="R221" s="1">
        <v>45640</v>
      </c>
      <c r="S221" t="s">
        <v>33</v>
      </c>
      <c r="T221" t="s">
        <v>34</v>
      </c>
      <c r="W221" t="s">
        <v>35</v>
      </c>
      <c r="X221" t="str">
        <f>IF(OR(orders_Q4[[#This Row],[Qty]]&gt;5,orders_Q4[[#This Row],[Qty]]&lt;0),"Invalid Quantity","OK")</f>
        <v>OK</v>
      </c>
      <c r="Y221" t="b">
        <f>OR(orders_Q4[[#This Row],[Unit Price]]&gt;20000,orders_Q4[[#This Row],[Unit Price]]&lt;0,orders_Q4[[#This Row],[Unit Price]]=0)</f>
        <v>0</v>
      </c>
      <c r="Z22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21">
        <f>orders_Q4[[#This Row],[Unit Price]] * orders_Q4[[#This Row],[Qty]] * (1 - orders_Q4[[#This Row],[Disc %]]/100)</f>
        <v>998</v>
      </c>
      <c r="AB221" t="str">
        <f>IF(ABS(orders_Q4[[#This Row],[Total]] - orders_Q4[[#This Row],[Calculated_order_total]]) &gt; 1, "Mismatch", "OK")</f>
        <v>OK</v>
      </c>
      <c r="AC221">
        <f>COUNTIF(C:C,orders_Q4[[#This Row],[Customer ID]])</f>
        <v>1</v>
      </c>
      <c r="AD221" t="str">
        <f>IF(AND(orders_Q4[[#This Row],[Type]]="New",orders_Q4[[#This Row],[Customer_id_count]]&gt;1),"Existing customer","OK")</f>
        <v>OK</v>
      </c>
      <c r="AE221">
        <f>orders_Q4[[#This Row],[Del Date]]-orders_Q4[[#This Row],[Order Date]]</f>
        <v>15</v>
      </c>
      <c r="AF221" t="str">
        <f>IF(OR(orders_Q4[[#This Row],[Delivery_time]]&gt;30,orders_Q4[[#This Row],[Delivery_time]]&lt;0),"Invalid_delivery_time","OK")</f>
        <v>OK</v>
      </c>
      <c r="AG221" s="20">
        <f>IF(
   AND(NOT(ISBLANK(orders_Q4[[#This Row],[return_received]])), NOT(ISBLANK(orders_Q4[[#This Row],[Del Date]]))),
   orders_Q4[[#This Row],[return_received]] - orders_Q4[[#This Row],[Del Date]],0)</f>
        <v>0</v>
      </c>
      <c r="AH221" t="str">
        <f>TEXT(orders_Q4[[#This Row],[Order Date]],"mmm-yyyy")</f>
        <v>Nov-2024</v>
      </c>
      <c r="AI221" s="1" t="str">
        <f>TEXT(orders_Q4[[#This Row],[Order Date]],"yyyy") &amp; "-" &amp; WEEKNUM(orders_Q4[[#This Row],[Order Date]])</f>
        <v>2024-48</v>
      </c>
      <c r="AJ221" t="str">
        <f>IF(orders_Q4[[#This Row],[Payment]]="COD","COD","Prepaid")</f>
        <v>Prepaid</v>
      </c>
    </row>
    <row r="222" spans="1:36" x14ac:dyDescent="0.3">
      <c r="A222" t="s">
        <v>970</v>
      </c>
      <c r="B222" s="1">
        <v>45625</v>
      </c>
      <c r="C222" t="s">
        <v>971</v>
      </c>
      <c r="D222" t="s">
        <v>25</v>
      </c>
      <c r="E222" t="s">
        <v>972</v>
      </c>
      <c r="F222" t="s">
        <v>27</v>
      </c>
      <c r="G222" t="s">
        <v>973</v>
      </c>
      <c r="H222">
        <v>1999</v>
      </c>
      <c r="I222">
        <v>1</v>
      </c>
      <c r="J222">
        <v>1999</v>
      </c>
      <c r="L222">
        <v>0</v>
      </c>
      <c r="M222" t="s">
        <v>55</v>
      </c>
      <c r="N222" t="s">
        <v>44</v>
      </c>
      <c r="O222" t="s">
        <v>182</v>
      </c>
      <c r="P222" t="s">
        <v>183</v>
      </c>
      <c r="Q222" t="s">
        <v>56</v>
      </c>
      <c r="S222" t="s">
        <v>120</v>
      </c>
      <c r="T222" t="s">
        <v>34</v>
      </c>
      <c r="W222" t="s">
        <v>35</v>
      </c>
      <c r="X222" t="str">
        <f>IF(OR(orders_Q4[[#This Row],[Qty]]&gt;5,orders_Q4[[#This Row],[Qty]]&lt;0),"Invalid Quantity","OK")</f>
        <v>OK</v>
      </c>
      <c r="Y222" t="b">
        <f>OR(orders_Q4[[#This Row],[Unit Price]]&gt;20000,orders_Q4[[#This Row],[Unit Price]]&lt;0,orders_Q4[[#This Row],[Unit Price]]=0)</f>
        <v>0</v>
      </c>
      <c r="Z22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22">
        <f>orders_Q4[[#This Row],[Unit Price]] * orders_Q4[[#This Row],[Qty]] * (1 - orders_Q4[[#This Row],[Disc %]]/100)</f>
        <v>1999</v>
      </c>
      <c r="AB222" t="str">
        <f>IF(ABS(orders_Q4[[#This Row],[Total]] - orders_Q4[[#This Row],[Calculated_order_total]]) &gt; 1, "Mismatch", "OK")</f>
        <v>OK</v>
      </c>
      <c r="AC222">
        <f>COUNTIF(C:C,orders_Q4[[#This Row],[Customer ID]])</f>
        <v>1</v>
      </c>
      <c r="AD222" t="str">
        <f>IF(AND(orders_Q4[[#This Row],[Type]]="New",orders_Q4[[#This Row],[Customer_id_count]]&gt;1),"Existing customer","OK")</f>
        <v>OK</v>
      </c>
      <c r="AE222">
        <f>orders_Q4[[#This Row],[Del Date]]-orders_Q4[[#This Row],[Order Date]]</f>
        <v>-45625</v>
      </c>
      <c r="AF222" t="str">
        <f>IF(OR(orders_Q4[[#This Row],[Delivery_time]]&gt;30,orders_Q4[[#This Row],[Delivery_time]]&lt;0),"Invalid_delivery_time","OK")</f>
        <v>Invalid_delivery_time</v>
      </c>
      <c r="AG222" s="20">
        <f>IF(
   AND(NOT(ISBLANK(orders_Q4[[#This Row],[return_received]])), NOT(ISBLANK(orders_Q4[[#This Row],[Del Date]]))),
   orders_Q4[[#This Row],[return_received]] - orders_Q4[[#This Row],[Del Date]],0)</f>
        <v>0</v>
      </c>
      <c r="AH222" t="str">
        <f>TEXT(orders_Q4[[#This Row],[Order Date]],"mmm-yyyy")</f>
        <v>Nov-2024</v>
      </c>
      <c r="AI222" s="1" t="str">
        <f>TEXT(orders_Q4[[#This Row],[Order Date]],"yyyy") &amp; "-" &amp; WEEKNUM(orders_Q4[[#This Row],[Order Date]])</f>
        <v>2024-48</v>
      </c>
      <c r="AJ222" t="str">
        <f>IF(orders_Q4[[#This Row],[Payment]]="COD","COD","Prepaid")</f>
        <v>COD</v>
      </c>
    </row>
    <row r="223" spans="1:36" x14ac:dyDescent="0.3">
      <c r="A223" t="s">
        <v>974</v>
      </c>
      <c r="B223" s="1">
        <v>45625</v>
      </c>
      <c r="C223" t="s">
        <v>975</v>
      </c>
      <c r="D223" t="s">
        <v>25</v>
      </c>
      <c r="E223" t="s">
        <v>976</v>
      </c>
      <c r="F223" t="s">
        <v>40</v>
      </c>
      <c r="G223" t="s">
        <v>977</v>
      </c>
      <c r="H223">
        <v>5499</v>
      </c>
      <c r="I223">
        <v>1</v>
      </c>
      <c r="J223">
        <v>5499</v>
      </c>
      <c r="K223" s="2">
        <v>46341</v>
      </c>
      <c r="L223">
        <v>15</v>
      </c>
      <c r="M223" t="s">
        <v>43</v>
      </c>
      <c r="N223" t="s">
        <v>65</v>
      </c>
      <c r="O223" t="s">
        <v>188</v>
      </c>
      <c r="P223" t="s">
        <v>189</v>
      </c>
      <c r="Q223" t="s">
        <v>56</v>
      </c>
      <c r="R223" s="1">
        <v>45643</v>
      </c>
      <c r="S223" t="s">
        <v>33</v>
      </c>
      <c r="T223" t="s">
        <v>46</v>
      </c>
      <c r="U223" t="s">
        <v>68</v>
      </c>
      <c r="V223" s="1">
        <v>45672</v>
      </c>
      <c r="W223" t="s">
        <v>48</v>
      </c>
      <c r="X223" t="str">
        <f>IF(OR(orders_Q4[[#This Row],[Qty]]&gt;5,orders_Q4[[#This Row],[Qty]]&lt;0),"Invalid Quantity","OK")</f>
        <v>OK</v>
      </c>
      <c r="Y223" t="b">
        <f>OR(orders_Q4[[#This Row],[Unit Price]]&gt;20000,orders_Q4[[#This Row],[Unit Price]]&lt;0,orders_Q4[[#This Row],[Unit Price]]=0)</f>
        <v>0</v>
      </c>
      <c r="Z22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23">
        <f>orders_Q4[[#This Row],[Unit Price]] * orders_Q4[[#This Row],[Qty]] * (1 - orders_Q4[[#This Row],[Disc %]]/100)</f>
        <v>4674.1499999999996</v>
      </c>
      <c r="AB223" t="str">
        <f>IF(ABS(orders_Q4[[#This Row],[Total]] - orders_Q4[[#This Row],[Calculated_order_total]]) &gt; 1, "Mismatch", "OK")</f>
        <v>Mismatch</v>
      </c>
      <c r="AC223">
        <f>COUNTIF(C:C,orders_Q4[[#This Row],[Customer ID]])</f>
        <v>1</v>
      </c>
      <c r="AD223" t="str">
        <f>IF(AND(orders_Q4[[#This Row],[Type]]="New",orders_Q4[[#This Row],[Customer_id_count]]&gt;1),"Existing customer","OK")</f>
        <v>OK</v>
      </c>
      <c r="AE223">
        <f>orders_Q4[[#This Row],[Del Date]]-orders_Q4[[#This Row],[Order Date]]</f>
        <v>18</v>
      </c>
      <c r="AF223" t="str">
        <f>IF(OR(orders_Q4[[#This Row],[Delivery_time]]&gt;30,orders_Q4[[#This Row],[Delivery_time]]&lt;0),"Invalid_delivery_time","OK")</f>
        <v>OK</v>
      </c>
      <c r="AG223" s="20">
        <f>IF(
   AND(NOT(ISBLANK(orders_Q4[[#This Row],[return_received]])), NOT(ISBLANK(orders_Q4[[#This Row],[Del Date]]))),
   orders_Q4[[#This Row],[return_received]] - orders_Q4[[#This Row],[Del Date]],0)</f>
        <v>29</v>
      </c>
      <c r="AH223" t="str">
        <f>TEXT(orders_Q4[[#This Row],[Order Date]],"mmm-yyyy")</f>
        <v>Nov-2024</v>
      </c>
      <c r="AI223" s="1" t="str">
        <f>TEXT(orders_Q4[[#This Row],[Order Date]],"yyyy") &amp; "-" &amp; WEEKNUM(orders_Q4[[#This Row],[Order Date]])</f>
        <v>2024-48</v>
      </c>
      <c r="AJ223" t="str">
        <f>IF(orders_Q4[[#This Row],[Payment]]="COD","COD","Prepaid")</f>
        <v>Prepaid</v>
      </c>
    </row>
    <row r="224" spans="1:36" x14ac:dyDescent="0.3">
      <c r="A224" t="s">
        <v>978</v>
      </c>
      <c r="B224" s="1">
        <v>45626</v>
      </c>
      <c r="C224" t="s">
        <v>979</v>
      </c>
      <c r="D224" t="s">
        <v>38</v>
      </c>
      <c r="E224" t="s">
        <v>980</v>
      </c>
      <c r="F224" t="s">
        <v>53</v>
      </c>
      <c r="G224" t="s">
        <v>981</v>
      </c>
      <c r="H224">
        <v>2799</v>
      </c>
      <c r="I224">
        <v>1</v>
      </c>
      <c r="J224">
        <v>2799</v>
      </c>
      <c r="L224">
        <v>0</v>
      </c>
      <c r="M224" t="s">
        <v>111</v>
      </c>
      <c r="N224" t="s">
        <v>30</v>
      </c>
      <c r="O224" t="s">
        <v>194</v>
      </c>
      <c r="P224" t="s">
        <v>183</v>
      </c>
      <c r="Q224" t="s">
        <v>56</v>
      </c>
      <c r="R224" s="1">
        <v>45641</v>
      </c>
      <c r="S224" t="s">
        <v>33</v>
      </c>
      <c r="T224" t="s">
        <v>34</v>
      </c>
      <c r="W224" t="s">
        <v>35</v>
      </c>
      <c r="X224" t="str">
        <f>IF(OR(orders_Q4[[#This Row],[Qty]]&gt;5,orders_Q4[[#This Row],[Qty]]&lt;0),"Invalid Quantity","OK")</f>
        <v>OK</v>
      </c>
      <c r="Y224" t="b">
        <f>OR(orders_Q4[[#This Row],[Unit Price]]&gt;20000,orders_Q4[[#This Row],[Unit Price]]&lt;0,orders_Q4[[#This Row],[Unit Price]]=0)</f>
        <v>0</v>
      </c>
      <c r="Z22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24">
        <f>orders_Q4[[#This Row],[Unit Price]] * orders_Q4[[#This Row],[Qty]] * (1 - orders_Q4[[#This Row],[Disc %]]/100)</f>
        <v>2799</v>
      </c>
      <c r="AB224" t="str">
        <f>IF(ABS(orders_Q4[[#This Row],[Total]] - orders_Q4[[#This Row],[Calculated_order_total]]) &gt; 1, "Mismatch", "OK")</f>
        <v>OK</v>
      </c>
      <c r="AC224">
        <f>COUNTIF(C:C,orders_Q4[[#This Row],[Customer ID]])</f>
        <v>1</v>
      </c>
      <c r="AD224" t="str">
        <f>IF(AND(orders_Q4[[#This Row],[Type]]="New",orders_Q4[[#This Row],[Customer_id_count]]&gt;1),"Existing customer","OK")</f>
        <v>OK</v>
      </c>
      <c r="AE224">
        <f>orders_Q4[[#This Row],[Del Date]]-orders_Q4[[#This Row],[Order Date]]</f>
        <v>15</v>
      </c>
      <c r="AF224" t="str">
        <f>IF(OR(orders_Q4[[#This Row],[Delivery_time]]&gt;30,orders_Q4[[#This Row],[Delivery_time]]&lt;0),"Invalid_delivery_time","OK")</f>
        <v>OK</v>
      </c>
      <c r="AG224" s="20">
        <f>IF(
   AND(NOT(ISBLANK(orders_Q4[[#This Row],[return_received]])), NOT(ISBLANK(orders_Q4[[#This Row],[Del Date]]))),
   orders_Q4[[#This Row],[return_received]] - orders_Q4[[#This Row],[Del Date]],0)</f>
        <v>0</v>
      </c>
      <c r="AH224" t="str">
        <f>TEXT(orders_Q4[[#This Row],[Order Date]],"mmm-yyyy")</f>
        <v>Nov-2024</v>
      </c>
      <c r="AI224" s="1" t="str">
        <f>TEXT(orders_Q4[[#This Row],[Order Date]],"yyyy") &amp; "-" &amp; WEEKNUM(orders_Q4[[#This Row],[Order Date]])</f>
        <v>2024-48</v>
      </c>
      <c r="AJ224" t="str">
        <f>IF(orders_Q4[[#This Row],[Payment]]="COD","COD","Prepaid")</f>
        <v>Prepaid</v>
      </c>
    </row>
    <row r="225" spans="1:36" x14ac:dyDescent="0.3">
      <c r="A225" t="s">
        <v>982</v>
      </c>
      <c r="B225" s="1">
        <v>45626</v>
      </c>
      <c r="C225" t="s">
        <v>983</v>
      </c>
      <c r="D225" t="s">
        <v>25</v>
      </c>
      <c r="E225" t="s">
        <v>984</v>
      </c>
      <c r="F225" t="s">
        <v>61</v>
      </c>
      <c r="G225" t="s">
        <v>985</v>
      </c>
      <c r="H225">
        <v>5299</v>
      </c>
      <c r="I225">
        <v>1</v>
      </c>
      <c r="J225">
        <v>5299</v>
      </c>
      <c r="L225">
        <v>0</v>
      </c>
      <c r="M225" t="s">
        <v>64</v>
      </c>
      <c r="N225" t="s">
        <v>44</v>
      </c>
      <c r="O225" t="s">
        <v>199</v>
      </c>
      <c r="P225" t="s">
        <v>57</v>
      </c>
      <c r="Q225" t="s">
        <v>56</v>
      </c>
      <c r="R225" s="1">
        <v>45644</v>
      </c>
      <c r="S225" t="s">
        <v>33</v>
      </c>
      <c r="T225" t="s">
        <v>46</v>
      </c>
      <c r="U225" t="s">
        <v>138</v>
      </c>
      <c r="V225" s="1">
        <v>45673</v>
      </c>
      <c r="W225" t="s">
        <v>48</v>
      </c>
      <c r="X225" t="str">
        <f>IF(OR(orders_Q4[[#This Row],[Qty]]&gt;5,orders_Q4[[#This Row],[Qty]]&lt;0),"Invalid Quantity","OK")</f>
        <v>OK</v>
      </c>
      <c r="Y225" t="b">
        <f>OR(orders_Q4[[#This Row],[Unit Price]]&gt;20000,orders_Q4[[#This Row],[Unit Price]]&lt;0,orders_Q4[[#This Row],[Unit Price]]=0)</f>
        <v>0</v>
      </c>
      <c r="Z22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25">
        <f>orders_Q4[[#This Row],[Unit Price]] * orders_Q4[[#This Row],[Qty]] * (1 - orders_Q4[[#This Row],[Disc %]]/100)</f>
        <v>5299</v>
      </c>
      <c r="AB225" t="str">
        <f>IF(ABS(orders_Q4[[#This Row],[Total]] - orders_Q4[[#This Row],[Calculated_order_total]]) &gt; 1, "Mismatch", "OK")</f>
        <v>OK</v>
      </c>
      <c r="AC225">
        <f>COUNTIF(C:C,orders_Q4[[#This Row],[Customer ID]])</f>
        <v>1</v>
      </c>
      <c r="AD225" t="str">
        <f>IF(AND(orders_Q4[[#This Row],[Type]]="New",orders_Q4[[#This Row],[Customer_id_count]]&gt;1),"Existing customer","OK")</f>
        <v>OK</v>
      </c>
      <c r="AE225">
        <f>orders_Q4[[#This Row],[Del Date]]-orders_Q4[[#This Row],[Order Date]]</f>
        <v>18</v>
      </c>
      <c r="AF225" t="str">
        <f>IF(OR(orders_Q4[[#This Row],[Delivery_time]]&gt;30,orders_Q4[[#This Row],[Delivery_time]]&lt;0),"Invalid_delivery_time","OK")</f>
        <v>OK</v>
      </c>
      <c r="AG225" s="20">
        <f>IF(
   AND(NOT(ISBLANK(orders_Q4[[#This Row],[return_received]])), NOT(ISBLANK(orders_Q4[[#This Row],[Del Date]]))),
   orders_Q4[[#This Row],[return_received]] - orders_Q4[[#This Row],[Del Date]],0)</f>
        <v>29</v>
      </c>
      <c r="AH225" t="str">
        <f>TEXT(orders_Q4[[#This Row],[Order Date]],"mmm-yyyy")</f>
        <v>Nov-2024</v>
      </c>
      <c r="AI225" s="1" t="str">
        <f>TEXT(orders_Q4[[#This Row],[Order Date]],"yyyy") &amp; "-" &amp; WEEKNUM(orders_Q4[[#This Row],[Order Date]])</f>
        <v>2024-48</v>
      </c>
      <c r="AJ225" t="str">
        <f>IF(orders_Q4[[#This Row],[Payment]]="COD","COD","Prepaid")</f>
        <v>Prepaid</v>
      </c>
    </row>
    <row r="226" spans="1:36" x14ac:dyDescent="0.3">
      <c r="A226" t="s">
        <v>986</v>
      </c>
      <c r="B226" s="1">
        <v>45626</v>
      </c>
      <c r="C226" t="s">
        <v>987</v>
      </c>
      <c r="D226" t="s">
        <v>25</v>
      </c>
      <c r="E226" t="s">
        <v>988</v>
      </c>
      <c r="F226" t="s">
        <v>71</v>
      </c>
      <c r="G226" t="s">
        <v>989</v>
      </c>
      <c r="H226">
        <v>1099</v>
      </c>
      <c r="I226">
        <v>1</v>
      </c>
      <c r="J226">
        <v>1099</v>
      </c>
      <c r="L226">
        <v>0</v>
      </c>
      <c r="M226" t="s">
        <v>29</v>
      </c>
      <c r="N226" t="s">
        <v>65</v>
      </c>
      <c r="O226" t="s">
        <v>204</v>
      </c>
      <c r="P226" t="s">
        <v>97</v>
      </c>
      <c r="Q226" t="s">
        <v>31</v>
      </c>
      <c r="R226" s="1">
        <v>45642</v>
      </c>
      <c r="S226" t="s">
        <v>33</v>
      </c>
      <c r="T226" t="s">
        <v>46</v>
      </c>
      <c r="U226" t="s">
        <v>47</v>
      </c>
      <c r="V226" s="1">
        <v>45671</v>
      </c>
      <c r="W226" t="s">
        <v>48</v>
      </c>
      <c r="X226" t="str">
        <f>IF(OR(orders_Q4[[#This Row],[Qty]]&gt;5,orders_Q4[[#This Row],[Qty]]&lt;0),"Invalid Quantity","OK")</f>
        <v>OK</v>
      </c>
      <c r="Y226" t="b">
        <f>OR(orders_Q4[[#This Row],[Unit Price]]&gt;20000,orders_Q4[[#This Row],[Unit Price]]&lt;0,orders_Q4[[#This Row],[Unit Price]]=0)</f>
        <v>0</v>
      </c>
      <c r="Z22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26">
        <f>orders_Q4[[#This Row],[Unit Price]] * orders_Q4[[#This Row],[Qty]] * (1 - orders_Q4[[#This Row],[Disc %]]/100)</f>
        <v>1099</v>
      </c>
      <c r="AB226" t="str">
        <f>IF(ABS(orders_Q4[[#This Row],[Total]] - orders_Q4[[#This Row],[Calculated_order_total]]) &gt; 1, "Mismatch", "OK")</f>
        <v>OK</v>
      </c>
      <c r="AC226">
        <f>COUNTIF(C:C,orders_Q4[[#This Row],[Customer ID]])</f>
        <v>1</v>
      </c>
      <c r="AD226" t="str">
        <f>IF(AND(orders_Q4[[#This Row],[Type]]="New",orders_Q4[[#This Row],[Customer_id_count]]&gt;1),"Existing customer","OK")</f>
        <v>OK</v>
      </c>
      <c r="AE226">
        <f>orders_Q4[[#This Row],[Del Date]]-orders_Q4[[#This Row],[Order Date]]</f>
        <v>16</v>
      </c>
      <c r="AF226" t="str">
        <f>IF(OR(orders_Q4[[#This Row],[Delivery_time]]&gt;30,orders_Q4[[#This Row],[Delivery_time]]&lt;0),"Invalid_delivery_time","OK")</f>
        <v>OK</v>
      </c>
      <c r="AG226" s="20">
        <f>IF(
   AND(NOT(ISBLANK(orders_Q4[[#This Row],[return_received]])), NOT(ISBLANK(orders_Q4[[#This Row],[Del Date]]))),
   orders_Q4[[#This Row],[return_received]] - orders_Q4[[#This Row],[Del Date]],0)</f>
        <v>29</v>
      </c>
      <c r="AH226" t="str">
        <f>TEXT(orders_Q4[[#This Row],[Order Date]],"mmm-yyyy")</f>
        <v>Nov-2024</v>
      </c>
      <c r="AI226" s="1" t="str">
        <f>TEXT(orders_Q4[[#This Row],[Order Date]],"yyyy") &amp; "-" &amp; WEEKNUM(orders_Q4[[#This Row],[Order Date]])</f>
        <v>2024-48</v>
      </c>
      <c r="AJ226" t="str">
        <f>IF(orders_Q4[[#This Row],[Payment]]="COD","COD","Prepaid")</f>
        <v>Prepaid</v>
      </c>
    </row>
    <row r="227" spans="1:36" x14ac:dyDescent="0.3">
      <c r="A227" t="s">
        <v>990</v>
      </c>
      <c r="B227" s="1">
        <v>45627</v>
      </c>
      <c r="C227" t="s">
        <v>991</v>
      </c>
      <c r="D227" t="s">
        <v>25</v>
      </c>
      <c r="E227" t="s">
        <v>992</v>
      </c>
      <c r="F227" t="s">
        <v>27</v>
      </c>
      <c r="G227" t="s">
        <v>993</v>
      </c>
      <c r="H227">
        <v>2499</v>
      </c>
      <c r="I227">
        <v>1</v>
      </c>
      <c r="J227">
        <v>2499</v>
      </c>
      <c r="K227" s="2">
        <v>46376</v>
      </c>
      <c r="L227">
        <v>20</v>
      </c>
      <c r="M227" t="s">
        <v>43</v>
      </c>
      <c r="N227" t="s">
        <v>30</v>
      </c>
      <c r="O227" t="s">
        <v>31</v>
      </c>
      <c r="P227" t="s">
        <v>32</v>
      </c>
      <c r="Q227" t="s">
        <v>31</v>
      </c>
      <c r="R227" s="1">
        <v>45632</v>
      </c>
      <c r="S227" t="s">
        <v>33</v>
      </c>
      <c r="T227" t="s">
        <v>34</v>
      </c>
      <c r="W227" t="s">
        <v>35</v>
      </c>
      <c r="X227" t="str">
        <f>IF(OR(orders_Q4[[#This Row],[Qty]]&gt;5,orders_Q4[[#This Row],[Qty]]&lt;0),"Invalid Quantity","OK")</f>
        <v>OK</v>
      </c>
      <c r="Y227" t="b">
        <f>OR(orders_Q4[[#This Row],[Unit Price]]&gt;20000,orders_Q4[[#This Row],[Unit Price]]&lt;0,orders_Q4[[#This Row],[Unit Price]]=0)</f>
        <v>0</v>
      </c>
      <c r="Z22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27">
        <f>orders_Q4[[#This Row],[Unit Price]] * orders_Q4[[#This Row],[Qty]] * (1 - orders_Q4[[#This Row],[Disc %]]/100)</f>
        <v>1999.2</v>
      </c>
      <c r="AB227" t="str">
        <f>IF(ABS(orders_Q4[[#This Row],[Total]] - orders_Q4[[#This Row],[Calculated_order_total]]) &gt; 1, "Mismatch", "OK")</f>
        <v>Mismatch</v>
      </c>
      <c r="AC227">
        <f>COUNTIF(C:C,orders_Q4[[#This Row],[Customer ID]])</f>
        <v>1</v>
      </c>
      <c r="AD227" t="str">
        <f>IF(AND(orders_Q4[[#This Row],[Type]]="New",orders_Q4[[#This Row],[Customer_id_count]]&gt;1),"Existing customer","OK")</f>
        <v>OK</v>
      </c>
      <c r="AE227">
        <f>orders_Q4[[#This Row],[Del Date]]-orders_Q4[[#This Row],[Order Date]]</f>
        <v>5</v>
      </c>
      <c r="AF227" t="str">
        <f>IF(OR(orders_Q4[[#This Row],[Delivery_time]]&gt;30,orders_Q4[[#This Row],[Delivery_time]]&lt;0),"Invalid_delivery_time","OK")</f>
        <v>OK</v>
      </c>
      <c r="AG227" s="20">
        <f>IF(
   AND(NOT(ISBLANK(orders_Q4[[#This Row],[return_received]])), NOT(ISBLANK(orders_Q4[[#This Row],[Del Date]]))),
   orders_Q4[[#This Row],[return_received]] - orders_Q4[[#This Row],[Del Date]],0)</f>
        <v>0</v>
      </c>
      <c r="AH227" t="str">
        <f>TEXT(orders_Q4[[#This Row],[Order Date]],"mmm-yyyy")</f>
        <v>Dec-2024</v>
      </c>
      <c r="AI227" s="1" t="str">
        <f>TEXT(orders_Q4[[#This Row],[Order Date]],"yyyy") &amp; "-" &amp; WEEKNUM(orders_Q4[[#This Row],[Order Date]])</f>
        <v>2024-49</v>
      </c>
      <c r="AJ227" t="str">
        <f>IF(orders_Q4[[#This Row],[Payment]]="COD","COD","Prepaid")</f>
        <v>Prepaid</v>
      </c>
    </row>
    <row r="228" spans="1:36" x14ac:dyDescent="0.3">
      <c r="A228" t="s">
        <v>994</v>
      </c>
      <c r="B228" s="1">
        <v>45627</v>
      </c>
      <c r="C228" t="s">
        <v>995</v>
      </c>
      <c r="D228" t="s">
        <v>25</v>
      </c>
      <c r="E228" t="s">
        <v>996</v>
      </c>
      <c r="F228" t="s">
        <v>61</v>
      </c>
      <c r="G228" t="s">
        <v>997</v>
      </c>
      <c r="H228">
        <v>6499</v>
      </c>
      <c r="I228">
        <v>1</v>
      </c>
      <c r="J228">
        <v>6499</v>
      </c>
      <c r="K228" s="2">
        <v>46376</v>
      </c>
      <c r="L228">
        <v>20</v>
      </c>
      <c r="M228" t="s">
        <v>55</v>
      </c>
      <c r="N228" t="s">
        <v>44</v>
      </c>
      <c r="O228" t="s">
        <v>45</v>
      </c>
      <c r="P228" t="s">
        <v>45</v>
      </c>
      <c r="Q228" t="s">
        <v>45</v>
      </c>
      <c r="R228" s="1">
        <v>45634</v>
      </c>
      <c r="S228" t="s">
        <v>33</v>
      </c>
      <c r="T228" t="s">
        <v>46</v>
      </c>
      <c r="U228" t="s">
        <v>79</v>
      </c>
      <c r="V228" s="1">
        <v>45654</v>
      </c>
      <c r="W228" t="s">
        <v>105</v>
      </c>
      <c r="X228" t="str">
        <f>IF(OR(orders_Q4[[#This Row],[Qty]]&gt;5,orders_Q4[[#This Row],[Qty]]&lt;0),"Invalid Quantity","OK")</f>
        <v>OK</v>
      </c>
      <c r="Y228" t="b">
        <f>OR(orders_Q4[[#This Row],[Unit Price]]&gt;20000,orders_Q4[[#This Row],[Unit Price]]&lt;0,orders_Q4[[#This Row],[Unit Price]]=0)</f>
        <v>0</v>
      </c>
      <c r="Z22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28">
        <f>orders_Q4[[#This Row],[Unit Price]] * orders_Q4[[#This Row],[Qty]] * (1 - orders_Q4[[#This Row],[Disc %]]/100)</f>
        <v>5199.2000000000007</v>
      </c>
      <c r="AB228" t="str">
        <f>IF(ABS(orders_Q4[[#This Row],[Total]] - orders_Q4[[#This Row],[Calculated_order_total]]) &gt; 1, "Mismatch", "OK")</f>
        <v>Mismatch</v>
      </c>
      <c r="AC228">
        <f>COUNTIF(C:C,orders_Q4[[#This Row],[Customer ID]])</f>
        <v>1</v>
      </c>
      <c r="AD228" t="str">
        <f>IF(AND(orders_Q4[[#This Row],[Type]]="New",orders_Q4[[#This Row],[Customer_id_count]]&gt;1),"Existing customer","OK")</f>
        <v>OK</v>
      </c>
      <c r="AE228">
        <f>orders_Q4[[#This Row],[Del Date]]-orders_Q4[[#This Row],[Order Date]]</f>
        <v>7</v>
      </c>
      <c r="AF228" t="str">
        <f>IF(OR(orders_Q4[[#This Row],[Delivery_time]]&gt;30,orders_Q4[[#This Row],[Delivery_time]]&lt;0),"Invalid_delivery_time","OK")</f>
        <v>OK</v>
      </c>
      <c r="AG228" s="20">
        <f>IF(
   AND(NOT(ISBLANK(orders_Q4[[#This Row],[return_received]])), NOT(ISBLANK(orders_Q4[[#This Row],[Del Date]]))),
   orders_Q4[[#This Row],[return_received]] - orders_Q4[[#This Row],[Del Date]],0)</f>
        <v>20</v>
      </c>
      <c r="AH228" t="str">
        <f>TEXT(orders_Q4[[#This Row],[Order Date]],"mmm-yyyy")</f>
        <v>Dec-2024</v>
      </c>
      <c r="AI228" s="1" t="str">
        <f>TEXT(orders_Q4[[#This Row],[Order Date]],"yyyy") &amp; "-" &amp; WEEKNUM(orders_Q4[[#This Row],[Order Date]])</f>
        <v>2024-49</v>
      </c>
      <c r="AJ228" t="str">
        <f>IF(orders_Q4[[#This Row],[Payment]]="COD","COD","Prepaid")</f>
        <v>COD</v>
      </c>
    </row>
    <row r="229" spans="1:36" x14ac:dyDescent="0.3">
      <c r="A229" t="s">
        <v>998</v>
      </c>
      <c r="B229" s="1">
        <v>45627</v>
      </c>
      <c r="C229" t="s">
        <v>999</v>
      </c>
      <c r="D229" t="s">
        <v>38</v>
      </c>
      <c r="E229" t="s">
        <v>1000</v>
      </c>
      <c r="F229" t="s">
        <v>71</v>
      </c>
      <c r="G229" t="s">
        <v>1001</v>
      </c>
      <c r="H229">
        <v>1499</v>
      </c>
      <c r="I229">
        <v>1</v>
      </c>
      <c r="J229">
        <v>1499</v>
      </c>
      <c r="L229">
        <v>0</v>
      </c>
      <c r="M229" t="s">
        <v>29</v>
      </c>
      <c r="N229" t="s">
        <v>65</v>
      </c>
      <c r="O229" t="s">
        <v>118</v>
      </c>
      <c r="P229" t="s">
        <v>119</v>
      </c>
      <c r="Q229" t="s">
        <v>45</v>
      </c>
      <c r="R229" s="1">
        <v>45633</v>
      </c>
      <c r="S229" t="s">
        <v>33</v>
      </c>
      <c r="T229" t="s">
        <v>34</v>
      </c>
      <c r="W229" t="s">
        <v>35</v>
      </c>
      <c r="X229" t="str">
        <f>IF(OR(orders_Q4[[#This Row],[Qty]]&gt;5,orders_Q4[[#This Row],[Qty]]&lt;0),"Invalid Quantity","OK")</f>
        <v>OK</v>
      </c>
      <c r="Y229" t="b">
        <f>OR(orders_Q4[[#This Row],[Unit Price]]&gt;20000,orders_Q4[[#This Row],[Unit Price]]&lt;0,orders_Q4[[#This Row],[Unit Price]]=0)</f>
        <v>0</v>
      </c>
      <c r="Z22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29">
        <f>orders_Q4[[#This Row],[Unit Price]] * orders_Q4[[#This Row],[Qty]] * (1 - orders_Q4[[#This Row],[Disc %]]/100)</f>
        <v>1499</v>
      </c>
      <c r="AB229" t="str">
        <f>IF(ABS(orders_Q4[[#This Row],[Total]] - orders_Q4[[#This Row],[Calculated_order_total]]) &gt; 1, "Mismatch", "OK")</f>
        <v>OK</v>
      </c>
      <c r="AC229">
        <f>COUNTIF(C:C,orders_Q4[[#This Row],[Customer ID]])</f>
        <v>1</v>
      </c>
      <c r="AD229" t="str">
        <f>IF(AND(orders_Q4[[#This Row],[Type]]="New",orders_Q4[[#This Row],[Customer_id_count]]&gt;1),"Existing customer","OK")</f>
        <v>OK</v>
      </c>
      <c r="AE229">
        <f>orders_Q4[[#This Row],[Del Date]]-orders_Q4[[#This Row],[Order Date]]</f>
        <v>6</v>
      </c>
      <c r="AF229" t="str">
        <f>IF(OR(orders_Q4[[#This Row],[Delivery_time]]&gt;30,orders_Q4[[#This Row],[Delivery_time]]&lt;0),"Invalid_delivery_time","OK")</f>
        <v>OK</v>
      </c>
      <c r="AG229" s="20">
        <f>IF(
   AND(NOT(ISBLANK(orders_Q4[[#This Row],[return_received]])), NOT(ISBLANK(orders_Q4[[#This Row],[Del Date]]))),
   orders_Q4[[#This Row],[return_received]] - orders_Q4[[#This Row],[Del Date]],0)</f>
        <v>0</v>
      </c>
      <c r="AH229" t="str">
        <f>TEXT(orders_Q4[[#This Row],[Order Date]],"mmm-yyyy")</f>
        <v>Dec-2024</v>
      </c>
      <c r="AI229" s="1" t="str">
        <f>TEXT(orders_Q4[[#This Row],[Order Date]],"yyyy") &amp; "-" &amp; WEEKNUM(orders_Q4[[#This Row],[Order Date]])</f>
        <v>2024-49</v>
      </c>
      <c r="AJ229" t="str">
        <f>IF(orders_Q4[[#This Row],[Payment]]="COD","COD","Prepaid")</f>
        <v>Prepaid</v>
      </c>
    </row>
    <row r="230" spans="1:36" x14ac:dyDescent="0.3">
      <c r="A230" t="s">
        <v>1002</v>
      </c>
      <c r="B230" s="1">
        <v>45627</v>
      </c>
      <c r="C230" t="s">
        <v>1003</v>
      </c>
      <c r="D230" t="s">
        <v>25</v>
      </c>
      <c r="E230" t="s">
        <v>1004</v>
      </c>
      <c r="F230" t="s">
        <v>40</v>
      </c>
      <c r="G230" t="s">
        <v>1005</v>
      </c>
      <c r="H230">
        <v>2899</v>
      </c>
      <c r="I230">
        <v>1</v>
      </c>
      <c r="J230">
        <v>2899</v>
      </c>
      <c r="K230" s="2">
        <v>46376</v>
      </c>
      <c r="L230">
        <v>20</v>
      </c>
      <c r="M230" t="s">
        <v>64</v>
      </c>
      <c r="N230" t="s">
        <v>30</v>
      </c>
      <c r="O230" t="s">
        <v>563</v>
      </c>
      <c r="P230" t="s">
        <v>119</v>
      </c>
      <c r="Q230" t="s">
        <v>45</v>
      </c>
      <c r="R230" s="1">
        <v>45635</v>
      </c>
      <c r="S230" t="s">
        <v>33</v>
      </c>
      <c r="T230" t="s">
        <v>46</v>
      </c>
      <c r="U230" t="s">
        <v>47</v>
      </c>
      <c r="V230" s="1">
        <v>45656</v>
      </c>
      <c r="W230" t="s">
        <v>48</v>
      </c>
      <c r="X230" t="str">
        <f>IF(OR(orders_Q4[[#This Row],[Qty]]&gt;5,orders_Q4[[#This Row],[Qty]]&lt;0),"Invalid Quantity","OK")</f>
        <v>OK</v>
      </c>
      <c r="Y230" t="b">
        <f>OR(orders_Q4[[#This Row],[Unit Price]]&gt;20000,orders_Q4[[#This Row],[Unit Price]]&lt;0,orders_Q4[[#This Row],[Unit Price]]=0)</f>
        <v>0</v>
      </c>
      <c r="Z23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30">
        <f>orders_Q4[[#This Row],[Unit Price]] * orders_Q4[[#This Row],[Qty]] * (1 - orders_Q4[[#This Row],[Disc %]]/100)</f>
        <v>2319.2000000000003</v>
      </c>
      <c r="AB230" t="str">
        <f>IF(ABS(orders_Q4[[#This Row],[Total]] - orders_Q4[[#This Row],[Calculated_order_total]]) &gt; 1, "Mismatch", "OK")</f>
        <v>Mismatch</v>
      </c>
      <c r="AC230">
        <f>COUNTIF(C:C,orders_Q4[[#This Row],[Customer ID]])</f>
        <v>1</v>
      </c>
      <c r="AD230" t="str">
        <f>IF(AND(orders_Q4[[#This Row],[Type]]="New",orders_Q4[[#This Row],[Customer_id_count]]&gt;1),"Existing customer","OK")</f>
        <v>OK</v>
      </c>
      <c r="AE230">
        <f>orders_Q4[[#This Row],[Del Date]]-orders_Q4[[#This Row],[Order Date]]</f>
        <v>8</v>
      </c>
      <c r="AF230" t="str">
        <f>IF(OR(orders_Q4[[#This Row],[Delivery_time]]&gt;30,orders_Q4[[#This Row],[Delivery_time]]&lt;0),"Invalid_delivery_time","OK")</f>
        <v>OK</v>
      </c>
      <c r="AG230" s="20">
        <f>IF(
   AND(NOT(ISBLANK(orders_Q4[[#This Row],[return_received]])), NOT(ISBLANK(orders_Q4[[#This Row],[Del Date]]))),
   orders_Q4[[#This Row],[return_received]] - orders_Q4[[#This Row],[Del Date]],0)</f>
        <v>21</v>
      </c>
      <c r="AH230" t="str">
        <f>TEXT(orders_Q4[[#This Row],[Order Date]],"mmm-yyyy")</f>
        <v>Dec-2024</v>
      </c>
      <c r="AI230" s="1" t="str">
        <f>TEXT(orders_Q4[[#This Row],[Order Date]],"yyyy") &amp; "-" &amp; WEEKNUM(orders_Q4[[#This Row],[Order Date]])</f>
        <v>2024-49</v>
      </c>
      <c r="AJ230" t="str">
        <f>IF(orders_Q4[[#This Row],[Payment]]="COD","COD","Prepaid")</f>
        <v>Prepaid</v>
      </c>
    </row>
    <row r="231" spans="1:36" x14ac:dyDescent="0.3">
      <c r="A231" t="s">
        <v>1006</v>
      </c>
      <c r="B231" s="1">
        <v>45628</v>
      </c>
      <c r="C231" t="s">
        <v>1007</v>
      </c>
      <c r="D231" t="s">
        <v>25</v>
      </c>
      <c r="E231" t="s">
        <v>1008</v>
      </c>
      <c r="F231" t="s">
        <v>27</v>
      </c>
      <c r="G231" t="s">
        <v>1009</v>
      </c>
      <c r="H231">
        <v>1599</v>
      </c>
      <c r="I231">
        <v>2</v>
      </c>
      <c r="J231">
        <v>3198</v>
      </c>
      <c r="L231">
        <v>0</v>
      </c>
      <c r="M231" t="s">
        <v>43</v>
      </c>
      <c r="N231" t="s">
        <v>44</v>
      </c>
      <c r="O231" t="s">
        <v>1010</v>
      </c>
      <c r="P231" t="s">
        <v>1011</v>
      </c>
      <c r="Q231" t="s">
        <v>45</v>
      </c>
      <c r="R231" s="1">
        <v>45635</v>
      </c>
      <c r="S231" t="s">
        <v>33</v>
      </c>
      <c r="T231" t="s">
        <v>34</v>
      </c>
      <c r="W231" t="s">
        <v>35</v>
      </c>
      <c r="X231" t="str">
        <f>IF(OR(orders_Q4[[#This Row],[Qty]]&gt;5,orders_Q4[[#This Row],[Qty]]&lt;0),"Invalid Quantity","OK")</f>
        <v>OK</v>
      </c>
      <c r="Y231" t="b">
        <f>OR(orders_Q4[[#This Row],[Unit Price]]&gt;20000,orders_Q4[[#This Row],[Unit Price]]&lt;0,orders_Q4[[#This Row],[Unit Price]]=0)</f>
        <v>0</v>
      </c>
      <c r="Z23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31">
        <f>orders_Q4[[#This Row],[Unit Price]] * orders_Q4[[#This Row],[Qty]] * (1 - orders_Q4[[#This Row],[Disc %]]/100)</f>
        <v>3198</v>
      </c>
      <c r="AB231" t="str">
        <f>IF(ABS(orders_Q4[[#This Row],[Total]] - orders_Q4[[#This Row],[Calculated_order_total]]) &gt; 1, "Mismatch", "OK")</f>
        <v>OK</v>
      </c>
      <c r="AC231">
        <f>COUNTIF(C:C,orders_Q4[[#This Row],[Customer ID]])</f>
        <v>1</v>
      </c>
      <c r="AD231" t="str">
        <f>IF(AND(orders_Q4[[#This Row],[Type]]="New",orders_Q4[[#This Row],[Customer_id_count]]&gt;1),"Existing customer","OK")</f>
        <v>OK</v>
      </c>
      <c r="AE231">
        <f>orders_Q4[[#This Row],[Del Date]]-orders_Q4[[#This Row],[Order Date]]</f>
        <v>7</v>
      </c>
      <c r="AF231" t="str">
        <f>IF(OR(orders_Q4[[#This Row],[Delivery_time]]&gt;30,orders_Q4[[#This Row],[Delivery_time]]&lt;0),"Invalid_delivery_time","OK")</f>
        <v>OK</v>
      </c>
      <c r="AG231" s="20">
        <f>IF(
   AND(NOT(ISBLANK(orders_Q4[[#This Row],[return_received]])), NOT(ISBLANK(orders_Q4[[#This Row],[Del Date]]))),
   orders_Q4[[#This Row],[return_received]] - orders_Q4[[#This Row],[Del Date]],0)</f>
        <v>0</v>
      </c>
      <c r="AH231" t="str">
        <f>TEXT(orders_Q4[[#This Row],[Order Date]],"mmm-yyyy")</f>
        <v>Dec-2024</v>
      </c>
      <c r="AI231" s="1" t="str">
        <f>TEXT(orders_Q4[[#This Row],[Order Date]],"yyyy") &amp; "-" &amp; WEEKNUM(orders_Q4[[#This Row],[Order Date]])</f>
        <v>2024-49</v>
      </c>
      <c r="AJ231" t="str">
        <f>IF(orders_Q4[[#This Row],[Payment]]="COD","COD","Prepaid")</f>
        <v>Prepaid</v>
      </c>
    </row>
    <row r="232" spans="1:36" x14ac:dyDescent="0.3">
      <c r="A232" t="s">
        <v>1012</v>
      </c>
      <c r="B232" s="1">
        <v>45628</v>
      </c>
      <c r="C232" t="s">
        <v>1013</v>
      </c>
      <c r="D232" t="s">
        <v>25</v>
      </c>
      <c r="E232" t="s">
        <v>1014</v>
      </c>
      <c r="F232" t="s">
        <v>53</v>
      </c>
      <c r="G232" t="s">
        <v>1015</v>
      </c>
      <c r="H232">
        <v>1799</v>
      </c>
      <c r="I232">
        <v>1</v>
      </c>
      <c r="J232">
        <v>1799</v>
      </c>
      <c r="K232" s="2">
        <v>46376</v>
      </c>
      <c r="L232">
        <v>20</v>
      </c>
      <c r="M232" t="s">
        <v>111</v>
      </c>
      <c r="N232" t="s">
        <v>65</v>
      </c>
      <c r="O232" t="s">
        <v>1016</v>
      </c>
      <c r="P232" t="s">
        <v>1017</v>
      </c>
      <c r="Q232" t="s">
        <v>45</v>
      </c>
      <c r="R232" s="1">
        <v>45636</v>
      </c>
      <c r="S232" t="s">
        <v>33</v>
      </c>
      <c r="T232" t="s">
        <v>34</v>
      </c>
      <c r="W232" t="s">
        <v>35</v>
      </c>
      <c r="X232" t="str">
        <f>IF(OR(orders_Q4[[#This Row],[Qty]]&gt;5,orders_Q4[[#This Row],[Qty]]&lt;0),"Invalid Quantity","OK")</f>
        <v>OK</v>
      </c>
      <c r="Y232" t="b">
        <f>OR(orders_Q4[[#This Row],[Unit Price]]&gt;20000,orders_Q4[[#This Row],[Unit Price]]&lt;0,orders_Q4[[#This Row],[Unit Price]]=0)</f>
        <v>0</v>
      </c>
      <c r="Z23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32">
        <f>orders_Q4[[#This Row],[Unit Price]] * orders_Q4[[#This Row],[Qty]] * (1 - orders_Q4[[#This Row],[Disc %]]/100)</f>
        <v>1439.2</v>
      </c>
      <c r="AB232" t="str">
        <f>IF(ABS(orders_Q4[[#This Row],[Total]] - orders_Q4[[#This Row],[Calculated_order_total]]) &gt; 1, "Mismatch", "OK")</f>
        <v>Mismatch</v>
      </c>
      <c r="AC232">
        <f>COUNTIF(C:C,orders_Q4[[#This Row],[Customer ID]])</f>
        <v>1</v>
      </c>
      <c r="AD232" t="str">
        <f>IF(AND(orders_Q4[[#This Row],[Type]]="New",orders_Q4[[#This Row],[Customer_id_count]]&gt;1),"Existing customer","OK")</f>
        <v>OK</v>
      </c>
      <c r="AE232">
        <f>orders_Q4[[#This Row],[Del Date]]-orders_Q4[[#This Row],[Order Date]]</f>
        <v>8</v>
      </c>
      <c r="AF232" t="str">
        <f>IF(OR(orders_Q4[[#This Row],[Delivery_time]]&gt;30,orders_Q4[[#This Row],[Delivery_time]]&lt;0),"Invalid_delivery_time","OK")</f>
        <v>OK</v>
      </c>
      <c r="AG232" s="20">
        <f>IF(
   AND(NOT(ISBLANK(orders_Q4[[#This Row],[return_received]])), NOT(ISBLANK(orders_Q4[[#This Row],[Del Date]]))),
   orders_Q4[[#This Row],[return_received]] - orders_Q4[[#This Row],[Del Date]],0)</f>
        <v>0</v>
      </c>
      <c r="AH232" t="str">
        <f>TEXT(orders_Q4[[#This Row],[Order Date]],"mmm-yyyy")</f>
        <v>Dec-2024</v>
      </c>
      <c r="AI232" s="1" t="str">
        <f>TEXT(orders_Q4[[#This Row],[Order Date]],"yyyy") &amp; "-" &amp; WEEKNUM(orders_Q4[[#This Row],[Order Date]])</f>
        <v>2024-49</v>
      </c>
      <c r="AJ232" t="str">
        <f>IF(orders_Q4[[#This Row],[Payment]]="COD","COD","Prepaid")</f>
        <v>Prepaid</v>
      </c>
    </row>
    <row r="233" spans="1:36" x14ac:dyDescent="0.3">
      <c r="A233" t="s">
        <v>1018</v>
      </c>
      <c r="B233" s="1">
        <v>45628</v>
      </c>
      <c r="C233" t="s">
        <v>1019</v>
      </c>
      <c r="D233" t="s">
        <v>25</v>
      </c>
      <c r="E233" t="s">
        <v>444</v>
      </c>
      <c r="F233" t="s">
        <v>61</v>
      </c>
      <c r="G233" t="s">
        <v>445</v>
      </c>
      <c r="H233">
        <v>3299</v>
      </c>
      <c r="I233">
        <v>1</v>
      </c>
      <c r="J233">
        <v>3299</v>
      </c>
      <c r="L233">
        <v>0</v>
      </c>
      <c r="M233" t="s">
        <v>29</v>
      </c>
      <c r="N233" t="s">
        <v>30</v>
      </c>
      <c r="O233" t="s">
        <v>1020</v>
      </c>
      <c r="P233" t="s">
        <v>1021</v>
      </c>
      <c r="Q233" t="s">
        <v>45</v>
      </c>
      <c r="R233" s="1">
        <v>45637</v>
      </c>
      <c r="S233" t="s">
        <v>33</v>
      </c>
      <c r="T233" t="s">
        <v>46</v>
      </c>
      <c r="U233" t="s">
        <v>104</v>
      </c>
      <c r="V233" s="1">
        <v>45659</v>
      </c>
      <c r="W233" t="s">
        <v>105</v>
      </c>
      <c r="X233" t="str">
        <f>IF(OR(orders_Q4[[#This Row],[Qty]]&gt;5,orders_Q4[[#This Row],[Qty]]&lt;0),"Invalid Quantity","OK")</f>
        <v>OK</v>
      </c>
      <c r="Y233" t="b">
        <f>OR(orders_Q4[[#This Row],[Unit Price]]&gt;20000,orders_Q4[[#This Row],[Unit Price]]&lt;0,orders_Q4[[#This Row],[Unit Price]]=0)</f>
        <v>0</v>
      </c>
      <c r="Z23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33">
        <f>orders_Q4[[#This Row],[Unit Price]] * orders_Q4[[#This Row],[Qty]] * (1 - orders_Q4[[#This Row],[Disc %]]/100)</f>
        <v>3299</v>
      </c>
      <c r="AB233" t="str">
        <f>IF(ABS(orders_Q4[[#This Row],[Total]] - orders_Q4[[#This Row],[Calculated_order_total]]) &gt; 1, "Mismatch", "OK")</f>
        <v>OK</v>
      </c>
      <c r="AC233">
        <f>COUNTIF(C:C,orders_Q4[[#This Row],[Customer ID]])</f>
        <v>1</v>
      </c>
      <c r="AD233" t="str">
        <f>IF(AND(orders_Q4[[#This Row],[Type]]="New",orders_Q4[[#This Row],[Customer_id_count]]&gt;1),"Existing customer","OK")</f>
        <v>OK</v>
      </c>
      <c r="AE233">
        <f>orders_Q4[[#This Row],[Del Date]]-orders_Q4[[#This Row],[Order Date]]</f>
        <v>9</v>
      </c>
      <c r="AF233" t="str">
        <f>IF(OR(orders_Q4[[#This Row],[Delivery_time]]&gt;30,orders_Q4[[#This Row],[Delivery_time]]&lt;0),"Invalid_delivery_time","OK")</f>
        <v>OK</v>
      </c>
      <c r="AG233" s="20">
        <f>IF(
   AND(NOT(ISBLANK(orders_Q4[[#This Row],[return_received]])), NOT(ISBLANK(orders_Q4[[#This Row],[Del Date]]))),
   orders_Q4[[#This Row],[return_received]] - orders_Q4[[#This Row],[Del Date]],0)</f>
        <v>22</v>
      </c>
      <c r="AH233" t="str">
        <f>TEXT(orders_Q4[[#This Row],[Order Date]],"mmm-yyyy")</f>
        <v>Dec-2024</v>
      </c>
      <c r="AI233" s="1" t="str">
        <f>TEXT(orders_Q4[[#This Row],[Order Date]],"yyyy") &amp; "-" &amp; WEEKNUM(orders_Q4[[#This Row],[Order Date]])</f>
        <v>2024-49</v>
      </c>
      <c r="AJ233" t="str">
        <f>IF(orders_Q4[[#This Row],[Payment]]="COD","COD","Prepaid")</f>
        <v>Prepaid</v>
      </c>
    </row>
    <row r="234" spans="1:36" x14ac:dyDescent="0.3">
      <c r="A234" t="s">
        <v>1022</v>
      </c>
      <c r="B234" s="1">
        <v>45628</v>
      </c>
      <c r="C234" t="s">
        <v>1023</v>
      </c>
      <c r="D234" t="s">
        <v>38</v>
      </c>
      <c r="E234" t="s">
        <v>1024</v>
      </c>
      <c r="F234" t="s">
        <v>71</v>
      </c>
      <c r="G234" t="s">
        <v>1025</v>
      </c>
      <c r="H234">
        <v>599</v>
      </c>
      <c r="I234">
        <v>2</v>
      </c>
      <c r="J234">
        <v>1198</v>
      </c>
      <c r="K234" s="2">
        <v>46376</v>
      </c>
      <c r="L234">
        <v>20</v>
      </c>
      <c r="M234" t="s">
        <v>55</v>
      </c>
      <c r="N234" t="s">
        <v>44</v>
      </c>
      <c r="O234" t="s">
        <v>1026</v>
      </c>
      <c r="P234" t="s">
        <v>1011</v>
      </c>
      <c r="Q234" t="s">
        <v>45</v>
      </c>
      <c r="R234" s="1">
        <v>45636</v>
      </c>
      <c r="S234" t="s">
        <v>33</v>
      </c>
      <c r="T234" t="s">
        <v>34</v>
      </c>
      <c r="W234" t="s">
        <v>35</v>
      </c>
      <c r="X234" t="str">
        <f>IF(OR(orders_Q4[[#This Row],[Qty]]&gt;5,orders_Q4[[#This Row],[Qty]]&lt;0),"Invalid Quantity","OK")</f>
        <v>OK</v>
      </c>
      <c r="Y234" t="b">
        <f>OR(orders_Q4[[#This Row],[Unit Price]]&gt;20000,orders_Q4[[#This Row],[Unit Price]]&lt;0,orders_Q4[[#This Row],[Unit Price]]=0)</f>
        <v>0</v>
      </c>
      <c r="Z23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34">
        <f>orders_Q4[[#This Row],[Unit Price]] * orders_Q4[[#This Row],[Qty]] * (1 - orders_Q4[[#This Row],[Disc %]]/100)</f>
        <v>958.40000000000009</v>
      </c>
      <c r="AB234" t="str">
        <f>IF(ABS(orders_Q4[[#This Row],[Total]] - orders_Q4[[#This Row],[Calculated_order_total]]) &gt; 1, "Mismatch", "OK")</f>
        <v>Mismatch</v>
      </c>
      <c r="AC234">
        <f>COUNTIF(C:C,orders_Q4[[#This Row],[Customer ID]])</f>
        <v>1</v>
      </c>
      <c r="AD234" t="str">
        <f>IF(AND(orders_Q4[[#This Row],[Type]]="New",orders_Q4[[#This Row],[Customer_id_count]]&gt;1),"Existing customer","OK")</f>
        <v>OK</v>
      </c>
      <c r="AE234">
        <f>orders_Q4[[#This Row],[Del Date]]-orders_Q4[[#This Row],[Order Date]]</f>
        <v>8</v>
      </c>
      <c r="AF234" t="str">
        <f>IF(OR(orders_Q4[[#This Row],[Delivery_time]]&gt;30,orders_Q4[[#This Row],[Delivery_time]]&lt;0),"Invalid_delivery_time","OK")</f>
        <v>OK</v>
      </c>
      <c r="AG234" s="20">
        <f>IF(
   AND(NOT(ISBLANK(orders_Q4[[#This Row],[return_received]])), NOT(ISBLANK(orders_Q4[[#This Row],[Del Date]]))),
   orders_Q4[[#This Row],[return_received]] - orders_Q4[[#This Row],[Del Date]],0)</f>
        <v>0</v>
      </c>
      <c r="AH234" t="str">
        <f>TEXT(orders_Q4[[#This Row],[Order Date]],"mmm-yyyy")</f>
        <v>Dec-2024</v>
      </c>
      <c r="AI234" s="1" t="str">
        <f>TEXT(orders_Q4[[#This Row],[Order Date]],"yyyy") &amp; "-" &amp; WEEKNUM(orders_Q4[[#This Row],[Order Date]])</f>
        <v>2024-49</v>
      </c>
      <c r="AJ234" t="str">
        <f>IF(orders_Q4[[#This Row],[Payment]]="COD","COD","Prepaid")</f>
        <v>COD</v>
      </c>
    </row>
    <row r="235" spans="1:36" x14ac:dyDescent="0.3">
      <c r="A235" t="s">
        <v>1027</v>
      </c>
      <c r="B235" s="1">
        <v>45629</v>
      </c>
      <c r="C235" t="s">
        <v>1028</v>
      </c>
      <c r="D235" t="s">
        <v>25</v>
      </c>
      <c r="E235" t="s">
        <v>1029</v>
      </c>
      <c r="F235" t="s">
        <v>27</v>
      </c>
      <c r="G235" t="s">
        <v>1030</v>
      </c>
      <c r="H235">
        <v>2199</v>
      </c>
      <c r="I235">
        <v>1</v>
      </c>
      <c r="J235">
        <v>2199</v>
      </c>
      <c r="L235">
        <v>0</v>
      </c>
      <c r="M235" t="s">
        <v>64</v>
      </c>
      <c r="N235" t="s">
        <v>65</v>
      </c>
      <c r="O235" t="s">
        <v>1031</v>
      </c>
      <c r="P235" t="s">
        <v>91</v>
      </c>
      <c r="Q235" t="s">
        <v>45</v>
      </c>
      <c r="R235" s="1">
        <v>45638</v>
      </c>
      <c r="S235" t="s">
        <v>33</v>
      </c>
      <c r="T235" t="s">
        <v>46</v>
      </c>
      <c r="U235" t="s">
        <v>47</v>
      </c>
      <c r="V235" s="1">
        <v>45660</v>
      </c>
      <c r="W235" t="s">
        <v>48</v>
      </c>
      <c r="X235" t="str">
        <f>IF(OR(orders_Q4[[#This Row],[Qty]]&gt;5,orders_Q4[[#This Row],[Qty]]&lt;0),"Invalid Quantity","OK")</f>
        <v>OK</v>
      </c>
      <c r="Y235" t="b">
        <f>OR(orders_Q4[[#This Row],[Unit Price]]&gt;20000,orders_Q4[[#This Row],[Unit Price]]&lt;0,orders_Q4[[#This Row],[Unit Price]]=0)</f>
        <v>0</v>
      </c>
      <c r="Z23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35">
        <f>orders_Q4[[#This Row],[Unit Price]] * orders_Q4[[#This Row],[Qty]] * (1 - orders_Q4[[#This Row],[Disc %]]/100)</f>
        <v>2199</v>
      </c>
      <c r="AB235" t="str">
        <f>IF(ABS(orders_Q4[[#This Row],[Total]] - orders_Q4[[#This Row],[Calculated_order_total]]) &gt; 1, "Mismatch", "OK")</f>
        <v>OK</v>
      </c>
      <c r="AC235">
        <f>COUNTIF(C:C,orders_Q4[[#This Row],[Customer ID]])</f>
        <v>1</v>
      </c>
      <c r="AD235" t="str">
        <f>IF(AND(orders_Q4[[#This Row],[Type]]="New",orders_Q4[[#This Row],[Customer_id_count]]&gt;1),"Existing customer","OK")</f>
        <v>OK</v>
      </c>
      <c r="AE235">
        <f>orders_Q4[[#This Row],[Del Date]]-orders_Q4[[#This Row],[Order Date]]</f>
        <v>9</v>
      </c>
      <c r="AF235" t="str">
        <f>IF(OR(orders_Q4[[#This Row],[Delivery_time]]&gt;30,orders_Q4[[#This Row],[Delivery_time]]&lt;0),"Invalid_delivery_time","OK")</f>
        <v>OK</v>
      </c>
      <c r="AG235" s="20">
        <f>IF(
   AND(NOT(ISBLANK(orders_Q4[[#This Row],[return_received]])), NOT(ISBLANK(orders_Q4[[#This Row],[Del Date]]))),
   orders_Q4[[#This Row],[return_received]] - orders_Q4[[#This Row],[Del Date]],0)</f>
        <v>22</v>
      </c>
      <c r="AH235" t="str">
        <f>TEXT(orders_Q4[[#This Row],[Order Date]],"mmm-yyyy")</f>
        <v>Dec-2024</v>
      </c>
      <c r="AI235" s="1" t="str">
        <f>TEXT(orders_Q4[[#This Row],[Order Date]],"yyyy") &amp; "-" &amp; WEEKNUM(orders_Q4[[#This Row],[Order Date]])</f>
        <v>2024-49</v>
      </c>
      <c r="AJ235" t="str">
        <f>IF(orders_Q4[[#This Row],[Payment]]="COD","COD","Prepaid")</f>
        <v>Prepaid</v>
      </c>
    </row>
    <row r="236" spans="1:36" x14ac:dyDescent="0.3">
      <c r="A236" t="s">
        <v>1032</v>
      </c>
      <c r="B236" s="1">
        <v>45629</v>
      </c>
      <c r="C236" t="s">
        <v>1033</v>
      </c>
      <c r="D236" t="s">
        <v>25</v>
      </c>
      <c r="E236" t="s">
        <v>1034</v>
      </c>
      <c r="F236" t="s">
        <v>40</v>
      </c>
      <c r="G236" t="s">
        <v>278</v>
      </c>
      <c r="H236">
        <v>2499</v>
      </c>
      <c r="I236">
        <v>1</v>
      </c>
      <c r="J236">
        <v>2499</v>
      </c>
      <c r="K236" s="2">
        <v>46376</v>
      </c>
      <c r="L236">
        <v>20</v>
      </c>
      <c r="M236" t="s">
        <v>43</v>
      </c>
      <c r="N236" t="s">
        <v>30</v>
      </c>
      <c r="O236" t="s">
        <v>1035</v>
      </c>
      <c r="P236" t="s">
        <v>1036</v>
      </c>
      <c r="Q236" t="s">
        <v>45</v>
      </c>
      <c r="R236" s="1">
        <v>45638</v>
      </c>
      <c r="S236" t="s">
        <v>33</v>
      </c>
      <c r="T236" t="s">
        <v>34</v>
      </c>
      <c r="W236" t="s">
        <v>35</v>
      </c>
      <c r="X236" t="str">
        <f>IF(OR(orders_Q4[[#This Row],[Qty]]&gt;5,orders_Q4[[#This Row],[Qty]]&lt;0),"Invalid Quantity","OK")</f>
        <v>OK</v>
      </c>
      <c r="Y236" t="b">
        <f>OR(orders_Q4[[#This Row],[Unit Price]]&gt;20000,orders_Q4[[#This Row],[Unit Price]]&lt;0,orders_Q4[[#This Row],[Unit Price]]=0)</f>
        <v>0</v>
      </c>
      <c r="Z23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36">
        <f>orders_Q4[[#This Row],[Unit Price]] * orders_Q4[[#This Row],[Qty]] * (1 - orders_Q4[[#This Row],[Disc %]]/100)</f>
        <v>1999.2</v>
      </c>
      <c r="AB236" t="str">
        <f>IF(ABS(orders_Q4[[#This Row],[Total]] - orders_Q4[[#This Row],[Calculated_order_total]]) &gt; 1, "Mismatch", "OK")</f>
        <v>Mismatch</v>
      </c>
      <c r="AC236">
        <f>COUNTIF(C:C,orders_Q4[[#This Row],[Customer ID]])</f>
        <v>1</v>
      </c>
      <c r="AD236" t="str">
        <f>IF(AND(orders_Q4[[#This Row],[Type]]="New",orders_Q4[[#This Row],[Customer_id_count]]&gt;1),"Existing customer","OK")</f>
        <v>OK</v>
      </c>
      <c r="AE236">
        <f>orders_Q4[[#This Row],[Del Date]]-orders_Q4[[#This Row],[Order Date]]</f>
        <v>9</v>
      </c>
      <c r="AF236" t="str">
        <f>IF(OR(orders_Q4[[#This Row],[Delivery_time]]&gt;30,orders_Q4[[#This Row],[Delivery_time]]&lt;0),"Invalid_delivery_time","OK")</f>
        <v>OK</v>
      </c>
      <c r="AG236" s="20">
        <f>IF(
   AND(NOT(ISBLANK(orders_Q4[[#This Row],[return_received]])), NOT(ISBLANK(orders_Q4[[#This Row],[Del Date]]))),
   orders_Q4[[#This Row],[return_received]] - orders_Q4[[#This Row],[Del Date]],0)</f>
        <v>0</v>
      </c>
      <c r="AH236" t="str">
        <f>TEXT(orders_Q4[[#This Row],[Order Date]],"mmm-yyyy")</f>
        <v>Dec-2024</v>
      </c>
      <c r="AI236" s="1" t="str">
        <f>TEXT(orders_Q4[[#This Row],[Order Date]],"yyyy") &amp; "-" &amp; WEEKNUM(orders_Q4[[#This Row],[Order Date]])</f>
        <v>2024-49</v>
      </c>
      <c r="AJ236" t="str">
        <f>IF(orders_Q4[[#This Row],[Payment]]="COD","COD","Prepaid")</f>
        <v>Prepaid</v>
      </c>
    </row>
    <row r="237" spans="1:36" x14ac:dyDescent="0.3">
      <c r="A237" t="s">
        <v>1037</v>
      </c>
      <c r="B237" s="1">
        <v>45629</v>
      </c>
      <c r="C237" t="s">
        <v>1038</v>
      </c>
      <c r="D237" t="s">
        <v>25</v>
      </c>
      <c r="E237" t="s">
        <v>1039</v>
      </c>
      <c r="F237" t="s">
        <v>53</v>
      </c>
      <c r="G237" t="s">
        <v>1040</v>
      </c>
      <c r="H237">
        <v>2999</v>
      </c>
      <c r="I237">
        <v>1</v>
      </c>
      <c r="J237">
        <v>2999</v>
      </c>
      <c r="L237">
        <v>0</v>
      </c>
      <c r="M237" t="s">
        <v>29</v>
      </c>
      <c r="N237" t="s">
        <v>44</v>
      </c>
      <c r="O237" t="s">
        <v>1041</v>
      </c>
      <c r="P237" t="s">
        <v>1042</v>
      </c>
      <c r="Q237" t="s">
        <v>45</v>
      </c>
      <c r="R237" s="1">
        <v>45640</v>
      </c>
      <c r="S237" t="s">
        <v>33</v>
      </c>
      <c r="T237" t="s">
        <v>46</v>
      </c>
      <c r="U237" t="s">
        <v>68</v>
      </c>
      <c r="V237" s="1">
        <v>45662</v>
      </c>
      <c r="W237" t="s">
        <v>48</v>
      </c>
      <c r="X237" t="str">
        <f>IF(OR(orders_Q4[[#This Row],[Qty]]&gt;5,orders_Q4[[#This Row],[Qty]]&lt;0),"Invalid Quantity","OK")</f>
        <v>OK</v>
      </c>
      <c r="Y237" t="b">
        <f>OR(orders_Q4[[#This Row],[Unit Price]]&gt;20000,orders_Q4[[#This Row],[Unit Price]]&lt;0,orders_Q4[[#This Row],[Unit Price]]=0)</f>
        <v>0</v>
      </c>
      <c r="Z23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37">
        <f>orders_Q4[[#This Row],[Unit Price]] * orders_Q4[[#This Row],[Qty]] * (1 - orders_Q4[[#This Row],[Disc %]]/100)</f>
        <v>2999</v>
      </c>
      <c r="AB237" t="str">
        <f>IF(ABS(orders_Q4[[#This Row],[Total]] - orders_Q4[[#This Row],[Calculated_order_total]]) &gt; 1, "Mismatch", "OK")</f>
        <v>OK</v>
      </c>
      <c r="AC237">
        <f>COUNTIF(C:C,orders_Q4[[#This Row],[Customer ID]])</f>
        <v>1</v>
      </c>
      <c r="AD237" t="str">
        <f>IF(AND(orders_Q4[[#This Row],[Type]]="New",orders_Q4[[#This Row],[Customer_id_count]]&gt;1),"Existing customer","OK")</f>
        <v>OK</v>
      </c>
      <c r="AE237">
        <f>orders_Q4[[#This Row],[Del Date]]-orders_Q4[[#This Row],[Order Date]]</f>
        <v>11</v>
      </c>
      <c r="AF237" t="str">
        <f>IF(OR(orders_Q4[[#This Row],[Delivery_time]]&gt;30,orders_Q4[[#This Row],[Delivery_time]]&lt;0),"Invalid_delivery_time","OK")</f>
        <v>OK</v>
      </c>
      <c r="AG237" s="20">
        <f>IF(
   AND(NOT(ISBLANK(orders_Q4[[#This Row],[return_received]])), NOT(ISBLANK(orders_Q4[[#This Row],[Del Date]]))),
   orders_Q4[[#This Row],[return_received]] - orders_Q4[[#This Row],[Del Date]],0)</f>
        <v>22</v>
      </c>
      <c r="AH237" t="str">
        <f>TEXT(orders_Q4[[#This Row],[Order Date]],"mmm-yyyy")</f>
        <v>Dec-2024</v>
      </c>
      <c r="AI237" s="1" t="str">
        <f>TEXT(orders_Q4[[#This Row],[Order Date]],"yyyy") &amp; "-" &amp; WEEKNUM(orders_Q4[[#This Row],[Order Date]])</f>
        <v>2024-49</v>
      </c>
      <c r="AJ237" t="str">
        <f>IF(orders_Q4[[#This Row],[Payment]]="COD","COD","Prepaid")</f>
        <v>Prepaid</v>
      </c>
    </row>
    <row r="238" spans="1:36" x14ac:dyDescent="0.3">
      <c r="A238" t="s">
        <v>1043</v>
      </c>
      <c r="B238" s="1">
        <v>45629</v>
      </c>
      <c r="C238" t="s">
        <v>1044</v>
      </c>
      <c r="D238" t="s">
        <v>25</v>
      </c>
      <c r="E238" t="s">
        <v>1045</v>
      </c>
      <c r="F238" t="s">
        <v>61</v>
      </c>
      <c r="G238" t="s">
        <v>1046</v>
      </c>
      <c r="H238">
        <v>7999</v>
      </c>
      <c r="I238">
        <v>1</v>
      </c>
      <c r="J238">
        <v>7999</v>
      </c>
      <c r="K238" s="2">
        <v>46376</v>
      </c>
      <c r="L238">
        <v>20</v>
      </c>
      <c r="M238" t="s">
        <v>111</v>
      </c>
      <c r="N238" t="s">
        <v>65</v>
      </c>
      <c r="O238" t="s">
        <v>1047</v>
      </c>
      <c r="P238" t="s">
        <v>1048</v>
      </c>
      <c r="Q238" t="s">
        <v>45</v>
      </c>
      <c r="R238" s="1">
        <v>45640</v>
      </c>
      <c r="S238" t="s">
        <v>33</v>
      </c>
      <c r="T238" t="s">
        <v>34</v>
      </c>
      <c r="W238" t="s">
        <v>35</v>
      </c>
      <c r="X238" t="str">
        <f>IF(OR(orders_Q4[[#This Row],[Qty]]&gt;5,orders_Q4[[#This Row],[Qty]]&lt;0),"Invalid Quantity","OK")</f>
        <v>OK</v>
      </c>
      <c r="Y238" t="b">
        <f>OR(orders_Q4[[#This Row],[Unit Price]]&gt;20000,orders_Q4[[#This Row],[Unit Price]]&lt;0,orders_Q4[[#This Row],[Unit Price]]=0)</f>
        <v>0</v>
      </c>
      <c r="Z23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38">
        <f>orders_Q4[[#This Row],[Unit Price]] * orders_Q4[[#This Row],[Qty]] * (1 - orders_Q4[[#This Row],[Disc %]]/100)</f>
        <v>6399.2000000000007</v>
      </c>
      <c r="AB238" t="str">
        <f>IF(ABS(orders_Q4[[#This Row],[Total]] - orders_Q4[[#This Row],[Calculated_order_total]]) &gt; 1, "Mismatch", "OK")</f>
        <v>Mismatch</v>
      </c>
      <c r="AC238">
        <f>COUNTIF(C:C,orders_Q4[[#This Row],[Customer ID]])</f>
        <v>1</v>
      </c>
      <c r="AD238" t="str">
        <f>IF(AND(orders_Q4[[#This Row],[Type]]="New",orders_Q4[[#This Row],[Customer_id_count]]&gt;1),"Existing customer","OK")</f>
        <v>OK</v>
      </c>
      <c r="AE238">
        <f>orders_Q4[[#This Row],[Del Date]]-orders_Q4[[#This Row],[Order Date]]</f>
        <v>11</v>
      </c>
      <c r="AF238" t="str">
        <f>IF(OR(orders_Q4[[#This Row],[Delivery_time]]&gt;30,orders_Q4[[#This Row],[Delivery_time]]&lt;0),"Invalid_delivery_time","OK")</f>
        <v>OK</v>
      </c>
      <c r="AG238" s="20">
        <f>IF(
   AND(NOT(ISBLANK(orders_Q4[[#This Row],[return_received]])), NOT(ISBLANK(orders_Q4[[#This Row],[Del Date]]))),
   orders_Q4[[#This Row],[return_received]] - orders_Q4[[#This Row],[Del Date]],0)</f>
        <v>0</v>
      </c>
      <c r="AH238" t="str">
        <f>TEXT(orders_Q4[[#This Row],[Order Date]],"mmm-yyyy")</f>
        <v>Dec-2024</v>
      </c>
      <c r="AI238" s="1" t="str">
        <f>TEXT(orders_Q4[[#This Row],[Order Date]],"yyyy") &amp; "-" &amp; WEEKNUM(orders_Q4[[#This Row],[Order Date]])</f>
        <v>2024-49</v>
      </c>
      <c r="AJ238" t="str">
        <f>IF(orders_Q4[[#This Row],[Payment]]="COD","COD","Prepaid")</f>
        <v>Prepaid</v>
      </c>
    </row>
    <row r="239" spans="1:36" x14ac:dyDescent="0.3">
      <c r="A239" t="s">
        <v>1049</v>
      </c>
      <c r="B239" s="1">
        <v>45630</v>
      </c>
      <c r="C239" t="s">
        <v>1050</v>
      </c>
      <c r="D239" t="s">
        <v>38</v>
      </c>
      <c r="E239" t="s">
        <v>1051</v>
      </c>
      <c r="F239" t="s">
        <v>27</v>
      </c>
      <c r="G239" t="s">
        <v>1052</v>
      </c>
      <c r="H239">
        <v>1999</v>
      </c>
      <c r="I239">
        <v>1</v>
      </c>
      <c r="J239">
        <v>1999</v>
      </c>
      <c r="L239">
        <v>0</v>
      </c>
      <c r="M239" t="s">
        <v>43</v>
      </c>
      <c r="N239" t="s">
        <v>30</v>
      </c>
      <c r="O239" t="s">
        <v>1053</v>
      </c>
      <c r="P239" t="s">
        <v>67</v>
      </c>
      <c r="Q239" t="s">
        <v>56</v>
      </c>
      <c r="R239" s="1">
        <v>45639</v>
      </c>
      <c r="S239" t="s">
        <v>33</v>
      </c>
      <c r="T239" t="s">
        <v>34</v>
      </c>
      <c r="W239" t="s">
        <v>35</v>
      </c>
      <c r="X239" t="str">
        <f>IF(OR(orders_Q4[[#This Row],[Qty]]&gt;5,orders_Q4[[#This Row],[Qty]]&lt;0),"Invalid Quantity","OK")</f>
        <v>OK</v>
      </c>
      <c r="Y239" t="b">
        <f>OR(orders_Q4[[#This Row],[Unit Price]]&gt;20000,orders_Q4[[#This Row],[Unit Price]]&lt;0,orders_Q4[[#This Row],[Unit Price]]=0)</f>
        <v>0</v>
      </c>
      <c r="Z23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39">
        <f>orders_Q4[[#This Row],[Unit Price]] * orders_Q4[[#This Row],[Qty]] * (1 - orders_Q4[[#This Row],[Disc %]]/100)</f>
        <v>1999</v>
      </c>
      <c r="AB239" t="str">
        <f>IF(ABS(orders_Q4[[#This Row],[Total]] - orders_Q4[[#This Row],[Calculated_order_total]]) &gt; 1, "Mismatch", "OK")</f>
        <v>OK</v>
      </c>
      <c r="AC239">
        <f>COUNTIF(C:C,orders_Q4[[#This Row],[Customer ID]])</f>
        <v>1</v>
      </c>
      <c r="AD239" t="str">
        <f>IF(AND(orders_Q4[[#This Row],[Type]]="New",orders_Q4[[#This Row],[Customer_id_count]]&gt;1),"Existing customer","OK")</f>
        <v>OK</v>
      </c>
      <c r="AE239">
        <f>orders_Q4[[#This Row],[Del Date]]-orders_Q4[[#This Row],[Order Date]]</f>
        <v>9</v>
      </c>
      <c r="AF239" t="str">
        <f>IF(OR(orders_Q4[[#This Row],[Delivery_time]]&gt;30,orders_Q4[[#This Row],[Delivery_time]]&lt;0),"Invalid_delivery_time","OK")</f>
        <v>OK</v>
      </c>
      <c r="AG239" s="20">
        <f>IF(
   AND(NOT(ISBLANK(orders_Q4[[#This Row],[return_received]])), NOT(ISBLANK(orders_Q4[[#This Row],[Del Date]]))),
   orders_Q4[[#This Row],[return_received]] - orders_Q4[[#This Row],[Del Date]],0)</f>
        <v>0</v>
      </c>
      <c r="AH239" t="str">
        <f>TEXT(orders_Q4[[#This Row],[Order Date]],"mmm-yyyy")</f>
        <v>Dec-2024</v>
      </c>
      <c r="AI239" s="1" t="str">
        <f>TEXT(orders_Q4[[#This Row],[Order Date]],"yyyy") &amp; "-" &amp; WEEKNUM(orders_Q4[[#This Row],[Order Date]])</f>
        <v>2024-49</v>
      </c>
      <c r="AJ239" t="str">
        <f>IF(orders_Q4[[#This Row],[Payment]]="COD","COD","Prepaid")</f>
        <v>Prepaid</v>
      </c>
    </row>
    <row r="240" spans="1:36" x14ac:dyDescent="0.3">
      <c r="A240" t="s">
        <v>1054</v>
      </c>
      <c r="B240" s="1">
        <v>45630</v>
      </c>
      <c r="C240" t="s">
        <v>1055</v>
      </c>
      <c r="D240" t="s">
        <v>25</v>
      </c>
      <c r="E240" t="s">
        <v>1056</v>
      </c>
      <c r="F240" t="s">
        <v>71</v>
      </c>
      <c r="G240" t="s">
        <v>1057</v>
      </c>
      <c r="H240">
        <v>499</v>
      </c>
      <c r="I240">
        <v>2</v>
      </c>
      <c r="J240">
        <v>998</v>
      </c>
      <c r="K240" s="2">
        <v>46376</v>
      </c>
      <c r="L240">
        <v>20</v>
      </c>
      <c r="M240" t="s">
        <v>55</v>
      </c>
      <c r="N240" t="s">
        <v>44</v>
      </c>
      <c r="O240" t="s">
        <v>1058</v>
      </c>
      <c r="P240" t="s">
        <v>183</v>
      </c>
      <c r="Q240" t="s">
        <v>56</v>
      </c>
      <c r="R240" s="1">
        <v>45639</v>
      </c>
      <c r="S240" t="s">
        <v>33</v>
      </c>
      <c r="T240" t="s">
        <v>34</v>
      </c>
      <c r="W240" t="s">
        <v>35</v>
      </c>
      <c r="X240" t="str">
        <f>IF(OR(orders_Q4[[#This Row],[Qty]]&gt;5,orders_Q4[[#This Row],[Qty]]&lt;0),"Invalid Quantity","OK")</f>
        <v>OK</v>
      </c>
      <c r="Y240" t="b">
        <f>OR(orders_Q4[[#This Row],[Unit Price]]&gt;20000,orders_Q4[[#This Row],[Unit Price]]&lt;0,orders_Q4[[#This Row],[Unit Price]]=0)</f>
        <v>0</v>
      </c>
      <c r="Z24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40">
        <f>orders_Q4[[#This Row],[Unit Price]] * orders_Q4[[#This Row],[Qty]] * (1 - orders_Q4[[#This Row],[Disc %]]/100)</f>
        <v>798.40000000000009</v>
      </c>
      <c r="AB240" t="str">
        <f>IF(ABS(orders_Q4[[#This Row],[Total]] - orders_Q4[[#This Row],[Calculated_order_total]]) &gt; 1, "Mismatch", "OK")</f>
        <v>Mismatch</v>
      </c>
      <c r="AC240">
        <f>COUNTIF(C:C,orders_Q4[[#This Row],[Customer ID]])</f>
        <v>1</v>
      </c>
      <c r="AD240" t="str">
        <f>IF(AND(orders_Q4[[#This Row],[Type]]="New",orders_Q4[[#This Row],[Customer_id_count]]&gt;1),"Existing customer","OK")</f>
        <v>OK</v>
      </c>
      <c r="AE240">
        <f>orders_Q4[[#This Row],[Del Date]]-orders_Q4[[#This Row],[Order Date]]</f>
        <v>9</v>
      </c>
      <c r="AF240" t="str">
        <f>IF(OR(orders_Q4[[#This Row],[Delivery_time]]&gt;30,orders_Q4[[#This Row],[Delivery_time]]&lt;0),"Invalid_delivery_time","OK")</f>
        <v>OK</v>
      </c>
      <c r="AG240" s="20">
        <f>IF(
   AND(NOT(ISBLANK(orders_Q4[[#This Row],[return_received]])), NOT(ISBLANK(orders_Q4[[#This Row],[Del Date]]))),
   orders_Q4[[#This Row],[return_received]] - orders_Q4[[#This Row],[Del Date]],0)</f>
        <v>0</v>
      </c>
      <c r="AH240" t="str">
        <f>TEXT(orders_Q4[[#This Row],[Order Date]],"mmm-yyyy")</f>
        <v>Dec-2024</v>
      </c>
      <c r="AI240" s="1" t="str">
        <f>TEXT(orders_Q4[[#This Row],[Order Date]],"yyyy") &amp; "-" &amp; WEEKNUM(orders_Q4[[#This Row],[Order Date]])</f>
        <v>2024-49</v>
      </c>
      <c r="AJ240" t="str">
        <f>IF(orders_Q4[[#This Row],[Payment]]="COD","COD","Prepaid")</f>
        <v>COD</v>
      </c>
    </row>
    <row r="241" spans="1:36" x14ac:dyDescent="0.3">
      <c r="A241" t="s">
        <v>1059</v>
      </c>
      <c r="B241" s="1">
        <v>45630</v>
      </c>
      <c r="C241" t="s">
        <v>1060</v>
      </c>
      <c r="D241" t="s">
        <v>25</v>
      </c>
      <c r="E241" t="s">
        <v>1061</v>
      </c>
      <c r="F241" t="s">
        <v>40</v>
      </c>
      <c r="G241" t="s">
        <v>1062</v>
      </c>
      <c r="H241">
        <v>4999</v>
      </c>
      <c r="I241">
        <v>1</v>
      </c>
      <c r="J241">
        <v>4999</v>
      </c>
      <c r="L241">
        <v>0</v>
      </c>
      <c r="M241" t="s">
        <v>64</v>
      </c>
      <c r="N241" t="s">
        <v>65</v>
      </c>
      <c r="O241" t="s">
        <v>1063</v>
      </c>
      <c r="P241" t="s">
        <v>1063</v>
      </c>
      <c r="Q241" t="s">
        <v>31</v>
      </c>
      <c r="R241" s="1">
        <v>45640</v>
      </c>
      <c r="S241" t="s">
        <v>33</v>
      </c>
      <c r="T241" t="s">
        <v>46</v>
      </c>
      <c r="U241" t="s">
        <v>47</v>
      </c>
      <c r="V241" s="1">
        <v>45663</v>
      </c>
      <c r="W241" t="s">
        <v>48</v>
      </c>
      <c r="X241" t="str">
        <f>IF(OR(orders_Q4[[#This Row],[Qty]]&gt;5,orders_Q4[[#This Row],[Qty]]&lt;0),"Invalid Quantity","OK")</f>
        <v>OK</v>
      </c>
      <c r="Y241" t="b">
        <f>OR(orders_Q4[[#This Row],[Unit Price]]&gt;20000,orders_Q4[[#This Row],[Unit Price]]&lt;0,orders_Q4[[#This Row],[Unit Price]]=0)</f>
        <v>0</v>
      </c>
      <c r="Z24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41">
        <f>orders_Q4[[#This Row],[Unit Price]] * orders_Q4[[#This Row],[Qty]] * (1 - orders_Q4[[#This Row],[Disc %]]/100)</f>
        <v>4999</v>
      </c>
      <c r="AB241" t="str">
        <f>IF(ABS(orders_Q4[[#This Row],[Total]] - orders_Q4[[#This Row],[Calculated_order_total]]) &gt; 1, "Mismatch", "OK")</f>
        <v>OK</v>
      </c>
      <c r="AC241">
        <f>COUNTIF(C:C,orders_Q4[[#This Row],[Customer ID]])</f>
        <v>1</v>
      </c>
      <c r="AD241" t="str">
        <f>IF(AND(orders_Q4[[#This Row],[Type]]="New",orders_Q4[[#This Row],[Customer_id_count]]&gt;1),"Existing customer","OK")</f>
        <v>OK</v>
      </c>
      <c r="AE241">
        <f>orders_Q4[[#This Row],[Del Date]]-orders_Q4[[#This Row],[Order Date]]</f>
        <v>10</v>
      </c>
      <c r="AF241" t="str">
        <f>IF(OR(orders_Q4[[#This Row],[Delivery_time]]&gt;30,orders_Q4[[#This Row],[Delivery_time]]&lt;0),"Invalid_delivery_time","OK")</f>
        <v>OK</v>
      </c>
      <c r="AG241" s="20">
        <f>IF(
   AND(NOT(ISBLANK(orders_Q4[[#This Row],[return_received]])), NOT(ISBLANK(orders_Q4[[#This Row],[Del Date]]))),
   orders_Q4[[#This Row],[return_received]] - orders_Q4[[#This Row],[Del Date]],0)</f>
        <v>23</v>
      </c>
      <c r="AH241" t="str">
        <f>TEXT(orders_Q4[[#This Row],[Order Date]],"mmm-yyyy")</f>
        <v>Dec-2024</v>
      </c>
      <c r="AI241" s="1" t="str">
        <f>TEXT(orders_Q4[[#This Row],[Order Date]],"yyyy") &amp; "-" &amp; WEEKNUM(orders_Q4[[#This Row],[Order Date]])</f>
        <v>2024-49</v>
      </c>
      <c r="AJ241" t="str">
        <f>IF(orders_Q4[[#This Row],[Payment]]="COD","COD","Prepaid")</f>
        <v>Prepaid</v>
      </c>
    </row>
    <row r="242" spans="1:36" x14ac:dyDescent="0.3">
      <c r="A242" t="s">
        <v>1064</v>
      </c>
      <c r="B242" s="1">
        <v>45630</v>
      </c>
      <c r="C242" t="s">
        <v>1065</v>
      </c>
      <c r="D242" t="s">
        <v>25</v>
      </c>
      <c r="E242" t="s">
        <v>1066</v>
      </c>
      <c r="F242" t="s">
        <v>27</v>
      </c>
      <c r="G242" t="s">
        <v>1067</v>
      </c>
      <c r="H242">
        <v>2299</v>
      </c>
      <c r="I242">
        <v>1</v>
      </c>
      <c r="J242">
        <v>2299</v>
      </c>
      <c r="K242" s="2">
        <v>46376</v>
      </c>
      <c r="L242">
        <v>20</v>
      </c>
      <c r="M242" t="s">
        <v>29</v>
      </c>
      <c r="N242" t="s">
        <v>30</v>
      </c>
      <c r="O242" t="s">
        <v>31</v>
      </c>
      <c r="P242" t="s">
        <v>32</v>
      </c>
      <c r="Q242" t="s">
        <v>31</v>
      </c>
      <c r="R242" s="1">
        <v>45639</v>
      </c>
      <c r="S242" t="s">
        <v>33</v>
      </c>
      <c r="T242" t="s">
        <v>34</v>
      </c>
      <c r="W242" t="s">
        <v>35</v>
      </c>
      <c r="X242" t="str">
        <f>IF(OR(orders_Q4[[#This Row],[Qty]]&gt;5,orders_Q4[[#This Row],[Qty]]&lt;0),"Invalid Quantity","OK")</f>
        <v>OK</v>
      </c>
      <c r="Y242" t="b">
        <f>OR(orders_Q4[[#This Row],[Unit Price]]&gt;20000,orders_Q4[[#This Row],[Unit Price]]&lt;0,orders_Q4[[#This Row],[Unit Price]]=0)</f>
        <v>0</v>
      </c>
      <c r="Z24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42">
        <f>orders_Q4[[#This Row],[Unit Price]] * orders_Q4[[#This Row],[Qty]] * (1 - orders_Q4[[#This Row],[Disc %]]/100)</f>
        <v>1839.2</v>
      </c>
      <c r="AB242" t="str">
        <f>IF(ABS(orders_Q4[[#This Row],[Total]] - orders_Q4[[#This Row],[Calculated_order_total]]) &gt; 1, "Mismatch", "OK")</f>
        <v>Mismatch</v>
      </c>
      <c r="AC242">
        <f>COUNTIF(C:C,orders_Q4[[#This Row],[Customer ID]])</f>
        <v>1</v>
      </c>
      <c r="AD242" t="str">
        <f>IF(AND(orders_Q4[[#This Row],[Type]]="New",orders_Q4[[#This Row],[Customer_id_count]]&gt;1),"Existing customer","OK")</f>
        <v>OK</v>
      </c>
      <c r="AE242">
        <f>orders_Q4[[#This Row],[Del Date]]-orders_Q4[[#This Row],[Order Date]]</f>
        <v>9</v>
      </c>
      <c r="AF242" t="str">
        <f>IF(OR(orders_Q4[[#This Row],[Delivery_time]]&gt;30,orders_Q4[[#This Row],[Delivery_time]]&lt;0),"Invalid_delivery_time","OK")</f>
        <v>OK</v>
      </c>
      <c r="AG242" s="20">
        <f>IF(
   AND(NOT(ISBLANK(orders_Q4[[#This Row],[return_received]])), NOT(ISBLANK(orders_Q4[[#This Row],[Del Date]]))),
   orders_Q4[[#This Row],[return_received]] - orders_Q4[[#This Row],[Del Date]],0)</f>
        <v>0</v>
      </c>
      <c r="AH242" t="str">
        <f>TEXT(orders_Q4[[#This Row],[Order Date]],"mmm-yyyy")</f>
        <v>Dec-2024</v>
      </c>
      <c r="AI242" s="1" t="str">
        <f>TEXT(orders_Q4[[#This Row],[Order Date]],"yyyy") &amp; "-" &amp; WEEKNUM(orders_Q4[[#This Row],[Order Date]])</f>
        <v>2024-49</v>
      </c>
      <c r="AJ242" t="str">
        <f>IF(orders_Q4[[#This Row],[Payment]]="COD","COD","Prepaid")</f>
        <v>Prepaid</v>
      </c>
    </row>
    <row r="243" spans="1:36" x14ac:dyDescent="0.3">
      <c r="A243" t="s">
        <v>1068</v>
      </c>
      <c r="B243" s="1">
        <v>45631</v>
      </c>
      <c r="C243" t="s">
        <v>1069</v>
      </c>
      <c r="D243" t="s">
        <v>25</v>
      </c>
      <c r="E243" t="s">
        <v>1070</v>
      </c>
      <c r="F243" t="s">
        <v>53</v>
      </c>
      <c r="G243" t="s">
        <v>781</v>
      </c>
      <c r="H243">
        <v>2599</v>
      </c>
      <c r="I243">
        <v>1</v>
      </c>
      <c r="J243">
        <v>2599</v>
      </c>
      <c r="L243">
        <v>0</v>
      </c>
      <c r="M243" t="s">
        <v>43</v>
      </c>
      <c r="N243" t="s">
        <v>44</v>
      </c>
      <c r="O243" t="s">
        <v>56</v>
      </c>
      <c r="P243" t="s">
        <v>57</v>
      </c>
      <c r="Q243" t="s">
        <v>56</v>
      </c>
      <c r="R243" s="1">
        <v>45641</v>
      </c>
      <c r="S243" t="s">
        <v>33</v>
      </c>
      <c r="T243" t="s">
        <v>46</v>
      </c>
      <c r="U243" t="s">
        <v>79</v>
      </c>
      <c r="V243" s="1">
        <v>45665</v>
      </c>
      <c r="W243" t="s">
        <v>48</v>
      </c>
      <c r="X243" t="str">
        <f>IF(OR(orders_Q4[[#This Row],[Qty]]&gt;5,orders_Q4[[#This Row],[Qty]]&lt;0),"Invalid Quantity","OK")</f>
        <v>OK</v>
      </c>
      <c r="Y243" t="b">
        <f>OR(orders_Q4[[#This Row],[Unit Price]]&gt;20000,orders_Q4[[#This Row],[Unit Price]]&lt;0,orders_Q4[[#This Row],[Unit Price]]=0)</f>
        <v>0</v>
      </c>
      <c r="Z24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43">
        <f>orders_Q4[[#This Row],[Unit Price]] * orders_Q4[[#This Row],[Qty]] * (1 - orders_Q4[[#This Row],[Disc %]]/100)</f>
        <v>2599</v>
      </c>
      <c r="AB243" t="str">
        <f>IF(ABS(orders_Q4[[#This Row],[Total]] - orders_Q4[[#This Row],[Calculated_order_total]]) &gt; 1, "Mismatch", "OK")</f>
        <v>OK</v>
      </c>
      <c r="AC243">
        <f>COUNTIF(C:C,orders_Q4[[#This Row],[Customer ID]])</f>
        <v>1</v>
      </c>
      <c r="AD243" t="str">
        <f>IF(AND(orders_Q4[[#This Row],[Type]]="New",orders_Q4[[#This Row],[Customer_id_count]]&gt;1),"Existing customer","OK")</f>
        <v>OK</v>
      </c>
      <c r="AE243">
        <f>orders_Q4[[#This Row],[Del Date]]-orders_Q4[[#This Row],[Order Date]]</f>
        <v>10</v>
      </c>
      <c r="AF243" t="str">
        <f>IF(OR(orders_Q4[[#This Row],[Delivery_time]]&gt;30,orders_Q4[[#This Row],[Delivery_time]]&lt;0),"Invalid_delivery_time","OK")</f>
        <v>OK</v>
      </c>
      <c r="AG243" s="20">
        <f>IF(
   AND(NOT(ISBLANK(orders_Q4[[#This Row],[return_received]])), NOT(ISBLANK(orders_Q4[[#This Row],[Del Date]]))),
   orders_Q4[[#This Row],[return_received]] - orders_Q4[[#This Row],[Del Date]],0)</f>
        <v>24</v>
      </c>
      <c r="AH243" t="str">
        <f>TEXT(orders_Q4[[#This Row],[Order Date]],"mmm-yyyy")</f>
        <v>Dec-2024</v>
      </c>
      <c r="AI243" s="1" t="str">
        <f>TEXT(orders_Q4[[#This Row],[Order Date]],"yyyy") &amp; "-" &amp; WEEKNUM(orders_Q4[[#This Row],[Order Date]])</f>
        <v>2024-49</v>
      </c>
      <c r="AJ243" t="str">
        <f>IF(orders_Q4[[#This Row],[Payment]]="COD","COD","Prepaid")</f>
        <v>Prepaid</v>
      </c>
    </row>
    <row r="244" spans="1:36" x14ac:dyDescent="0.3">
      <c r="A244" t="s">
        <v>1071</v>
      </c>
      <c r="B244" s="1">
        <v>45631</v>
      </c>
      <c r="C244" t="s">
        <v>1072</v>
      </c>
      <c r="D244" t="s">
        <v>38</v>
      </c>
      <c r="E244" t="s">
        <v>1073</v>
      </c>
      <c r="F244" t="s">
        <v>61</v>
      </c>
      <c r="G244" t="s">
        <v>1074</v>
      </c>
      <c r="H244">
        <v>8999</v>
      </c>
      <c r="I244">
        <v>1</v>
      </c>
      <c r="J244">
        <v>8999</v>
      </c>
      <c r="K244" s="2">
        <v>46376</v>
      </c>
      <c r="L244">
        <v>20</v>
      </c>
      <c r="M244" t="s">
        <v>111</v>
      </c>
      <c r="N244" t="s">
        <v>65</v>
      </c>
      <c r="O244" t="s">
        <v>45</v>
      </c>
      <c r="P244" t="s">
        <v>45</v>
      </c>
      <c r="Q244" t="s">
        <v>45</v>
      </c>
      <c r="R244" s="1">
        <v>45643</v>
      </c>
      <c r="S244" t="s">
        <v>33</v>
      </c>
      <c r="T244" t="s">
        <v>46</v>
      </c>
      <c r="U244" t="s">
        <v>47</v>
      </c>
      <c r="V244" s="1">
        <v>45667</v>
      </c>
      <c r="W244" t="s">
        <v>105</v>
      </c>
      <c r="X244" t="str">
        <f>IF(OR(orders_Q4[[#This Row],[Qty]]&gt;5,orders_Q4[[#This Row],[Qty]]&lt;0),"Invalid Quantity","OK")</f>
        <v>OK</v>
      </c>
      <c r="Y244" t="b">
        <f>OR(orders_Q4[[#This Row],[Unit Price]]&gt;20000,orders_Q4[[#This Row],[Unit Price]]&lt;0,orders_Q4[[#This Row],[Unit Price]]=0)</f>
        <v>0</v>
      </c>
      <c r="Z24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44">
        <f>orders_Q4[[#This Row],[Unit Price]] * orders_Q4[[#This Row],[Qty]] * (1 - orders_Q4[[#This Row],[Disc %]]/100)</f>
        <v>7199.2000000000007</v>
      </c>
      <c r="AB244" t="str">
        <f>IF(ABS(orders_Q4[[#This Row],[Total]] - orders_Q4[[#This Row],[Calculated_order_total]]) &gt; 1, "Mismatch", "OK")</f>
        <v>Mismatch</v>
      </c>
      <c r="AC244">
        <f>COUNTIF(C:C,orders_Q4[[#This Row],[Customer ID]])</f>
        <v>1</v>
      </c>
      <c r="AD244" t="str">
        <f>IF(AND(orders_Q4[[#This Row],[Type]]="New",orders_Q4[[#This Row],[Customer_id_count]]&gt;1),"Existing customer","OK")</f>
        <v>OK</v>
      </c>
      <c r="AE244">
        <f>orders_Q4[[#This Row],[Del Date]]-orders_Q4[[#This Row],[Order Date]]</f>
        <v>12</v>
      </c>
      <c r="AF244" t="str">
        <f>IF(OR(orders_Q4[[#This Row],[Delivery_time]]&gt;30,orders_Q4[[#This Row],[Delivery_time]]&lt;0),"Invalid_delivery_time","OK")</f>
        <v>OK</v>
      </c>
      <c r="AG244" s="20">
        <f>IF(
   AND(NOT(ISBLANK(orders_Q4[[#This Row],[return_received]])), NOT(ISBLANK(orders_Q4[[#This Row],[Del Date]]))),
   orders_Q4[[#This Row],[return_received]] - orders_Q4[[#This Row],[Del Date]],0)</f>
        <v>24</v>
      </c>
      <c r="AH244" t="str">
        <f>TEXT(orders_Q4[[#This Row],[Order Date]],"mmm-yyyy")</f>
        <v>Dec-2024</v>
      </c>
      <c r="AI244" s="1" t="str">
        <f>TEXT(orders_Q4[[#This Row],[Order Date]],"yyyy") &amp; "-" &amp; WEEKNUM(orders_Q4[[#This Row],[Order Date]])</f>
        <v>2024-49</v>
      </c>
      <c r="AJ244" t="str">
        <f>IF(orders_Q4[[#This Row],[Payment]]="COD","COD","Prepaid")</f>
        <v>Prepaid</v>
      </c>
    </row>
    <row r="245" spans="1:36" x14ac:dyDescent="0.3">
      <c r="A245" t="s">
        <v>1075</v>
      </c>
      <c r="B245" s="1">
        <v>45631</v>
      </c>
      <c r="C245" t="s">
        <v>1076</v>
      </c>
      <c r="D245" t="s">
        <v>25</v>
      </c>
      <c r="E245" t="s">
        <v>369</v>
      </c>
      <c r="F245" t="s">
        <v>71</v>
      </c>
      <c r="G245" t="s">
        <v>1077</v>
      </c>
      <c r="H245">
        <v>1799</v>
      </c>
      <c r="I245">
        <v>1</v>
      </c>
      <c r="J245">
        <v>1799</v>
      </c>
      <c r="L245">
        <v>0</v>
      </c>
      <c r="M245" t="s">
        <v>29</v>
      </c>
      <c r="N245" t="s">
        <v>30</v>
      </c>
      <c r="O245" t="s">
        <v>77</v>
      </c>
      <c r="P245" t="s">
        <v>78</v>
      </c>
      <c r="Q245" t="s">
        <v>56</v>
      </c>
      <c r="R245" s="1">
        <v>45642</v>
      </c>
      <c r="S245" t="s">
        <v>33</v>
      </c>
      <c r="T245" t="s">
        <v>34</v>
      </c>
      <c r="W245" t="s">
        <v>35</v>
      </c>
      <c r="X245" t="str">
        <f>IF(OR(orders_Q4[[#This Row],[Qty]]&gt;5,orders_Q4[[#This Row],[Qty]]&lt;0),"Invalid Quantity","OK")</f>
        <v>OK</v>
      </c>
      <c r="Y245" t="b">
        <f>OR(orders_Q4[[#This Row],[Unit Price]]&gt;20000,orders_Q4[[#This Row],[Unit Price]]&lt;0,orders_Q4[[#This Row],[Unit Price]]=0)</f>
        <v>0</v>
      </c>
      <c r="Z24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45">
        <f>orders_Q4[[#This Row],[Unit Price]] * orders_Q4[[#This Row],[Qty]] * (1 - orders_Q4[[#This Row],[Disc %]]/100)</f>
        <v>1799</v>
      </c>
      <c r="AB245" t="str">
        <f>IF(ABS(orders_Q4[[#This Row],[Total]] - orders_Q4[[#This Row],[Calculated_order_total]]) &gt; 1, "Mismatch", "OK")</f>
        <v>OK</v>
      </c>
      <c r="AC245">
        <f>COUNTIF(C:C,orders_Q4[[#This Row],[Customer ID]])</f>
        <v>1</v>
      </c>
      <c r="AD245" t="str">
        <f>IF(AND(orders_Q4[[#This Row],[Type]]="New",orders_Q4[[#This Row],[Customer_id_count]]&gt;1),"Existing customer","OK")</f>
        <v>OK</v>
      </c>
      <c r="AE245">
        <f>orders_Q4[[#This Row],[Del Date]]-orders_Q4[[#This Row],[Order Date]]</f>
        <v>11</v>
      </c>
      <c r="AF245" t="str">
        <f>IF(OR(orders_Q4[[#This Row],[Delivery_time]]&gt;30,orders_Q4[[#This Row],[Delivery_time]]&lt;0),"Invalid_delivery_time","OK")</f>
        <v>OK</v>
      </c>
      <c r="AG245" s="20">
        <f>IF(
   AND(NOT(ISBLANK(orders_Q4[[#This Row],[return_received]])), NOT(ISBLANK(orders_Q4[[#This Row],[Del Date]]))),
   orders_Q4[[#This Row],[return_received]] - orders_Q4[[#This Row],[Del Date]],0)</f>
        <v>0</v>
      </c>
      <c r="AH245" t="str">
        <f>TEXT(orders_Q4[[#This Row],[Order Date]],"mmm-yyyy")</f>
        <v>Dec-2024</v>
      </c>
      <c r="AI245" s="1" t="str">
        <f>TEXT(orders_Q4[[#This Row],[Order Date]],"yyyy") &amp; "-" &amp; WEEKNUM(orders_Q4[[#This Row],[Order Date]])</f>
        <v>2024-49</v>
      </c>
      <c r="AJ245" t="str">
        <f>IF(orders_Q4[[#This Row],[Payment]]="COD","COD","Prepaid")</f>
        <v>Prepaid</v>
      </c>
    </row>
    <row r="246" spans="1:36" x14ac:dyDescent="0.3">
      <c r="A246" t="s">
        <v>1078</v>
      </c>
      <c r="B246" s="1">
        <v>45631</v>
      </c>
      <c r="C246" t="s">
        <v>1079</v>
      </c>
      <c r="D246" t="s">
        <v>25</v>
      </c>
      <c r="E246" t="s">
        <v>1080</v>
      </c>
      <c r="F246" t="s">
        <v>27</v>
      </c>
      <c r="G246" t="s">
        <v>1081</v>
      </c>
      <c r="H246">
        <v>2199</v>
      </c>
      <c r="I246">
        <v>1</v>
      </c>
      <c r="J246">
        <v>2199</v>
      </c>
      <c r="L246">
        <v>0</v>
      </c>
      <c r="M246" t="s">
        <v>64</v>
      </c>
      <c r="N246" t="s">
        <v>44</v>
      </c>
      <c r="O246" t="s">
        <v>66</v>
      </c>
      <c r="P246" t="s">
        <v>67</v>
      </c>
      <c r="Q246" t="s">
        <v>56</v>
      </c>
      <c r="R246" s="1">
        <v>45642</v>
      </c>
      <c r="S246" t="s">
        <v>33</v>
      </c>
      <c r="T246" t="s">
        <v>34</v>
      </c>
      <c r="W246" t="s">
        <v>35</v>
      </c>
      <c r="X246" t="str">
        <f>IF(OR(orders_Q4[[#This Row],[Qty]]&gt;5,orders_Q4[[#This Row],[Qty]]&lt;0),"Invalid Quantity","OK")</f>
        <v>OK</v>
      </c>
      <c r="Y246" t="b">
        <f>OR(orders_Q4[[#This Row],[Unit Price]]&gt;20000,orders_Q4[[#This Row],[Unit Price]]&lt;0,orders_Q4[[#This Row],[Unit Price]]=0)</f>
        <v>0</v>
      </c>
      <c r="Z24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46">
        <f>orders_Q4[[#This Row],[Unit Price]] * orders_Q4[[#This Row],[Qty]] * (1 - orders_Q4[[#This Row],[Disc %]]/100)</f>
        <v>2199</v>
      </c>
      <c r="AB246" t="str">
        <f>IF(ABS(orders_Q4[[#This Row],[Total]] - orders_Q4[[#This Row],[Calculated_order_total]]) &gt; 1, "Mismatch", "OK")</f>
        <v>OK</v>
      </c>
      <c r="AC246">
        <f>COUNTIF(C:C,orders_Q4[[#This Row],[Customer ID]])</f>
        <v>1</v>
      </c>
      <c r="AD246" t="str">
        <f>IF(AND(orders_Q4[[#This Row],[Type]]="New",orders_Q4[[#This Row],[Customer_id_count]]&gt;1),"Existing customer","OK")</f>
        <v>OK</v>
      </c>
      <c r="AE246">
        <f>orders_Q4[[#This Row],[Del Date]]-orders_Q4[[#This Row],[Order Date]]</f>
        <v>11</v>
      </c>
      <c r="AF246" t="str">
        <f>IF(OR(orders_Q4[[#This Row],[Delivery_time]]&gt;30,orders_Q4[[#This Row],[Delivery_time]]&lt;0),"Invalid_delivery_time","OK")</f>
        <v>OK</v>
      </c>
      <c r="AG246" s="20">
        <f>IF(
   AND(NOT(ISBLANK(orders_Q4[[#This Row],[return_received]])), NOT(ISBLANK(orders_Q4[[#This Row],[Del Date]]))),
   orders_Q4[[#This Row],[return_received]] - orders_Q4[[#This Row],[Del Date]],0)</f>
        <v>0</v>
      </c>
      <c r="AH246" t="str">
        <f>TEXT(orders_Q4[[#This Row],[Order Date]],"mmm-yyyy")</f>
        <v>Dec-2024</v>
      </c>
      <c r="AI246" s="1" t="str">
        <f>TEXT(orders_Q4[[#This Row],[Order Date]],"yyyy") &amp; "-" &amp; WEEKNUM(orders_Q4[[#This Row],[Order Date]])</f>
        <v>2024-49</v>
      </c>
      <c r="AJ246" t="str">
        <f>IF(orders_Q4[[#This Row],[Payment]]="COD","COD","Prepaid")</f>
        <v>Prepaid</v>
      </c>
    </row>
    <row r="247" spans="1:36" x14ac:dyDescent="0.3">
      <c r="A247" t="s">
        <v>1082</v>
      </c>
      <c r="B247" s="1">
        <v>45632</v>
      </c>
      <c r="C247" t="s">
        <v>1083</v>
      </c>
      <c r="D247" t="s">
        <v>25</v>
      </c>
      <c r="E247" t="s">
        <v>1084</v>
      </c>
      <c r="F247" t="s">
        <v>40</v>
      </c>
      <c r="G247" t="s">
        <v>1085</v>
      </c>
      <c r="H247">
        <v>3799</v>
      </c>
      <c r="I247">
        <v>1</v>
      </c>
      <c r="J247">
        <v>3799</v>
      </c>
      <c r="K247" s="2">
        <v>46376</v>
      </c>
      <c r="L247">
        <v>20</v>
      </c>
      <c r="M247" t="s">
        <v>55</v>
      </c>
      <c r="N247" t="s">
        <v>65</v>
      </c>
      <c r="O247" t="s">
        <v>84</v>
      </c>
      <c r="P247" t="s">
        <v>32</v>
      </c>
      <c r="Q247" t="s">
        <v>31</v>
      </c>
      <c r="R247" s="1">
        <v>45644</v>
      </c>
      <c r="S247" t="s">
        <v>33</v>
      </c>
      <c r="T247" t="s">
        <v>46</v>
      </c>
      <c r="U247" t="s">
        <v>68</v>
      </c>
      <c r="V247" s="1">
        <v>45669</v>
      </c>
      <c r="W247" t="s">
        <v>48</v>
      </c>
      <c r="X247" t="str">
        <f>IF(OR(orders_Q4[[#This Row],[Qty]]&gt;5,orders_Q4[[#This Row],[Qty]]&lt;0),"Invalid Quantity","OK")</f>
        <v>OK</v>
      </c>
      <c r="Y247" t="b">
        <f>OR(orders_Q4[[#This Row],[Unit Price]]&gt;20000,orders_Q4[[#This Row],[Unit Price]]&lt;0,orders_Q4[[#This Row],[Unit Price]]=0)</f>
        <v>0</v>
      </c>
      <c r="Z24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47">
        <f>orders_Q4[[#This Row],[Unit Price]] * orders_Q4[[#This Row],[Qty]] * (1 - orders_Q4[[#This Row],[Disc %]]/100)</f>
        <v>3039.2000000000003</v>
      </c>
      <c r="AB247" t="str">
        <f>IF(ABS(orders_Q4[[#This Row],[Total]] - orders_Q4[[#This Row],[Calculated_order_total]]) &gt; 1, "Mismatch", "OK")</f>
        <v>Mismatch</v>
      </c>
      <c r="AC247">
        <f>COUNTIF(C:C,orders_Q4[[#This Row],[Customer ID]])</f>
        <v>1</v>
      </c>
      <c r="AD247" t="str">
        <f>IF(AND(orders_Q4[[#This Row],[Type]]="New",orders_Q4[[#This Row],[Customer_id_count]]&gt;1),"Existing customer","OK")</f>
        <v>OK</v>
      </c>
      <c r="AE247">
        <f>orders_Q4[[#This Row],[Del Date]]-orders_Q4[[#This Row],[Order Date]]</f>
        <v>12</v>
      </c>
      <c r="AF247" t="str">
        <f>IF(OR(orders_Q4[[#This Row],[Delivery_time]]&gt;30,orders_Q4[[#This Row],[Delivery_time]]&lt;0),"Invalid_delivery_time","OK")</f>
        <v>OK</v>
      </c>
      <c r="AG247" s="20">
        <f>IF(
   AND(NOT(ISBLANK(orders_Q4[[#This Row],[return_received]])), NOT(ISBLANK(orders_Q4[[#This Row],[Del Date]]))),
   orders_Q4[[#This Row],[return_received]] - orders_Q4[[#This Row],[Del Date]],0)</f>
        <v>25</v>
      </c>
      <c r="AH247" t="str">
        <f>TEXT(orders_Q4[[#This Row],[Order Date]],"mmm-yyyy")</f>
        <v>Dec-2024</v>
      </c>
      <c r="AI247" s="1" t="str">
        <f>TEXT(orders_Q4[[#This Row],[Order Date]],"yyyy") &amp; "-" &amp; WEEKNUM(orders_Q4[[#This Row],[Order Date]])</f>
        <v>2024-49</v>
      </c>
      <c r="AJ247" t="str">
        <f>IF(orders_Q4[[#This Row],[Payment]]="COD","COD","Prepaid")</f>
        <v>COD</v>
      </c>
    </row>
    <row r="248" spans="1:36" x14ac:dyDescent="0.3">
      <c r="A248" t="s">
        <v>1086</v>
      </c>
      <c r="B248" s="1">
        <v>45632</v>
      </c>
      <c r="C248" t="s">
        <v>1087</v>
      </c>
      <c r="D248" t="s">
        <v>25</v>
      </c>
      <c r="E248" t="s">
        <v>1088</v>
      </c>
      <c r="F248" t="s">
        <v>53</v>
      </c>
      <c r="G248" t="s">
        <v>1089</v>
      </c>
      <c r="H248">
        <v>2899</v>
      </c>
      <c r="I248">
        <v>1</v>
      </c>
      <c r="J248">
        <v>2899</v>
      </c>
      <c r="L248">
        <v>0</v>
      </c>
      <c r="M248" t="s">
        <v>43</v>
      </c>
      <c r="N248" t="s">
        <v>30</v>
      </c>
      <c r="O248" t="s">
        <v>90</v>
      </c>
      <c r="P248" t="s">
        <v>91</v>
      </c>
      <c r="Q248" t="s">
        <v>45</v>
      </c>
      <c r="R248" s="1">
        <v>45644</v>
      </c>
      <c r="S248" t="s">
        <v>33</v>
      </c>
      <c r="T248" t="s">
        <v>34</v>
      </c>
      <c r="W248" t="s">
        <v>35</v>
      </c>
      <c r="X248" t="str">
        <f>IF(OR(orders_Q4[[#This Row],[Qty]]&gt;5,orders_Q4[[#This Row],[Qty]]&lt;0),"Invalid Quantity","OK")</f>
        <v>OK</v>
      </c>
      <c r="Y248" t="b">
        <f>OR(orders_Q4[[#This Row],[Unit Price]]&gt;20000,orders_Q4[[#This Row],[Unit Price]]&lt;0,orders_Q4[[#This Row],[Unit Price]]=0)</f>
        <v>0</v>
      </c>
      <c r="Z24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48">
        <f>orders_Q4[[#This Row],[Unit Price]] * orders_Q4[[#This Row],[Qty]] * (1 - orders_Q4[[#This Row],[Disc %]]/100)</f>
        <v>2899</v>
      </c>
      <c r="AB248" t="str">
        <f>IF(ABS(orders_Q4[[#This Row],[Total]] - orders_Q4[[#This Row],[Calculated_order_total]]) &gt; 1, "Mismatch", "OK")</f>
        <v>OK</v>
      </c>
      <c r="AC248">
        <f>COUNTIF(C:C,orders_Q4[[#This Row],[Customer ID]])</f>
        <v>1</v>
      </c>
      <c r="AD248" t="str">
        <f>IF(AND(orders_Q4[[#This Row],[Type]]="New",orders_Q4[[#This Row],[Customer_id_count]]&gt;1),"Existing customer","OK")</f>
        <v>OK</v>
      </c>
      <c r="AE248">
        <f>orders_Q4[[#This Row],[Del Date]]-orders_Q4[[#This Row],[Order Date]]</f>
        <v>12</v>
      </c>
      <c r="AF248" t="str">
        <f>IF(OR(orders_Q4[[#This Row],[Delivery_time]]&gt;30,orders_Q4[[#This Row],[Delivery_time]]&lt;0),"Invalid_delivery_time","OK")</f>
        <v>OK</v>
      </c>
      <c r="AG248" s="20">
        <f>IF(
   AND(NOT(ISBLANK(orders_Q4[[#This Row],[return_received]])), NOT(ISBLANK(orders_Q4[[#This Row],[Del Date]]))),
   orders_Q4[[#This Row],[return_received]] - orders_Q4[[#This Row],[Del Date]],0)</f>
        <v>0</v>
      </c>
      <c r="AH248" t="str">
        <f>TEXT(orders_Q4[[#This Row],[Order Date]],"mmm-yyyy")</f>
        <v>Dec-2024</v>
      </c>
      <c r="AI248" s="1" t="str">
        <f>TEXT(orders_Q4[[#This Row],[Order Date]],"yyyy") &amp; "-" &amp; WEEKNUM(orders_Q4[[#This Row],[Order Date]])</f>
        <v>2024-49</v>
      </c>
      <c r="AJ248" t="str">
        <f>IF(orders_Q4[[#This Row],[Payment]]="COD","COD","Prepaid")</f>
        <v>Prepaid</v>
      </c>
    </row>
    <row r="249" spans="1:36" x14ac:dyDescent="0.3">
      <c r="A249" t="s">
        <v>1090</v>
      </c>
      <c r="B249" s="1">
        <v>45632</v>
      </c>
      <c r="C249" t="s">
        <v>1091</v>
      </c>
      <c r="D249" t="s">
        <v>38</v>
      </c>
      <c r="E249" t="s">
        <v>503</v>
      </c>
      <c r="F249" t="s">
        <v>61</v>
      </c>
      <c r="G249" t="s">
        <v>1092</v>
      </c>
      <c r="H249">
        <v>4599</v>
      </c>
      <c r="I249">
        <v>1</v>
      </c>
      <c r="J249">
        <v>4599</v>
      </c>
      <c r="K249" s="2">
        <v>46376</v>
      </c>
      <c r="L249">
        <v>20</v>
      </c>
      <c r="M249" t="s">
        <v>29</v>
      </c>
      <c r="N249" t="s">
        <v>44</v>
      </c>
      <c r="O249" t="s">
        <v>102</v>
      </c>
      <c r="P249" t="s">
        <v>103</v>
      </c>
      <c r="Q249" t="s">
        <v>45</v>
      </c>
      <c r="R249" s="1">
        <v>45645</v>
      </c>
      <c r="S249" t="s">
        <v>33</v>
      </c>
      <c r="T249" t="s">
        <v>46</v>
      </c>
      <c r="U249" t="s">
        <v>47</v>
      </c>
      <c r="V249" s="1">
        <v>45671</v>
      </c>
      <c r="W249" t="s">
        <v>48</v>
      </c>
      <c r="X249" t="str">
        <f>IF(OR(orders_Q4[[#This Row],[Qty]]&gt;5,orders_Q4[[#This Row],[Qty]]&lt;0),"Invalid Quantity","OK")</f>
        <v>OK</v>
      </c>
      <c r="Y249" t="b">
        <f>OR(orders_Q4[[#This Row],[Unit Price]]&gt;20000,orders_Q4[[#This Row],[Unit Price]]&lt;0,orders_Q4[[#This Row],[Unit Price]]=0)</f>
        <v>0</v>
      </c>
      <c r="Z24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49">
        <f>orders_Q4[[#This Row],[Unit Price]] * orders_Q4[[#This Row],[Qty]] * (1 - orders_Q4[[#This Row],[Disc %]]/100)</f>
        <v>3679.2000000000003</v>
      </c>
      <c r="AB249" t="str">
        <f>IF(ABS(orders_Q4[[#This Row],[Total]] - orders_Q4[[#This Row],[Calculated_order_total]]) &gt; 1, "Mismatch", "OK")</f>
        <v>Mismatch</v>
      </c>
      <c r="AC249">
        <f>COUNTIF(C:C,orders_Q4[[#This Row],[Customer ID]])</f>
        <v>1</v>
      </c>
      <c r="AD249" t="str">
        <f>IF(AND(orders_Q4[[#This Row],[Type]]="New",orders_Q4[[#This Row],[Customer_id_count]]&gt;1),"Existing customer","OK")</f>
        <v>OK</v>
      </c>
      <c r="AE249">
        <f>orders_Q4[[#This Row],[Del Date]]-orders_Q4[[#This Row],[Order Date]]</f>
        <v>13</v>
      </c>
      <c r="AF249" t="str">
        <f>IF(OR(orders_Q4[[#This Row],[Delivery_time]]&gt;30,orders_Q4[[#This Row],[Delivery_time]]&lt;0),"Invalid_delivery_time","OK")</f>
        <v>OK</v>
      </c>
      <c r="AG249" s="20">
        <f>IF(
   AND(NOT(ISBLANK(orders_Q4[[#This Row],[return_received]])), NOT(ISBLANK(orders_Q4[[#This Row],[Del Date]]))),
   orders_Q4[[#This Row],[return_received]] - orders_Q4[[#This Row],[Del Date]],0)</f>
        <v>26</v>
      </c>
      <c r="AH249" t="str">
        <f>TEXT(orders_Q4[[#This Row],[Order Date]],"mmm-yyyy")</f>
        <v>Dec-2024</v>
      </c>
      <c r="AI249" s="1" t="str">
        <f>TEXT(orders_Q4[[#This Row],[Order Date]],"yyyy") &amp; "-" &amp; WEEKNUM(orders_Q4[[#This Row],[Order Date]])</f>
        <v>2024-49</v>
      </c>
      <c r="AJ249" t="str">
        <f>IF(orders_Q4[[#This Row],[Payment]]="COD","COD","Prepaid")</f>
        <v>Prepaid</v>
      </c>
    </row>
    <row r="250" spans="1:36" x14ac:dyDescent="0.3">
      <c r="A250" t="s">
        <v>1093</v>
      </c>
      <c r="B250" s="1">
        <v>45632</v>
      </c>
      <c r="C250" t="s">
        <v>1094</v>
      </c>
      <c r="D250" t="s">
        <v>25</v>
      </c>
      <c r="E250" t="s">
        <v>1095</v>
      </c>
      <c r="F250" t="s">
        <v>71</v>
      </c>
      <c r="G250" t="s">
        <v>1096</v>
      </c>
      <c r="H250">
        <v>2499</v>
      </c>
      <c r="I250">
        <v>1</v>
      </c>
      <c r="J250">
        <v>2499</v>
      </c>
      <c r="L250">
        <v>0</v>
      </c>
      <c r="M250" t="s">
        <v>111</v>
      </c>
      <c r="N250" t="s">
        <v>65</v>
      </c>
      <c r="O250" t="s">
        <v>112</v>
      </c>
      <c r="P250" t="s">
        <v>113</v>
      </c>
      <c r="Q250" t="s">
        <v>45</v>
      </c>
      <c r="R250" s="1">
        <v>45645</v>
      </c>
      <c r="S250" t="s">
        <v>33</v>
      </c>
      <c r="T250" t="s">
        <v>34</v>
      </c>
      <c r="W250" t="s">
        <v>35</v>
      </c>
      <c r="X250" t="str">
        <f>IF(OR(orders_Q4[[#This Row],[Qty]]&gt;5,orders_Q4[[#This Row],[Qty]]&lt;0),"Invalid Quantity","OK")</f>
        <v>OK</v>
      </c>
      <c r="Y250" t="b">
        <f>OR(orders_Q4[[#This Row],[Unit Price]]&gt;20000,orders_Q4[[#This Row],[Unit Price]]&lt;0,orders_Q4[[#This Row],[Unit Price]]=0)</f>
        <v>0</v>
      </c>
      <c r="Z25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50">
        <f>orders_Q4[[#This Row],[Unit Price]] * orders_Q4[[#This Row],[Qty]] * (1 - orders_Q4[[#This Row],[Disc %]]/100)</f>
        <v>2499</v>
      </c>
      <c r="AB250" t="str">
        <f>IF(ABS(orders_Q4[[#This Row],[Total]] - orders_Q4[[#This Row],[Calculated_order_total]]) &gt; 1, "Mismatch", "OK")</f>
        <v>OK</v>
      </c>
      <c r="AC250">
        <f>COUNTIF(C:C,orders_Q4[[#This Row],[Customer ID]])</f>
        <v>1</v>
      </c>
      <c r="AD250" t="str">
        <f>IF(AND(orders_Q4[[#This Row],[Type]]="New",orders_Q4[[#This Row],[Customer_id_count]]&gt;1),"Existing customer","OK")</f>
        <v>OK</v>
      </c>
      <c r="AE250">
        <f>orders_Q4[[#This Row],[Del Date]]-orders_Q4[[#This Row],[Order Date]]</f>
        <v>13</v>
      </c>
      <c r="AF250" t="str">
        <f>IF(OR(orders_Q4[[#This Row],[Delivery_time]]&gt;30,orders_Q4[[#This Row],[Delivery_time]]&lt;0),"Invalid_delivery_time","OK")</f>
        <v>OK</v>
      </c>
      <c r="AG250" s="20">
        <f>IF(
   AND(NOT(ISBLANK(orders_Q4[[#This Row],[return_received]])), NOT(ISBLANK(orders_Q4[[#This Row],[Del Date]]))),
   orders_Q4[[#This Row],[return_received]] - orders_Q4[[#This Row],[Del Date]],0)</f>
        <v>0</v>
      </c>
      <c r="AH250" t="str">
        <f>TEXT(orders_Q4[[#This Row],[Order Date]],"mmm-yyyy")</f>
        <v>Dec-2024</v>
      </c>
      <c r="AI250" s="1" t="str">
        <f>TEXT(orders_Q4[[#This Row],[Order Date]],"yyyy") &amp; "-" &amp; WEEKNUM(orders_Q4[[#This Row],[Order Date]])</f>
        <v>2024-49</v>
      </c>
      <c r="AJ250" t="str">
        <f>IF(orders_Q4[[#This Row],[Payment]]="COD","COD","Prepaid")</f>
        <v>Prepaid</v>
      </c>
    </row>
    <row r="251" spans="1:36" x14ac:dyDescent="0.3">
      <c r="A251" t="s">
        <v>1097</v>
      </c>
      <c r="B251" s="1">
        <v>45633</v>
      </c>
      <c r="C251" t="s">
        <v>1098</v>
      </c>
      <c r="D251" t="s">
        <v>25</v>
      </c>
      <c r="E251" t="s">
        <v>1099</v>
      </c>
      <c r="F251" t="s">
        <v>27</v>
      </c>
      <c r="G251" t="s">
        <v>1100</v>
      </c>
      <c r="H251">
        <v>1899</v>
      </c>
      <c r="I251">
        <v>1</v>
      </c>
      <c r="J251">
        <v>1899</v>
      </c>
      <c r="L251">
        <v>0</v>
      </c>
      <c r="M251" t="s">
        <v>64</v>
      </c>
      <c r="N251" t="s">
        <v>30</v>
      </c>
      <c r="O251" t="s">
        <v>1063</v>
      </c>
      <c r="P251" t="s">
        <v>1063</v>
      </c>
      <c r="Q251" t="s">
        <v>31</v>
      </c>
      <c r="S251" t="s">
        <v>120</v>
      </c>
      <c r="T251" t="s">
        <v>34</v>
      </c>
      <c r="W251" t="s">
        <v>35</v>
      </c>
      <c r="X251" t="str">
        <f>IF(OR(orders_Q4[[#This Row],[Qty]]&gt;5,orders_Q4[[#This Row],[Qty]]&lt;0),"Invalid Quantity","OK")</f>
        <v>OK</v>
      </c>
      <c r="Y251" t="b">
        <f>OR(orders_Q4[[#This Row],[Unit Price]]&gt;20000,orders_Q4[[#This Row],[Unit Price]]&lt;0,orders_Q4[[#This Row],[Unit Price]]=0)</f>
        <v>0</v>
      </c>
      <c r="Z25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51">
        <f>orders_Q4[[#This Row],[Unit Price]] * orders_Q4[[#This Row],[Qty]] * (1 - orders_Q4[[#This Row],[Disc %]]/100)</f>
        <v>1899</v>
      </c>
      <c r="AB251" t="str">
        <f>IF(ABS(orders_Q4[[#This Row],[Total]] - orders_Q4[[#This Row],[Calculated_order_total]]) &gt; 1, "Mismatch", "OK")</f>
        <v>OK</v>
      </c>
      <c r="AC251">
        <f>COUNTIF(C:C,orders_Q4[[#This Row],[Customer ID]])</f>
        <v>1</v>
      </c>
      <c r="AD251" t="str">
        <f>IF(AND(orders_Q4[[#This Row],[Type]]="New",orders_Q4[[#This Row],[Customer_id_count]]&gt;1),"Existing customer","OK")</f>
        <v>OK</v>
      </c>
      <c r="AE251">
        <f>orders_Q4[[#This Row],[Del Date]]-orders_Q4[[#This Row],[Order Date]]</f>
        <v>-45633</v>
      </c>
      <c r="AF251" t="str">
        <f>IF(OR(orders_Q4[[#This Row],[Delivery_time]]&gt;30,orders_Q4[[#This Row],[Delivery_time]]&lt;0),"Invalid_delivery_time","OK")</f>
        <v>Invalid_delivery_time</v>
      </c>
      <c r="AG251" s="20">
        <f>IF(
   AND(NOT(ISBLANK(orders_Q4[[#This Row],[return_received]])), NOT(ISBLANK(orders_Q4[[#This Row],[Del Date]]))),
   orders_Q4[[#This Row],[return_received]] - orders_Q4[[#This Row],[Del Date]],0)</f>
        <v>0</v>
      </c>
      <c r="AH251" t="str">
        <f>TEXT(orders_Q4[[#This Row],[Order Date]],"mmm-yyyy")</f>
        <v>Dec-2024</v>
      </c>
      <c r="AI251" s="1" t="str">
        <f>TEXT(orders_Q4[[#This Row],[Order Date]],"yyyy") &amp; "-" &amp; WEEKNUM(orders_Q4[[#This Row],[Order Date]])</f>
        <v>2024-49</v>
      </c>
      <c r="AJ251" t="str">
        <f>IF(orders_Q4[[#This Row],[Payment]]="COD","COD","Prepaid")</f>
        <v>Prepaid</v>
      </c>
    </row>
    <row r="252" spans="1:36" x14ac:dyDescent="0.3">
      <c r="A252" t="s">
        <v>1101</v>
      </c>
      <c r="B252" s="1">
        <v>45633</v>
      </c>
      <c r="C252" t="s">
        <v>1102</v>
      </c>
      <c r="D252" t="s">
        <v>25</v>
      </c>
      <c r="E252" t="s">
        <v>1103</v>
      </c>
      <c r="F252" t="s">
        <v>40</v>
      </c>
      <c r="G252" t="s">
        <v>937</v>
      </c>
      <c r="H252">
        <v>3299</v>
      </c>
      <c r="I252">
        <v>1</v>
      </c>
      <c r="J252">
        <v>3299</v>
      </c>
      <c r="K252" s="2">
        <v>46376</v>
      </c>
      <c r="L252">
        <v>20</v>
      </c>
      <c r="M252" t="s">
        <v>43</v>
      </c>
      <c r="N252" t="s">
        <v>44</v>
      </c>
      <c r="O252" t="s">
        <v>31</v>
      </c>
      <c r="P252" t="s">
        <v>32</v>
      </c>
      <c r="Q252" t="s">
        <v>31</v>
      </c>
      <c r="R252" s="1">
        <v>45646</v>
      </c>
      <c r="S252" t="s">
        <v>33</v>
      </c>
      <c r="T252" t="s">
        <v>34</v>
      </c>
      <c r="W252" t="s">
        <v>35</v>
      </c>
      <c r="X252" t="str">
        <f>IF(OR(orders_Q4[[#This Row],[Qty]]&gt;5,orders_Q4[[#This Row],[Qty]]&lt;0),"Invalid Quantity","OK")</f>
        <v>OK</v>
      </c>
      <c r="Y252" t="b">
        <f>OR(orders_Q4[[#This Row],[Unit Price]]&gt;20000,orders_Q4[[#This Row],[Unit Price]]&lt;0,orders_Q4[[#This Row],[Unit Price]]=0)</f>
        <v>0</v>
      </c>
      <c r="Z25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52">
        <f>orders_Q4[[#This Row],[Unit Price]] * orders_Q4[[#This Row],[Qty]] * (1 - orders_Q4[[#This Row],[Disc %]]/100)</f>
        <v>2639.2000000000003</v>
      </c>
      <c r="AB252" t="str">
        <f>IF(ABS(orders_Q4[[#This Row],[Total]] - orders_Q4[[#This Row],[Calculated_order_total]]) &gt; 1, "Mismatch", "OK")</f>
        <v>Mismatch</v>
      </c>
      <c r="AC252">
        <f>COUNTIF(C:C,orders_Q4[[#This Row],[Customer ID]])</f>
        <v>1</v>
      </c>
      <c r="AD252" t="str">
        <f>IF(AND(orders_Q4[[#This Row],[Type]]="New",orders_Q4[[#This Row],[Customer_id_count]]&gt;1),"Existing customer","OK")</f>
        <v>OK</v>
      </c>
      <c r="AE252">
        <f>orders_Q4[[#This Row],[Del Date]]-orders_Q4[[#This Row],[Order Date]]</f>
        <v>13</v>
      </c>
      <c r="AF252" t="str">
        <f>IF(OR(orders_Q4[[#This Row],[Delivery_time]]&gt;30,orders_Q4[[#This Row],[Delivery_time]]&lt;0),"Invalid_delivery_time","OK")</f>
        <v>OK</v>
      </c>
      <c r="AG252" s="20">
        <f>IF(
   AND(NOT(ISBLANK(orders_Q4[[#This Row],[return_received]])), NOT(ISBLANK(orders_Q4[[#This Row],[Del Date]]))),
   orders_Q4[[#This Row],[return_received]] - orders_Q4[[#This Row],[Del Date]],0)</f>
        <v>0</v>
      </c>
      <c r="AH252" t="str">
        <f>TEXT(orders_Q4[[#This Row],[Order Date]],"mmm-yyyy")</f>
        <v>Dec-2024</v>
      </c>
      <c r="AI252" s="1" t="str">
        <f>TEXT(orders_Q4[[#This Row],[Order Date]],"yyyy") &amp; "-" &amp; WEEKNUM(orders_Q4[[#This Row],[Order Date]])</f>
        <v>2024-49</v>
      </c>
      <c r="AJ252" t="str">
        <f>IF(orders_Q4[[#This Row],[Payment]]="COD","COD","Prepaid")</f>
        <v>Prepaid</v>
      </c>
    </row>
    <row r="253" spans="1:36" x14ac:dyDescent="0.3">
      <c r="A253" t="s">
        <v>1104</v>
      </c>
      <c r="B253" s="1">
        <v>45633</v>
      </c>
      <c r="C253" t="s">
        <v>1105</v>
      </c>
      <c r="D253" t="s">
        <v>25</v>
      </c>
      <c r="E253" t="s">
        <v>1106</v>
      </c>
      <c r="F253" t="s">
        <v>53</v>
      </c>
      <c r="G253" t="s">
        <v>941</v>
      </c>
      <c r="H253">
        <v>2199</v>
      </c>
      <c r="I253">
        <v>1</v>
      </c>
      <c r="J253">
        <v>2199</v>
      </c>
      <c r="L253">
        <v>0</v>
      </c>
      <c r="M253" t="s">
        <v>55</v>
      </c>
      <c r="N253" t="s">
        <v>65</v>
      </c>
      <c r="O253" t="s">
        <v>45</v>
      </c>
      <c r="P253" t="s">
        <v>45</v>
      </c>
      <c r="Q253" t="s">
        <v>45</v>
      </c>
      <c r="R253" s="1">
        <v>45647</v>
      </c>
      <c r="S253" t="s">
        <v>33</v>
      </c>
      <c r="T253" t="s">
        <v>46</v>
      </c>
      <c r="U253" t="s">
        <v>138</v>
      </c>
      <c r="V253" s="1">
        <v>45672</v>
      </c>
      <c r="W253" t="s">
        <v>105</v>
      </c>
      <c r="X253" t="str">
        <f>IF(OR(orders_Q4[[#This Row],[Qty]]&gt;5,orders_Q4[[#This Row],[Qty]]&lt;0),"Invalid Quantity","OK")</f>
        <v>OK</v>
      </c>
      <c r="Y253" t="b">
        <f>OR(orders_Q4[[#This Row],[Unit Price]]&gt;20000,orders_Q4[[#This Row],[Unit Price]]&lt;0,orders_Q4[[#This Row],[Unit Price]]=0)</f>
        <v>0</v>
      </c>
      <c r="Z25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53">
        <f>orders_Q4[[#This Row],[Unit Price]] * orders_Q4[[#This Row],[Qty]] * (1 - orders_Q4[[#This Row],[Disc %]]/100)</f>
        <v>2199</v>
      </c>
      <c r="AB253" t="str">
        <f>IF(ABS(orders_Q4[[#This Row],[Total]] - orders_Q4[[#This Row],[Calculated_order_total]]) &gt; 1, "Mismatch", "OK")</f>
        <v>OK</v>
      </c>
      <c r="AC253">
        <f>COUNTIF(C:C,orders_Q4[[#This Row],[Customer ID]])</f>
        <v>1</v>
      </c>
      <c r="AD253" t="str">
        <f>IF(AND(orders_Q4[[#This Row],[Type]]="New",orders_Q4[[#This Row],[Customer_id_count]]&gt;1),"Existing customer","OK")</f>
        <v>OK</v>
      </c>
      <c r="AE253">
        <f>orders_Q4[[#This Row],[Del Date]]-orders_Q4[[#This Row],[Order Date]]</f>
        <v>14</v>
      </c>
      <c r="AF253" t="str">
        <f>IF(OR(orders_Q4[[#This Row],[Delivery_time]]&gt;30,orders_Q4[[#This Row],[Delivery_time]]&lt;0),"Invalid_delivery_time","OK")</f>
        <v>OK</v>
      </c>
      <c r="AG253" s="20">
        <f>IF(
   AND(NOT(ISBLANK(orders_Q4[[#This Row],[return_received]])), NOT(ISBLANK(orders_Q4[[#This Row],[Del Date]]))),
   orders_Q4[[#This Row],[return_received]] - orders_Q4[[#This Row],[Del Date]],0)</f>
        <v>25</v>
      </c>
      <c r="AH253" t="str">
        <f>TEXT(orders_Q4[[#This Row],[Order Date]],"mmm-yyyy")</f>
        <v>Dec-2024</v>
      </c>
      <c r="AI253" s="1" t="str">
        <f>TEXT(orders_Q4[[#This Row],[Order Date]],"yyyy") &amp; "-" &amp; WEEKNUM(orders_Q4[[#This Row],[Order Date]])</f>
        <v>2024-49</v>
      </c>
      <c r="AJ253" t="str">
        <f>IF(orders_Q4[[#This Row],[Payment]]="COD","COD","Prepaid")</f>
        <v>COD</v>
      </c>
    </row>
    <row r="254" spans="1:36" x14ac:dyDescent="0.3">
      <c r="A254" t="s">
        <v>1107</v>
      </c>
      <c r="B254" s="1">
        <v>45633</v>
      </c>
      <c r="C254" t="s">
        <v>1108</v>
      </c>
      <c r="D254" t="s">
        <v>38</v>
      </c>
      <c r="E254" t="s">
        <v>1109</v>
      </c>
      <c r="F254" t="s">
        <v>61</v>
      </c>
      <c r="G254" t="s">
        <v>1110</v>
      </c>
      <c r="H254">
        <v>5499</v>
      </c>
      <c r="I254">
        <v>1</v>
      </c>
      <c r="J254">
        <v>5499</v>
      </c>
      <c r="K254" s="2">
        <v>46376</v>
      </c>
      <c r="L254">
        <v>20</v>
      </c>
      <c r="M254" t="s">
        <v>29</v>
      </c>
      <c r="N254" t="s">
        <v>30</v>
      </c>
      <c r="O254" t="s">
        <v>56</v>
      </c>
      <c r="P254" t="s">
        <v>57</v>
      </c>
      <c r="Q254" t="s">
        <v>56</v>
      </c>
      <c r="R254" s="1">
        <v>45647</v>
      </c>
      <c r="S254" t="s">
        <v>33</v>
      </c>
      <c r="T254" t="s">
        <v>34</v>
      </c>
      <c r="W254" t="s">
        <v>35</v>
      </c>
      <c r="X254" t="str">
        <f>IF(OR(orders_Q4[[#This Row],[Qty]]&gt;5,orders_Q4[[#This Row],[Qty]]&lt;0),"Invalid Quantity","OK")</f>
        <v>OK</v>
      </c>
      <c r="Y254" t="b">
        <f>OR(orders_Q4[[#This Row],[Unit Price]]&gt;20000,orders_Q4[[#This Row],[Unit Price]]&lt;0,orders_Q4[[#This Row],[Unit Price]]=0)</f>
        <v>0</v>
      </c>
      <c r="Z25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54">
        <f>orders_Q4[[#This Row],[Unit Price]] * orders_Q4[[#This Row],[Qty]] * (1 - orders_Q4[[#This Row],[Disc %]]/100)</f>
        <v>4399.2</v>
      </c>
      <c r="AB254" t="str">
        <f>IF(ABS(orders_Q4[[#This Row],[Total]] - orders_Q4[[#This Row],[Calculated_order_total]]) &gt; 1, "Mismatch", "OK")</f>
        <v>Mismatch</v>
      </c>
      <c r="AC254">
        <f>COUNTIF(C:C,orders_Q4[[#This Row],[Customer ID]])</f>
        <v>1</v>
      </c>
      <c r="AD254" t="str">
        <f>IF(AND(orders_Q4[[#This Row],[Type]]="New",orders_Q4[[#This Row],[Customer_id_count]]&gt;1),"Existing customer","OK")</f>
        <v>OK</v>
      </c>
      <c r="AE254">
        <f>orders_Q4[[#This Row],[Del Date]]-orders_Q4[[#This Row],[Order Date]]</f>
        <v>14</v>
      </c>
      <c r="AF254" t="str">
        <f>IF(OR(orders_Q4[[#This Row],[Delivery_time]]&gt;30,orders_Q4[[#This Row],[Delivery_time]]&lt;0),"Invalid_delivery_time","OK")</f>
        <v>OK</v>
      </c>
      <c r="AG254" s="20">
        <f>IF(
   AND(NOT(ISBLANK(orders_Q4[[#This Row],[return_received]])), NOT(ISBLANK(orders_Q4[[#This Row],[Del Date]]))),
   orders_Q4[[#This Row],[return_received]] - orders_Q4[[#This Row],[Del Date]],0)</f>
        <v>0</v>
      </c>
      <c r="AH254" t="str">
        <f>TEXT(orders_Q4[[#This Row],[Order Date]],"mmm-yyyy")</f>
        <v>Dec-2024</v>
      </c>
      <c r="AI254" s="1" t="str">
        <f>TEXT(orders_Q4[[#This Row],[Order Date]],"yyyy") &amp; "-" &amp; WEEKNUM(orders_Q4[[#This Row],[Order Date]])</f>
        <v>2024-49</v>
      </c>
      <c r="AJ254" t="str">
        <f>IF(orders_Q4[[#This Row],[Payment]]="COD","COD","Prepaid")</f>
        <v>Prepaid</v>
      </c>
    </row>
    <row r="255" spans="1:36" x14ac:dyDescent="0.3">
      <c r="A255" t="s">
        <v>1111</v>
      </c>
      <c r="B255" s="1">
        <v>45634</v>
      </c>
      <c r="C255" t="s">
        <v>1112</v>
      </c>
      <c r="D255" t="s">
        <v>25</v>
      </c>
      <c r="E255" t="s">
        <v>1113</v>
      </c>
      <c r="F255" t="s">
        <v>71</v>
      </c>
      <c r="G255" t="s">
        <v>1114</v>
      </c>
      <c r="H255">
        <v>999</v>
      </c>
      <c r="I255">
        <v>1</v>
      </c>
      <c r="J255">
        <v>999</v>
      </c>
      <c r="L255">
        <v>0</v>
      </c>
      <c r="M255" t="s">
        <v>111</v>
      </c>
      <c r="N255" t="s">
        <v>44</v>
      </c>
      <c r="O255" t="s">
        <v>96</v>
      </c>
      <c r="P255" t="s">
        <v>97</v>
      </c>
      <c r="Q255" t="s">
        <v>31</v>
      </c>
      <c r="R255" s="1">
        <v>45648</v>
      </c>
      <c r="S255" t="s">
        <v>33</v>
      </c>
      <c r="T255" t="s">
        <v>34</v>
      </c>
      <c r="W255" t="s">
        <v>35</v>
      </c>
      <c r="X255" t="str">
        <f>IF(OR(orders_Q4[[#This Row],[Qty]]&gt;5,orders_Q4[[#This Row],[Qty]]&lt;0),"Invalid Quantity","OK")</f>
        <v>OK</v>
      </c>
      <c r="Y255" t="b">
        <f>OR(orders_Q4[[#This Row],[Unit Price]]&gt;20000,orders_Q4[[#This Row],[Unit Price]]&lt;0,orders_Q4[[#This Row],[Unit Price]]=0)</f>
        <v>0</v>
      </c>
      <c r="Z25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55">
        <f>orders_Q4[[#This Row],[Unit Price]] * orders_Q4[[#This Row],[Qty]] * (1 - orders_Q4[[#This Row],[Disc %]]/100)</f>
        <v>999</v>
      </c>
      <c r="AB255" t="str">
        <f>IF(ABS(orders_Q4[[#This Row],[Total]] - orders_Q4[[#This Row],[Calculated_order_total]]) &gt; 1, "Mismatch", "OK")</f>
        <v>OK</v>
      </c>
      <c r="AC255">
        <f>COUNTIF(C:C,orders_Q4[[#This Row],[Customer ID]])</f>
        <v>1</v>
      </c>
      <c r="AD255" t="str">
        <f>IF(AND(orders_Q4[[#This Row],[Type]]="New",orders_Q4[[#This Row],[Customer_id_count]]&gt;1),"Existing customer","OK")</f>
        <v>OK</v>
      </c>
      <c r="AE255">
        <f>orders_Q4[[#This Row],[Del Date]]-orders_Q4[[#This Row],[Order Date]]</f>
        <v>14</v>
      </c>
      <c r="AF255" t="str">
        <f>IF(OR(orders_Q4[[#This Row],[Delivery_time]]&gt;30,orders_Q4[[#This Row],[Delivery_time]]&lt;0),"Invalid_delivery_time","OK")</f>
        <v>OK</v>
      </c>
      <c r="AG255" s="20">
        <f>IF(
   AND(NOT(ISBLANK(orders_Q4[[#This Row],[return_received]])), NOT(ISBLANK(orders_Q4[[#This Row],[Del Date]]))),
   orders_Q4[[#This Row],[return_received]] - orders_Q4[[#This Row],[Del Date]],0)</f>
        <v>0</v>
      </c>
      <c r="AH255" t="str">
        <f>TEXT(orders_Q4[[#This Row],[Order Date]],"mmm-yyyy")</f>
        <v>Dec-2024</v>
      </c>
      <c r="AI255" s="1" t="str">
        <f>TEXT(orders_Q4[[#This Row],[Order Date]],"yyyy") &amp; "-" &amp; WEEKNUM(orders_Q4[[#This Row],[Order Date]])</f>
        <v>2024-50</v>
      </c>
      <c r="AJ255" t="str">
        <f>IF(orders_Q4[[#This Row],[Payment]]="COD","COD","Prepaid")</f>
        <v>Prepaid</v>
      </c>
    </row>
    <row r="256" spans="1:36" x14ac:dyDescent="0.3">
      <c r="A256" t="s">
        <v>1115</v>
      </c>
      <c r="B256" s="1">
        <v>45634</v>
      </c>
      <c r="C256" t="s">
        <v>1116</v>
      </c>
      <c r="D256" t="s">
        <v>25</v>
      </c>
      <c r="E256" t="s">
        <v>261</v>
      </c>
      <c r="F256" t="s">
        <v>27</v>
      </c>
      <c r="G256" t="s">
        <v>262</v>
      </c>
      <c r="H256">
        <v>1699</v>
      </c>
      <c r="I256">
        <v>2</v>
      </c>
      <c r="J256">
        <v>3398</v>
      </c>
      <c r="L256">
        <v>0</v>
      </c>
      <c r="M256" t="s">
        <v>64</v>
      </c>
      <c r="N256" t="s">
        <v>65</v>
      </c>
      <c r="O256" t="s">
        <v>156</v>
      </c>
      <c r="P256" t="s">
        <v>97</v>
      </c>
      <c r="Q256" t="s">
        <v>31</v>
      </c>
      <c r="R256" s="1">
        <v>45648</v>
      </c>
      <c r="S256" t="s">
        <v>33</v>
      </c>
      <c r="T256" t="s">
        <v>46</v>
      </c>
      <c r="U256" t="s">
        <v>47</v>
      </c>
      <c r="V256" s="1">
        <v>45673</v>
      </c>
      <c r="W256" t="s">
        <v>48</v>
      </c>
      <c r="X256" t="str">
        <f>IF(OR(orders_Q4[[#This Row],[Qty]]&gt;5,orders_Q4[[#This Row],[Qty]]&lt;0),"Invalid Quantity","OK")</f>
        <v>OK</v>
      </c>
      <c r="Y256" t="b">
        <f>OR(orders_Q4[[#This Row],[Unit Price]]&gt;20000,orders_Q4[[#This Row],[Unit Price]]&lt;0,orders_Q4[[#This Row],[Unit Price]]=0)</f>
        <v>0</v>
      </c>
      <c r="Z25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56">
        <f>orders_Q4[[#This Row],[Unit Price]] * orders_Q4[[#This Row],[Qty]] * (1 - orders_Q4[[#This Row],[Disc %]]/100)</f>
        <v>3398</v>
      </c>
      <c r="AB256" t="str">
        <f>IF(ABS(orders_Q4[[#This Row],[Total]] - orders_Q4[[#This Row],[Calculated_order_total]]) &gt; 1, "Mismatch", "OK")</f>
        <v>OK</v>
      </c>
      <c r="AC256">
        <f>COUNTIF(C:C,orders_Q4[[#This Row],[Customer ID]])</f>
        <v>1</v>
      </c>
      <c r="AD256" t="str">
        <f>IF(AND(orders_Q4[[#This Row],[Type]]="New",orders_Q4[[#This Row],[Customer_id_count]]&gt;1),"Existing customer","OK")</f>
        <v>OK</v>
      </c>
      <c r="AE256">
        <f>orders_Q4[[#This Row],[Del Date]]-orders_Q4[[#This Row],[Order Date]]</f>
        <v>14</v>
      </c>
      <c r="AF256" t="str">
        <f>IF(OR(orders_Q4[[#This Row],[Delivery_time]]&gt;30,orders_Q4[[#This Row],[Delivery_time]]&lt;0),"Invalid_delivery_time","OK")</f>
        <v>OK</v>
      </c>
      <c r="AG256" s="20">
        <f>IF(
   AND(NOT(ISBLANK(orders_Q4[[#This Row],[return_received]])), NOT(ISBLANK(orders_Q4[[#This Row],[Del Date]]))),
   orders_Q4[[#This Row],[return_received]] - orders_Q4[[#This Row],[Del Date]],0)</f>
        <v>25</v>
      </c>
      <c r="AH256" t="str">
        <f>TEXT(orders_Q4[[#This Row],[Order Date]],"mmm-yyyy")</f>
        <v>Dec-2024</v>
      </c>
      <c r="AI256" s="1" t="str">
        <f>TEXT(orders_Q4[[#This Row],[Order Date]],"yyyy") &amp; "-" &amp; WEEKNUM(orders_Q4[[#This Row],[Order Date]])</f>
        <v>2024-50</v>
      </c>
      <c r="AJ256" t="str">
        <f>IF(orders_Q4[[#This Row],[Payment]]="COD","COD","Prepaid")</f>
        <v>Prepaid</v>
      </c>
    </row>
    <row r="257" spans="1:36" x14ac:dyDescent="0.3">
      <c r="A257" t="s">
        <v>1117</v>
      </c>
      <c r="B257" s="1">
        <v>45634</v>
      </c>
      <c r="C257" t="s">
        <v>1118</v>
      </c>
      <c r="D257" t="s">
        <v>25</v>
      </c>
      <c r="E257" t="s">
        <v>1119</v>
      </c>
      <c r="F257" t="s">
        <v>40</v>
      </c>
      <c r="G257" t="s">
        <v>1120</v>
      </c>
      <c r="H257">
        <v>2799</v>
      </c>
      <c r="I257">
        <v>1</v>
      </c>
      <c r="J257">
        <v>2799</v>
      </c>
      <c r="K257" s="2">
        <v>46376</v>
      </c>
      <c r="L257">
        <v>20</v>
      </c>
      <c r="M257" t="s">
        <v>43</v>
      </c>
      <c r="N257" t="s">
        <v>30</v>
      </c>
      <c r="O257" t="s">
        <v>204</v>
      </c>
      <c r="P257" t="s">
        <v>97</v>
      </c>
      <c r="Q257" t="s">
        <v>31</v>
      </c>
      <c r="R257" s="1">
        <v>45649</v>
      </c>
      <c r="S257" t="s">
        <v>33</v>
      </c>
      <c r="T257" t="s">
        <v>46</v>
      </c>
      <c r="U257" t="s">
        <v>104</v>
      </c>
      <c r="V257" s="1">
        <v>45675</v>
      </c>
      <c r="W257" t="s">
        <v>48</v>
      </c>
      <c r="X257" t="str">
        <f>IF(OR(orders_Q4[[#This Row],[Qty]]&gt;5,orders_Q4[[#This Row],[Qty]]&lt;0),"Invalid Quantity","OK")</f>
        <v>OK</v>
      </c>
      <c r="Y257" t="b">
        <f>OR(orders_Q4[[#This Row],[Unit Price]]&gt;20000,orders_Q4[[#This Row],[Unit Price]]&lt;0,orders_Q4[[#This Row],[Unit Price]]=0)</f>
        <v>0</v>
      </c>
      <c r="Z25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57">
        <f>orders_Q4[[#This Row],[Unit Price]] * orders_Q4[[#This Row],[Qty]] * (1 - orders_Q4[[#This Row],[Disc %]]/100)</f>
        <v>2239.2000000000003</v>
      </c>
      <c r="AB257" t="str">
        <f>IF(ABS(orders_Q4[[#This Row],[Total]] - orders_Q4[[#This Row],[Calculated_order_total]]) &gt; 1, "Mismatch", "OK")</f>
        <v>Mismatch</v>
      </c>
      <c r="AC257">
        <f>COUNTIF(C:C,orders_Q4[[#This Row],[Customer ID]])</f>
        <v>1</v>
      </c>
      <c r="AD257" t="str">
        <f>IF(AND(orders_Q4[[#This Row],[Type]]="New",orders_Q4[[#This Row],[Customer_id_count]]&gt;1),"Existing customer","OK")</f>
        <v>OK</v>
      </c>
      <c r="AE257">
        <f>orders_Q4[[#This Row],[Del Date]]-orders_Q4[[#This Row],[Order Date]]</f>
        <v>15</v>
      </c>
      <c r="AF257" t="str">
        <f>IF(OR(orders_Q4[[#This Row],[Delivery_time]]&gt;30,orders_Q4[[#This Row],[Delivery_time]]&lt;0),"Invalid_delivery_time","OK")</f>
        <v>OK</v>
      </c>
      <c r="AG257" s="20">
        <f>IF(
   AND(NOT(ISBLANK(orders_Q4[[#This Row],[return_received]])), NOT(ISBLANK(orders_Q4[[#This Row],[Del Date]]))),
   orders_Q4[[#This Row],[return_received]] - orders_Q4[[#This Row],[Del Date]],0)</f>
        <v>26</v>
      </c>
      <c r="AH257" t="str">
        <f>TEXT(orders_Q4[[#This Row],[Order Date]],"mmm-yyyy")</f>
        <v>Dec-2024</v>
      </c>
      <c r="AI257" s="1" t="str">
        <f>TEXT(orders_Q4[[#This Row],[Order Date]],"yyyy") &amp; "-" &amp; WEEKNUM(orders_Q4[[#This Row],[Order Date]])</f>
        <v>2024-50</v>
      </c>
      <c r="AJ257" t="str">
        <f>IF(orders_Q4[[#This Row],[Payment]]="COD","COD","Prepaid")</f>
        <v>Prepaid</v>
      </c>
    </row>
    <row r="258" spans="1:36" x14ac:dyDescent="0.3">
      <c r="A258" t="s">
        <v>1121</v>
      </c>
      <c r="B258" s="1">
        <v>45634</v>
      </c>
      <c r="C258" t="s">
        <v>1122</v>
      </c>
      <c r="D258" t="s">
        <v>25</v>
      </c>
      <c r="E258" t="s">
        <v>1123</v>
      </c>
      <c r="F258" t="s">
        <v>53</v>
      </c>
      <c r="G258" t="s">
        <v>314</v>
      </c>
      <c r="H258">
        <v>2299</v>
      </c>
      <c r="I258">
        <v>1</v>
      </c>
      <c r="J258">
        <v>2299</v>
      </c>
      <c r="L258">
        <v>0</v>
      </c>
      <c r="M258" t="s">
        <v>29</v>
      </c>
      <c r="N258" t="s">
        <v>44</v>
      </c>
      <c r="O258" t="s">
        <v>209</v>
      </c>
      <c r="P258" t="s">
        <v>97</v>
      </c>
      <c r="Q258" t="s">
        <v>31</v>
      </c>
      <c r="R258" s="1">
        <v>45649</v>
      </c>
      <c r="S258" t="s">
        <v>33</v>
      </c>
      <c r="T258" t="s">
        <v>34</v>
      </c>
      <c r="W258" t="s">
        <v>35</v>
      </c>
      <c r="X258" t="str">
        <f>IF(OR(orders_Q4[[#This Row],[Qty]]&gt;5,orders_Q4[[#This Row],[Qty]]&lt;0),"Invalid Quantity","OK")</f>
        <v>OK</v>
      </c>
      <c r="Y258" t="b">
        <f>OR(orders_Q4[[#This Row],[Unit Price]]&gt;20000,orders_Q4[[#This Row],[Unit Price]]&lt;0,orders_Q4[[#This Row],[Unit Price]]=0)</f>
        <v>0</v>
      </c>
      <c r="Z25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58">
        <f>orders_Q4[[#This Row],[Unit Price]] * orders_Q4[[#This Row],[Qty]] * (1 - orders_Q4[[#This Row],[Disc %]]/100)</f>
        <v>2299</v>
      </c>
      <c r="AB258" t="str">
        <f>IF(ABS(orders_Q4[[#This Row],[Total]] - orders_Q4[[#This Row],[Calculated_order_total]]) &gt; 1, "Mismatch", "OK")</f>
        <v>OK</v>
      </c>
      <c r="AC258">
        <f>COUNTIF(C:C,orders_Q4[[#This Row],[Customer ID]])</f>
        <v>1</v>
      </c>
      <c r="AD258" t="str">
        <f>IF(AND(orders_Q4[[#This Row],[Type]]="New",orders_Q4[[#This Row],[Customer_id_count]]&gt;1),"Existing customer","OK")</f>
        <v>OK</v>
      </c>
      <c r="AE258">
        <f>orders_Q4[[#This Row],[Del Date]]-orders_Q4[[#This Row],[Order Date]]</f>
        <v>15</v>
      </c>
      <c r="AF258" t="str">
        <f>IF(OR(orders_Q4[[#This Row],[Delivery_time]]&gt;30,orders_Q4[[#This Row],[Delivery_time]]&lt;0),"Invalid_delivery_time","OK")</f>
        <v>OK</v>
      </c>
      <c r="AG258" s="20">
        <f>IF(
   AND(NOT(ISBLANK(orders_Q4[[#This Row],[return_received]])), NOT(ISBLANK(orders_Q4[[#This Row],[Del Date]]))),
   orders_Q4[[#This Row],[return_received]] - orders_Q4[[#This Row],[Del Date]],0)</f>
        <v>0</v>
      </c>
      <c r="AH258" t="str">
        <f>TEXT(orders_Q4[[#This Row],[Order Date]],"mmm-yyyy")</f>
        <v>Dec-2024</v>
      </c>
      <c r="AI258" s="1" t="str">
        <f>TEXT(orders_Q4[[#This Row],[Order Date]],"yyyy") &amp; "-" &amp; WEEKNUM(orders_Q4[[#This Row],[Order Date]])</f>
        <v>2024-50</v>
      </c>
      <c r="AJ258" t="str">
        <f>IF(orders_Q4[[#This Row],[Payment]]="COD","COD","Prepaid")</f>
        <v>Prepaid</v>
      </c>
    </row>
    <row r="259" spans="1:36" x14ac:dyDescent="0.3">
      <c r="A259" t="s">
        <v>1124</v>
      </c>
      <c r="B259" s="1">
        <v>45635</v>
      </c>
      <c r="C259" t="s">
        <v>1125</v>
      </c>
      <c r="D259" t="s">
        <v>38</v>
      </c>
      <c r="E259" t="s">
        <v>1126</v>
      </c>
      <c r="F259" t="s">
        <v>61</v>
      </c>
      <c r="G259" t="s">
        <v>1127</v>
      </c>
      <c r="H259">
        <v>5999</v>
      </c>
      <c r="I259">
        <v>1</v>
      </c>
      <c r="J259">
        <v>5999</v>
      </c>
      <c r="L259">
        <v>0</v>
      </c>
      <c r="M259" t="s">
        <v>55</v>
      </c>
      <c r="N259" t="s">
        <v>65</v>
      </c>
      <c r="O259" t="s">
        <v>214</v>
      </c>
      <c r="P259" t="s">
        <v>113</v>
      </c>
      <c r="Q259" t="s">
        <v>45</v>
      </c>
      <c r="R259" s="1">
        <v>45650</v>
      </c>
      <c r="S259" t="s">
        <v>33</v>
      </c>
      <c r="T259" t="s">
        <v>46</v>
      </c>
      <c r="U259" t="s">
        <v>79</v>
      </c>
      <c r="V259" s="1">
        <v>45677</v>
      </c>
      <c r="W259" t="s">
        <v>48</v>
      </c>
      <c r="X259" t="str">
        <f>IF(OR(orders_Q4[[#This Row],[Qty]]&gt;5,orders_Q4[[#This Row],[Qty]]&lt;0),"Invalid Quantity","OK")</f>
        <v>OK</v>
      </c>
      <c r="Y259" t="b">
        <f>OR(orders_Q4[[#This Row],[Unit Price]]&gt;20000,orders_Q4[[#This Row],[Unit Price]]&lt;0,orders_Q4[[#This Row],[Unit Price]]=0)</f>
        <v>0</v>
      </c>
      <c r="Z25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59">
        <f>orders_Q4[[#This Row],[Unit Price]] * orders_Q4[[#This Row],[Qty]] * (1 - orders_Q4[[#This Row],[Disc %]]/100)</f>
        <v>5999</v>
      </c>
      <c r="AB259" t="str">
        <f>IF(ABS(orders_Q4[[#This Row],[Total]] - orders_Q4[[#This Row],[Calculated_order_total]]) &gt; 1, "Mismatch", "OK")</f>
        <v>OK</v>
      </c>
      <c r="AC259">
        <f>COUNTIF(C:C,orders_Q4[[#This Row],[Customer ID]])</f>
        <v>1</v>
      </c>
      <c r="AD259" t="str">
        <f>IF(AND(orders_Q4[[#This Row],[Type]]="New",orders_Q4[[#This Row],[Customer_id_count]]&gt;1),"Existing customer","OK")</f>
        <v>OK</v>
      </c>
      <c r="AE259">
        <f>orders_Q4[[#This Row],[Del Date]]-orders_Q4[[#This Row],[Order Date]]</f>
        <v>15</v>
      </c>
      <c r="AF259" t="str">
        <f>IF(OR(orders_Q4[[#This Row],[Delivery_time]]&gt;30,orders_Q4[[#This Row],[Delivery_time]]&lt;0),"Invalid_delivery_time","OK")</f>
        <v>OK</v>
      </c>
      <c r="AG259" s="20">
        <f>IF(
   AND(NOT(ISBLANK(orders_Q4[[#This Row],[return_received]])), NOT(ISBLANK(orders_Q4[[#This Row],[Del Date]]))),
   orders_Q4[[#This Row],[return_received]] - orders_Q4[[#This Row],[Del Date]],0)</f>
        <v>27</v>
      </c>
      <c r="AH259" t="str">
        <f>TEXT(orders_Q4[[#This Row],[Order Date]],"mmm-yyyy")</f>
        <v>Dec-2024</v>
      </c>
      <c r="AI259" s="1" t="str">
        <f>TEXT(orders_Q4[[#This Row],[Order Date]],"yyyy") &amp; "-" &amp; WEEKNUM(orders_Q4[[#This Row],[Order Date]])</f>
        <v>2024-50</v>
      </c>
      <c r="AJ259" t="str">
        <f>IF(orders_Q4[[#This Row],[Payment]]="COD","COD","Prepaid")</f>
        <v>COD</v>
      </c>
    </row>
    <row r="260" spans="1:36" x14ac:dyDescent="0.3">
      <c r="A260" t="s">
        <v>1128</v>
      </c>
      <c r="B260" s="1">
        <v>45635</v>
      </c>
      <c r="C260" t="s">
        <v>1129</v>
      </c>
      <c r="D260" t="s">
        <v>25</v>
      </c>
      <c r="E260" t="s">
        <v>1130</v>
      </c>
      <c r="F260" t="s">
        <v>71</v>
      </c>
      <c r="G260" t="s">
        <v>1131</v>
      </c>
      <c r="H260">
        <v>899</v>
      </c>
      <c r="I260">
        <v>2</v>
      </c>
      <c r="J260">
        <v>1798</v>
      </c>
      <c r="K260" s="2">
        <v>46376</v>
      </c>
      <c r="L260">
        <v>20</v>
      </c>
      <c r="M260" t="s">
        <v>111</v>
      </c>
      <c r="N260" t="s">
        <v>30</v>
      </c>
      <c r="O260" t="s">
        <v>31</v>
      </c>
      <c r="P260" t="s">
        <v>32</v>
      </c>
      <c r="Q260" t="s">
        <v>31</v>
      </c>
      <c r="R260" s="1">
        <v>45649</v>
      </c>
      <c r="S260" t="s">
        <v>33</v>
      </c>
      <c r="T260" t="s">
        <v>34</v>
      </c>
      <c r="W260" t="s">
        <v>35</v>
      </c>
      <c r="X260" t="str">
        <f>IF(OR(orders_Q4[[#This Row],[Qty]]&gt;5,orders_Q4[[#This Row],[Qty]]&lt;0),"Invalid Quantity","OK")</f>
        <v>OK</v>
      </c>
      <c r="Y260" t="b">
        <f>OR(orders_Q4[[#This Row],[Unit Price]]&gt;20000,orders_Q4[[#This Row],[Unit Price]]&lt;0,orders_Q4[[#This Row],[Unit Price]]=0)</f>
        <v>0</v>
      </c>
      <c r="Z26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60">
        <f>orders_Q4[[#This Row],[Unit Price]] * orders_Q4[[#This Row],[Qty]] * (1 - orders_Q4[[#This Row],[Disc %]]/100)</f>
        <v>1438.4</v>
      </c>
      <c r="AB260" t="str">
        <f>IF(ABS(orders_Q4[[#This Row],[Total]] - orders_Q4[[#This Row],[Calculated_order_total]]) &gt; 1, "Mismatch", "OK")</f>
        <v>Mismatch</v>
      </c>
      <c r="AC260">
        <f>COUNTIF(C:C,orders_Q4[[#This Row],[Customer ID]])</f>
        <v>1</v>
      </c>
      <c r="AD260" t="str">
        <f>IF(AND(orders_Q4[[#This Row],[Type]]="New",orders_Q4[[#This Row],[Customer_id_count]]&gt;1),"Existing customer","OK")</f>
        <v>OK</v>
      </c>
      <c r="AE260">
        <f>orders_Q4[[#This Row],[Del Date]]-orders_Q4[[#This Row],[Order Date]]</f>
        <v>14</v>
      </c>
      <c r="AF260" t="str">
        <f>IF(OR(orders_Q4[[#This Row],[Delivery_time]]&gt;30,orders_Q4[[#This Row],[Delivery_time]]&lt;0),"Invalid_delivery_time","OK")</f>
        <v>OK</v>
      </c>
      <c r="AG260" s="20">
        <f>IF(
   AND(NOT(ISBLANK(orders_Q4[[#This Row],[return_received]])), NOT(ISBLANK(orders_Q4[[#This Row],[Del Date]]))),
   orders_Q4[[#This Row],[return_received]] - orders_Q4[[#This Row],[Del Date]],0)</f>
        <v>0</v>
      </c>
      <c r="AH260" t="str">
        <f>TEXT(orders_Q4[[#This Row],[Order Date]],"mmm-yyyy")</f>
        <v>Dec-2024</v>
      </c>
      <c r="AI260" s="1" t="str">
        <f>TEXT(orders_Q4[[#This Row],[Order Date]],"yyyy") &amp; "-" &amp; WEEKNUM(orders_Q4[[#This Row],[Order Date]])</f>
        <v>2024-50</v>
      </c>
      <c r="AJ260" t="str">
        <f>IF(orders_Q4[[#This Row],[Payment]]="COD","COD","Prepaid")</f>
        <v>Prepaid</v>
      </c>
    </row>
    <row r="261" spans="1:36" x14ac:dyDescent="0.3">
      <c r="A261" t="s">
        <v>1132</v>
      </c>
      <c r="B261" s="1">
        <v>45635</v>
      </c>
      <c r="C261" t="s">
        <v>1133</v>
      </c>
      <c r="D261" t="s">
        <v>25</v>
      </c>
      <c r="E261" t="s">
        <v>1134</v>
      </c>
      <c r="F261" t="s">
        <v>27</v>
      </c>
      <c r="G261" t="s">
        <v>1135</v>
      </c>
      <c r="H261">
        <v>2099</v>
      </c>
      <c r="I261">
        <v>1</v>
      </c>
      <c r="J261">
        <v>2099</v>
      </c>
      <c r="L261">
        <v>0</v>
      </c>
      <c r="M261" t="s">
        <v>64</v>
      </c>
      <c r="N261" t="s">
        <v>44</v>
      </c>
      <c r="O261" t="s">
        <v>45</v>
      </c>
      <c r="P261" t="s">
        <v>45</v>
      </c>
      <c r="Q261" t="s">
        <v>45</v>
      </c>
      <c r="R261" s="1">
        <v>45650</v>
      </c>
      <c r="S261" t="s">
        <v>33</v>
      </c>
      <c r="T261" t="s">
        <v>46</v>
      </c>
      <c r="U261" t="s">
        <v>68</v>
      </c>
      <c r="V261" s="1">
        <v>45676</v>
      </c>
      <c r="W261" t="s">
        <v>48</v>
      </c>
      <c r="X261" t="str">
        <f>IF(OR(orders_Q4[[#This Row],[Qty]]&gt;5,orders_Q4[[#This Row],[Qty]]&lt;0),"Invalid Quantity","OK")</f>
        <v>OK</v>
      </c>
      <c r="Y261" t="b">
        <f>OR(orders_Q4[[#This Row],[Unit Price]]&gt;20000,orders_Q4[[#This Row],[Unit Price]]&lt;0,orders_Q4[[#This Row],[Unit Price]]=0)</f>
        <v>0</v>
      </c>
      <c r="Z26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61">
        <f>orders_Q4[[#This Row],[Unit Price]] * orders_Q4[[#This Row],[Qty]] * (1 - orders_Q4[[#This Row],[Disc %]]/100)</f>
        <v>2099</v>
      </c>
      <c r="AB261" t="str">
        <f>IF(ABS(orders_Q4[[#This Row],[Total]] - orders_Q4[[#This Row],[Calculated_order_total]]) &gt; 1, "Mismatch", "OK")</f>
        <v>OK</v>
      </c>
      <c r="AC261">
        <f>COUNTIF(C:C,orders_Q4[[#This Row],[Customer ID]])</f>
        <v>1</v>
      </c>
      <c r="AD261" t="str">
        <f>IF(AND(orders_Q4[[#This Row],[Type]]="New",orders_Q4[[#This Row],[Customer_id_count]]&gt;1),"Existing customer","OK")</f>
        <v>OK</v>
      </c>
      <c r="AE261">
        <f>orders_Q4[[#This Row],[Del Date]]-orders_Q4[[#This Row],[Order Date]]</f>
        <v>15</v>
      </c>
      <c r="AF261" t="str">
        <f>IF(OR(orders_Q4[[#This Row],[Delivery_time]]&gt;30,orders_Q4[[#This Row],[Delivery_time]]&lt;0),"Invalid_delivery_time","OK")</f>
        <v>OK</v>
      </c>
      <c r="AG261" s="20">
        <f>IF(
   AND(NOT(ISBLANK(orders_Q4[[#This Row],[return_received]])), NOT(ISBLANK(orders_Q4[[#This Row],[Del Date]]))),
   orders_Q4[[#This Row],[return_received]] - orders_Q4[[#This Row],[Del Date]],0)</f>
        <v>26</v>
      </c>
      <c r="AH261" t="str">
        <f>TEXT(orders_Q4[[#This Row],[Order Date]],"mmm-yyyy")</f>
        <v>Dec-2024</v>
      </c>
      <c r="AI261" s="1" t="str">
        <f>TEXT(orders_Q4[[#This Row],[Order Date]],"yyyy") &amp; "-" &amp; WEEKNUM(orders_Q4[[#This Row],[Order Date]])</f>
        <v>2024-50</v>
      </c>
      <c r="AJ261" t="str">
        <f>IF(orders_Q4[[#This Row],[Payment]]="COD","COD","Prepaid")</f>
        <v>Prepaid</v>
      </c>
    </row>
    <row r="262" spans="1:36" x14ac:dyDescent="0.3">
      <c r="A262" t="s">
        <v>1136</v>
      </c>
      <c r="B262" s="1">
        <v>45636</v>
      </c>
      <c r="C262" t="s">
        <v>1137</v>
      </c>
      <c r="D262" t="s">
        <v>25</v>
      </c>
      <c r="E262" t="s">
        <v>1138</v>
      </c>
      <c r="F262" t="s">
        <v>40</v>
      </c>
      <c r="G262" t="s">
        <v>1139</v>
      </c>
      <c r="H262">
        <v>3999</v>
      </c>
      <c r="I262">
        <v>1</v>
      </c>
      <c r="J262">
        <v>3999</v>
      </c>
      <c r="L262">
        <v>0</v>
      </c>
      <c r="M262" t="s">
        <v>43</v>
      </c>
      <c r="N262" t="s">
        <v>65</v>
      </c>
      <c r="O262" t="s">
        <v>118</v>
      </c>
      <c r="P262" t="s">
        <v>119</v>
      </c>
      <c r="Q262" t="s">
        <v>45</v>
      </c>
      <c r="R262" s="1">
        <v>45651</v>
      </c>
      <c r="S262" t="s">
        <v>33</v>
      </c>
      <c r="T262" t="s">
        <v>46</v>
      </c>
      <c r="U262" t="s">
        <v>47</v>
      </c>
      <c r="V262" s="1">
        <v>45679</v>
      </c>
      <c r="W262" t="s">
        <v>48</v>
      </c>
      <c r="X262" t="str">
        <f>IF(OR(orders_Q4[[#This Row],[Qty]]&gt;5,orders_Q4[[#This Row],[Qty]]&lt;0),"Invalid Quantity","OK")</f>
        <v>OK</v>
      </c>
      <c r="Y262" t="b">
        <f>OR(orders_Q4[[#This Row],[Unit Price]]&gt;20000,orders_Q4[[#This Row],[Unit Price]]&lt;0,orders_Q4[[#This Row],[Unit Price]]=0)</f>
        <v>0</v>
      </c>
      <c r="Z26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62">
        <f>orders_Q4[[#This Row],[Unit Price]] * orders_Q4[[#This Row],[Qty]] * (1 - orders_Q4[[#This Row],[Disc %]]/100)</f>
        <v>3999</v>
      </c>
      <c r="AB262" t="str">
        <f>IF(ABS(orders_Q4[[#This Row],[Total]] - orders_Q4[[#This Row],[Calculated_order_total]]) &gt; 1, "Mismatch", "OK")</f>
        <v>OK</v>
      </c>
      <c r="AC262">
        <f>COUNTIF(C:C,orders_Q4[[#This Row],[Customer ID]])</f>
        <v>1</v>
      </c>
      <c r="AD262" t="str">
        <f>IF(AND(orders_Q4[[#This Row],[Type]]="New",orders_Q4[[#This Row],[Customer_id_count]]&gt;1),"Existing customer","OK")</f>
        <v>OK</v>
      </c>
      <c r="AE262">
        <f>orders_Q4[[#This Row],[Del Date]]-orders_Q4[[#This Row],[Order Date]]</f>
        <v>15</v>
      </c>
      <c r="AF262" t="str">
        <f>IF(OR(orders_Q4[[#This Row],[Delivery_time]]&gt;30,orders_Q4[[#This Row],[Delivery_time]]&lt;0),"Invalid_delivery_time","OK")</f>
        <v>OK</v>
      </c>
      <c r="AG262" s="20">
        <f>IF(
   AND(NOT(ISBLANK(orders_Q4[[#This Row],[return_received]])), NOT(ISBLANK(orders_Q4[[#This Row],[Del Date]]))),
   orders_Q4[[#This Row],[return_received]] - orders_Q4[[#This Row],[Del Date]],0)</f>
        <v>28</v>
      </c>
      <c r="AH262" t="str">
        <f>TEXT(orders_Q4[[#This Row],[Order Date]],"mmm-yyyy")</f>
        <v>Dec-2024</v>
      </c>
      <c r="AI262" s="1" t="str">
        <f>TEXT(orders_Q4[[#This Row],[Order Date]],"yyyy") &amp; "-" &amp; WEEKNUM(orders_Q4[[#This Row],[Order Date]])</f>
        <v>2024-50</v>
      </c>
      <c r="AJ262" t="str">
        <f>IF(orders_Q4[[#This Row],[Payment]]="COD","COD","Prepaid")</f>
        <v>Prepaid</v>
      </c>
    </row>
    <row r="263" spans="1:36" x14ac:dyDescent="0.3">
      <c r="A263" t="s">
        <v>1140</v>
      </c>
      <c r="B263" s="1">
        <v>45636</v>
      </c>
      <c r="C263" t="s">
        <v>1141</v>
      </c>
      <c r="D263" t="s">
        <v>25</v>
      </c>
      <c r="E263" t="s">
        <v>1142</v>
      </c>
      <c r="F263" t="s">
        <v>53</v>
      </c>
      <c r="G263" t="s">
        <v>1143</v>
      </c>
      <c r="H263">
        <v>2499</v>
      </c>
      <c r="I263">
        <v>1</v>
      </c>
      <c r="J263">
        <v>2499</v>
      </c>
      <c r="K263" s="2">
        <v>46376</v>
      </c>
      <c r="L263">
        <v>20</v>
      </c>
      <c r="M263" t="s">
        <v>29</v>
      </c>
      <c r="N263" t="s">
        <v>30</v>
      </c>
      <c r="O263" t="s">
        <v>137</v>
      </c>
      <c r="P263" t="s">
        <v>113</v>
      </c>
      <c r="Q263" t="s">
        <v>45</v>
      </c>
      <c r="R263" s="1">
        <v>45651</v>
      </c>
      <c r="S263" t="s">
        <v>33</v>
      </c>
      <c r="T263" t="s">
        <v>34</v>
      </c>
      <c r="W263" t="s">
        <v>35</v>
      </c>
      <c r="X263" t="str">
        <f>IF(OR(orders_Q4[[#This Row],[Qty]]&gt;5,orders_Q4[[#This Row],[Qty]]&lt;0),"Invalid Quantity","OK")</f>
        <v>OK</v>
      </c>
      <c r="Y263" t="b">
        <f>OR(orders_Q4[[#This Row],[Unit Price]]&gt;20000,orders_Q4[[#This Row],[Unit Price]]&lt;0,orders_Q4[[#This Row],[Unit Price]]=0)</f>
        <v>0</v>
      </c>
      <c r="Z26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63">
        <f>orders_Q4[[#This Row],[Unit Price]] * orders_Q4[[#This Row],[Qty]] * (1 - orders_Q4[[#This Row],[Disc %]]/100)</f>
        <v>1999.2</v>
      </c>
      <c r="AB263" t="str">
        <f>IF(ABS(orders_Q4[[#This Row],[Total]] - orders_Q4[[#This Row],[Calculated_order_total]]) &gt; 1, "Mismatch", "OK")</f>
        <v>Mismatch</v>
      </c>
      <c r="AC263">
        <f>COUNTIF(C:C,orders_Q4[[#This Row],[Customer ID]])</f>
        <v>1</v>
      </c>
      <c r="AD263" t="str">
        <f>IF(AND(orders_Q4[[#This Row],[Type]]="New",orders_Q4[[#This Row],[Customer_id_count]]&gt;1),"Existing customer","OK")</f>
        <v>OK</v>
      </c>
      <c r="AE263">
        <f>orders_Q4[[#This Row],[Del Date]]-orders_Q4[[#This Row],[Order Date]]</f>
        <v>15</v>
      </c>
      <c r="AF263" t="str">
        <f>IF(OR(orders_Q4[[#This Row],[Delivery_time]]&gt;30,orders_Q4[[#This Row],[Delivery_time]]&lt;0),"Invalid_delivery_time","OK")</f>
        <v>OK</v>
      </c>
      <c r="AG263" s="20">
        <f>IF(
   AND(NOT(ISBLANK(orders_Q4[[#This Row],[return_received]])), NOT(ISBLANK(orders_Q4[[#This Row],[Del Date]]))),
   orders_Q4[[#This Row],[return_received]] - orders_Q4[[#This Row],[Del Date]],0)</f>
        <v>0</v>
      </c>
      <c r="AH263" t="str">
        <f>TEXT(orders_Q4[[#This Row],[Order Date]],"mmm-yyyy")</f>
        <v>Dec-2024</v>
      </c>
      <c r="AI263" s="1" t="str">
        <f>TEXT(orders_Q4[[#This Row],[Order Date]],"yyyy") &amp; "-" &amp; WEEKNUM(orders_Q4[[#This Row],[Order Date]])</f>
        <v>2024-50</v>
      </c>
      <c r="AJ263" t="str">
        <f>IF(orders_Q4[[#This Row],[Payment]]="COD","COD","Prepaid")</f>
        <v>Prepaid</v>
      </c>
    </row>
    <row r="264" spans="1:36" x14ac:dyDescent="0.3">
      <c r="A264" t="s">
        <v>1144</v>
      </c>
      <c r="B264" s="1">
        <v>45636</v>
      </c>
      <c r="C264" t="s">
        <v>1145</v>
      </c>
      <c r="D264" t="s">
        <v>38</v>
      </c>
      <c r="E264" t="s">
        <v>1146</v>
      </c>
      <c r="F264" t="s">
        <v>61</v>
      </c>
      <c r="G264" t="s">
        <v>1147</v>
      </c>
      <c r="H264">
        <v>4899</v>
      </c>
      <c r="I264">
        <v>1</v>
      </c>
      <c r="J264">
        <v>4899</v>
      </c>
      <c r="L264">
        <v>0</v>
      </c>
      <c r="M264" t="s">
        <v>55</v>
      </c>
      <c r="N264" t="s">
        <v>44</v>
      </c>
      <c r="O264" t="s">
        <v>143</v>
      </c>
      <c r="P264" t="s">
        <v>144</v>
      </c>
      <c r="Q264" t="s">
        <v>45</v>
      </c>
      <c r="R264" s="1">
        <v>45652</v>
      </c>
      <c r="S264" t="s">
        <v>33</v>
      </c>
      <c r="T264" t="s">
        <v>46</v>
      </c>
      <c r="U264" t="s">
        <v>104</v>
      </c>
      <c r="V264" s="1">
        <v>45680</v>
      </c>
      <c r="W264" t="s">
        <v>48</v>
      </c>
      <c r="X264" t="str">
        <f>IF(OR(orders_Q4[[#This Row],[Qty]]&gt;5,orders_Q4[[#This Row],[Qty]]&lt;0),"Invalid Quantity","OK")</f>
        <v>OK</v>
      </c>
      <c r="Y264" t="b">
        <f>OR(orders_Q4[[#This Row],[Unit Price]]&gt;20000,orders_Q4[[#This Row],[Unit Price]]&lt;0,orders_Q4[[#This Row],[Unit Price]]=0)</f>
        <v>0</v>
      </c>
      <c r="Z26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64">
        <f>orders_Q4[[#This Row],[Unit Price]] * orders_Q4[[#This Row],[Qty]] * (1 - orders_Q4[[#This Row],[Disc %]]/100)</f>
        <v>4899</v>
      </c>
      <c r="AB264" t="str">
        <f>IF(ABS(orders_Q4[[#This Row],[Total]] - orders_Q4[[#This Row],[Calculated_order_total]]) &gt; 1, "Mismatch", "OK")</f>
        <v>OK</v>
      </c>
      <c r="AC264">
        <f>COUNTIF(C:C,orders_Q4[[#This Row],[Customer ID]])</f>
        <v>1</v>
      </c>
      <c r="AD264" t="str">
        <f>IF(AND(orders_Q4[[#This Row],[Type]]="New",orders_Q4[[#This Row],[Customer_id_count]]&gt;1),"Existing customer","OK")</f>
        <v>OK</v>
      </c>
      <c r="AE264">
        <f>orders_Q4[[#This Row],[Del Date]]-orders_Q4[[#This Row],[Order Date]]</f>
        <v>16</v>
      </c>
      <c r="AF264" t="str">
        <f>IF(OR(orders_Q4[[#This Row],[Delivery_time]]&gt;30,orders_Q4[[#This Row],[Delivery_time]]&lt;0),"Invalid_delivery_time","OK")</f>
        <v>OK</v>
      </c>
      <c r="AG264" s="20">
        <f>IF(
   AND(NOT(ISBLANK(orders_Q4[[#This Row],[return_received]])), NOT(ISBLANK(orders_Q4[[#This Row],[Del Date]]))),
   orders_Q4[[#This Row],[return_received]] - orders_Q4[[#This Row],[Del Date]],0)</f>
        <v>28</v>
      </c>
      <c r="AH264" t="str">
        <f>TEXT(orders_Q4[[#This Row],[Order Date]],"mmm-yyyy")</f>
        <v>Dec-2024</v>
      </c>
      <c r="AI264" s="1" t="str">
        <f>TEXT(orders_Q4[[#This Row],[Order Date]],"yyyy") &amp; "-" &amp; WEEKNUM(orders_Q4[[#This Row],[Order Date]])</f>
        <v>2024-50</v>
      </c>
      <c r="AJ264" t="str">
        <f>IF(orders_Q4[[#This Row],[Payment]]="COD","COD","Prepaid")</f>
        <v>COD</v>
      </c>
    </row>
    <row r="265" spans="1:36" x14ac:dyDescent="0.3">
      <c r="A265" t="s">
        <v>1148</v>
      </c>
      <c r="B265" s="1">
        <v>45636</v>
      </c>
      <c r="C265" t="s">
        <v>1149</v>
      </c>
      <c r="D265" t="s">
        <v>25</v>
      </c>
      <c r="E265" t="s">
        <v>1150</v>
      </c>
      <c r="F265" t="s">
        <v>71</v>
      </c>
      <c r="G265" t="s">
        <v>1151</v>
      </c>
      <c r="H265">
        <v>1199</v>
      </c>
      <c r="I265">
        <v>1</v>
      </c>
      <c r="J265">
        <v>1199</v>
      </c>
      <c r="L265">
        <v>0</v>
      </c>
      <c r="M265" t="s">
        <v>111</v>
      </c>
      <c r="N265" t="s">
        <v>65</v>
      </c>
      <c r="O265" t="s">
        <v>150</v>
      </c>
      <c r="P265" t="s">
        <v>151</v>
      </c>
      <c r="Q265" t="s">
        <v>31</v>
      </c>
      <c r="R265" s="1">
        <v>45651</v>
      </c>
      <c r="S265" t="s">
        <v>33</v>
      </c>
      <c r="T265" t="s">
        <v>34</v>
      </c>
      <c r="W265" t="s">
        <v>35</v>
      </c>
      <c r="X265" t="str">
        <f>IF(OR(orders_Q4[[#This Row],[Qty]]&gt;5,orders_Q4[[#This Row],[Qty]]&lt;0),"Invalid Quantity","OK")</f>
        <v>OK</v>
      </c>
      <c r="Y265" t="b">
        <f>OR(orders_Q4[[#This Row],[Unit Price]]&gt;20000,orders_Q4[[#This Row],[Unit Price]]&lt;0,orders_Q4[[#This Row],[Unit Price]]=0)</f>
        <v>0</v>
      </c>
      <c r="Z26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65">
        <f>orders_Q4[[#This Row],[Unit Price]] * orders_Q4[[#This Row],[Qty]] * (1 - orders_Q4[[#This Row],[Disc %]]/100)</f>
        <v>1199</v>
      </c>
      <c r="AB265" t="str">
        <f>IF(ABS(orders_Q4[[#This Row],[Total]] - orders_Q4[[#This Row],[Calculated_order_total]]) &gt; 1, "Mismatch", "OK")</f>
        <v>OK</v>
      </c>
      <c r="AC265">
        <f>COUNTIF(C:C,orders_Q4[[#This Row],[Customer ID]])</f>
        <v>1</v>
      </c>
      <c r="AD265" t="str">
        <f>IF(AND(orders_Q4[[#This Row],[Type]]="New",orders_Q4[[#This Row],[Customer_id_count]]&gt;1),"Existing customer","OK")</f>
        <v>OK</v>
      </c>
      <c r="AE265">
        <f>orders_Q4[[#This Row],[Del Date]]-orders_Q4[[#This Row],[Order Date]]</f>
        <v>15</v>
      </c>
      <c r="AF265" t="str">
        <f>IF(OR(orders_Q4[[#This Row],[Delivery_time]]&gt;30,orders_Q4[[#This Row],[Delivery_time]]&lt;0),"Invalid_delivery_time","OK")</f>
        <v>OK</v>
      </c>
      <c r="AG265" s="20">
        <f>IF(
   AND(NOT(ISBLANK(orders_Q4[[#This Row],[return_received]])), NOT(ISBLANK(orders_Q4[[#This Row],[Del Date]]))),
   orders_Q4[[#This Row],[return_received]] - orders_Q4[[#This Row],[Del Date]],0)</f>
        <v>0</v>
      </c>
      <c r="AH265" t="str">
        <f>TEXT(orders_Q4[[#This Row],[Order Date]],"mmm-yyyy")</f>
        <v>Dec-2024</v>
      </c>
      <c r="AI265" s="1" t="str">
        <f>TEXT(orders_Q4[[#This Row],[Order Date]],"yyyy") &amp; "-" &amp; WEEKNUM(orders_Q4[[#This Row],[Order Date]])</f>
        <v>2024-50</v>
      </c>
      <c r="AJ265" t="str">
        <f>IF(orders_Q4[[#This Row],[Payment]]="COD","COD","Prepaid")</f>
        <v>Prepaid</v>
      </c>
    </row>
    <row r="266" spans="1:36" x14ac:dyDescent="0.3">
      <c r="A266" t="s">
        <v>1152</v>
      </c>
      <c r="B266" s="1">
        <v>45636</v>
      </c>
      <c r="C266" t="s">
        <v>1153</v>
      </c>
      <c r="D266" t="s">
        <v>25</v>
      </c>
      <c r="E266" t="s">
        <v>1154</v>
      </c>
      <c r="F266" t="s">
        <v>27</v>
      </c>
      <c r="G266" t="s">
        <v>1155</v>
      </c>
      <c r="H266">
        <v>1899</v>
      </c>
      <c r="I266">
        <v>1</v>
      </c>
      <c r="J266">
        <v>1899</v>
      </c>
      <c r="K266" s="2">
        <v>46376</v>
      </c>
      <c r="L266">
        <v>20</v>
      </c>
      <c r="M266" t="s">
        <v>64</v>
      </c>
      <c r="N266" t="s">
        <v>30</v>
      </c>
      <c r="O266" t="s">
        <v>156</v>
      </c>
      <c r="P266" t="s">
        <v>97</v>
      </c>
      <c r="Q266" t="s">
        <v>31</v>
      </c>
      <c r="R266" s="1">
        <v>45652</v>
      </c>
      <c r="S266" t="s">
        <v>33</v>
      </c>
      <c r="T266" t="s">
        <v>46</v>
      </c>
      <c r="U266" t="s">
        <v>138</v>
      </c>
      <c r="V266" s="1">
        <v>45678</v>
      </c>
      <c r="W266" t="s">
        <v>48</v>
      </c>
      <c r="X266" t="str">
        <f>IF(OR(orders_Q4[[#This Row],[Qty]]&gt;5,orders_Q4[[#This Row],[Qty]]&lt;0),"Invalid Quantity","OK")</f>
        <v>OK</v>
      </c>
      <c r="Y266" t="b">
        <f>OR(orders_Q4[[#This Row],[Unit Price]]&gt;20000,orders_Q4[[#This Row],[Unit Price]]&lt;0,orders_Q4[[#This Row],[Unit Price]]=0)</f>
        <v>0</v>
      </c>
      <c r="Z26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66">
        <f>orders_Q4[[#This Row],[Unit Price]] * orders_Q4[[#This Row],[Qty]] * (1 - orders_Q4[[#This Row],[Disc %]]/100)</f>
        <v>1519.2</v>
      </c>
      <c r="AB266" t="str">
        <f>IF(ABS(orders_Q4[[#This Row],[Total]] - orders_Q4[[#This Row],[Calculated_order_total]]) &gt; 1, "Mismatch", "OK")</f>
        <v>Mismatch</v>
      </c>
      <c r="AC266">
        <f>COUNTIF(C:C,orders_Q4[[#This Row],[Customer ID]])</f>
        <v>1</v>
      </c>
      <c r="AD266" t="str">
        <f>IF(AND(orders_Q4[[#This Row],[Type]]="New",orders_Q4[[#This Row],[Customer_id_count]]&gt;1),"Existing customer","OK")</f>
        <v>OK</v>
      </c>
      <c r="AE266">
        <f>orders_Q4[[#This Row],[Del Date]]-orders_Q4[[#This Row],[Order Date]]</f>
        <v>16</v>
      </c>
      <c r="AF266" t="str">
        <f>IF(OR(orders_Q4[[#This Row],[Delivery_time]]&gt;30,orders_Q4[[#This Row],[Delivery_time]]&lt;0),"Invalid_delivery_time","OK")</f>
        <v>OK</v>
      </c>
      <c r="AG266" s="20">
        <f>IF(
   AND(NOT(ISBLANK(orders_Q4[[#This Row],[return_received]])), NOT(ISBLANK(orders_Q4[[#This Row],[Del Date]]))),
   orders_Q4[[#This Row],[return_received]] - orders_Q4[[#This Row],[Del Date]],0)</f>
        <v>26</v>
      </c>
      <c r="AH266" t="str">
        <f>TEXT(orders_Q4[[#This Row],[Order Date]],"mmm-yyyy")</f>
        <v>Dec-2024</v>
      </c>
      <c r="AI266" s="1" t="str">
        <f>TEXT(orders_Q4[[#This Row],[Order Date]],"yyyy") &amp; "-" &amp; WEEKNUM(orders_Q4[[#This Row],[Order Date]])</f>
        <v>2024-50</v>
      </c>
      <c r="AJ266" t="str">
        <f>IF(orders_Q4[[#This Row],[Payment]]="COD","COD","Prepaid")</f>
        <v>Prepaid</v>
      </c>
    </row>
    <row r="267" spans="1:36" x14ac:dyDescent="0.3">
      <c r="A267" t="s">
        <v>1156</v>
      </c>
      <c r="B267" s="1">
        <v>45637</v>
      </c>
      <c r="C267" t="s">
        <v>1157</v>
      </c>
      <c r="D267" t="s">
        <v>25</v>
      </c>
      <c r="E267" t="s">
        <v>1158</v>
      </c>
      <c r="F267" t="s">
        <v>40</v>
      </c>
      <c r="G267" t="s">
        <v>1159</v>
      </c>
      <c r="H267">
        <v>3599</v>
      </c>
      <c r="I267">
        <v>1</v>
      </c>
      <c r="J267">
        <v>3599</v>
      </c>
      <c r="L267">
        <v>0</v>
      </c>
      <c r="M267" t="s">
        <v>43</v>
      </c>
      <c r="N267" t="s">
        <v>44</v>
      </c>
      <c r="O267" t="s">
        <v>161</v>
      </c>
      <c r="P267" t="s">
        <v>162</v>
      </c>
      <c r="Q267" t="s">
        <v>45</v>
      </c>
      <c r="R267" s="1">
        <v>45653</v>
      </c>
      <c r="S267" t="s">
        <v>33</v>
      </c>
      <c r="T267" t="s">
        <v>34</v>
      </c>
      <c r="W267" t="s">
        <v>35</v>
      </c>
      <c r="X267" t="str">
        <f>IF(OR(orders_Q4[[#This Row],[Qty]]&gt;5,orders_Q4[[#This Row],[Qty]]&lt;0),"Invalid Quantity","OK")</f>
        <v>OK</v>
      </c>
      <c r="Y267" t="b">
        <f>OR(orders_Q4[[#This Row],[Unit Price]]&gt;20000,orders_Q4[[#This Row],[Unit Price]]&lt;0,orders_Q4[[#This Row],[Unit Price]]=0)</f>
        <v>0</v>
      </c>
      <c r="Z26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67">
        <f>orders_Q4[[#This Row],[Unit Price]] * orders_Q4[[#This Row],[Qty]] * (1 - orders_Q4[[#This Row],[Disc %]]/100)</f>
        <v>3599</v>
      </c>
      <c r="AB267" t="str">
        <f>IF(ABS(orders_Q4[[#This Row],[Total]] - orders_Q4[[#This Row],[Calculated_order_total]]) &gt; 1, "Mismatch", "OK")</f>
        <v>OK</v>
      </c>
      <c r="AC267">
        <f>COUNTIF(C:C,orders_Q4[[#This Row],[Customer ID]])</f>
        <v>1</v>
      </c>
      <c r="AD267" t="str">
        <f>IF(AND(orders_Q4[[#This Row],[Type]]="New",orders_Q4[[#This Row],[Customer_id_count]]&gt;1),"Existing customer","OK")</f>
        <v>OK</v>
      </c>
      <c r="AE267">
        <f>orders_Q4[[#This Row],[Del Date]]-orders_Q4[[#This Row],[Order Date]]</f>
        <v>16</v>
      </c>
      <c r="AF267" t="str">
        <f>IF(OR(orders_Q4[[#This Row],[Delivery_time]]&gt;30,orders_Q4[[#This Row],[Delivery_time]]&lt;0),"Invalid_delivery_time","OK")</f>
        <v>OK</v>
      </c>
      <c r="AG267" s="20">
        <f>IF(
   AND(NOT(ISBLANK(orders_Q4[[#This Row],[return_received]])), NOT(ISBLANK(orders_Q4[[#This Row],[Del Date]]))),
   orders_Q4[[#This Row],[return_received]] - orders_Q4[[#This Row],[Del Date]],0)</f>
        <v>0</v>
      </c>
      <c r="AH267" t="str">
        <f>TEXT(orders_Q4[[#This Row],[Order Date]],"mmm-yyyy")</f>
        <v>Dec-2024</v>
      </c>
      <c r="AI267" s="1" t="str">
        <f>TEXT(orders_Q4[[#This Row],[Order Date]],"yyyy") &amp; "-" &amp; WEEKNUM(orders_Q4[[#This Row],[Order Date]])</f>
        <v>2024-50</v>
      </c>
      <c r="AJ267" t="str">
        <f>IF(orders_Q4[[#This Row],[Payment]]="COD","COD","Prepaid")</f>
        <v>Prepaid</v>
      </c>
    </row>
    <row r="268" spans="1:36" x14ac:dyDescent="0.3">
      <c r="A268" t="s">
        <v>1160</v>
      </c>
      <c r="B268" s="1">
        <v>45637</v>
      </c>
      <c r="C268" t="s">
        <v>1161</v>
      </c>
      <c r="D268" t="s">
        <v>25</v>
      </c>
      <c r="E268" t="s">
        <v>1162</v>
      </c>
      <c r="F268" t="s">
        <v>53</v>
      </c>
      <c r="G268" t="s">
        <v>1163</v>
      </c>
      <c r="H268">
        <v>2699</v>
      </c>
      <c r="I268">
        <v>1</v>
      </c>
      <c r="J268">
        <v>2699</v>
      </c>
      <c r="L268">
        <v>0</v>
      </c>
      <c r="M268" t="s">
        <v>29</v>
      </c>
      <c r="N268" t="s">
        <v>65</v>
      </c>
      <c r="O268" t="s">
        <v>167</v>
      </c>
      <c r="P268" t="s">
        <v>151</v>
      </c>
      <c r="Q268" t="s">
        <v>31</v>
      </c>
      <c r="R268" s="1">
        <v>45653</v>
      </c>
      <c r="S268" t="s">
        <v>33</v>
      </c>
      <c r="T268" t="s">
        <v>46</v>
      </c>
      <c r="U268" t="s">
        <v>47</v>
      </c>
      <c r="V268" s="1">
        <v>45681</v>
      </c>
      <c r="W268" t="s">
        <v>48</v>
      </c>
      <c r="X268" t="str">
        <f>IF(OR(orders_Q4[[#This Row],[Qty]]&gt;5,orders_Q4[[#This Row],[Qty]]&lt;0),"Invalid Quantity","OK")</f>
        <v>OK</v>
      </c>
      <c r="Y268" t="b">
        <f>OR(orders_Q4[[#This Row],[Unit Price]]&gt;20000,orders_Q4[[#This Row],[Unit Price]]&lt;0,orders_Q4[[#This Row],[Unit Price]]=0)</f>
        <v>0</v>
      </c>
      <c r="Z26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68">
        <f>orders_Q4[[#This Row],[Unit Price]] * orders_Q4[[#This Row],[Qty]] * (1 - orders_Q4[[#This Row],[Disc %]]/100)</f>
        <v>2699</v>
      </c>
      <c r="AB268" t="str">
        <f>IF(ABS(orders_Q4[[#This Row],[Total]] - orders_Q4[[#This Row],[Calculated_order_total]]) &gt; 1, "Mismatch", "OK")</f>
        <v>OK</v>
      </c>
      <c r="AC268">
        <f>COUNTIF(C:C,orders_Q4[[#This Row],[Customer ID]])</f>
        <v>1</v>
      </c>
      <c r="AD268" t="str">
        <f>IF(AND(orders_Q4[[#This Row],[Type]]="New",orders_Q4[[#This Row],[Customer_id_count]]&gt;1),"Existing customer","OK")</f>
        <v>OK</v>
      </c>
      <c r="AE268">
        <f>orders_Q4[[#This Row],[Del Date]]-orders_Q4[[#This Row],[Order Date]]</f>
        <v>16</v>
      </c>
      <c r="AF268" t="str">
        <f>IF(OR(orders_Q4[[#This Row],[Delivery_time]]&gt;30,orders_Q4[[#This Row],[Delivery_time]]&lt;0),"Invalid_delivery_time","OK")</f>
        <v>OK</v>
      </c>
      <c r="AG268" s="20">
        <f>IF(
   AND(NOT(ISBLANK(orders_Q4[[#This Row],[return_received]])), NOT(ISBLANK(orders_Q4[[#This Row],[Del Date]]))),
   orders_Q4[[#This Row],[return_received]] - orders_Q4[[#This Row],[Del Date]],0)</f>
        <v>28</v>
      </c>
      <c r="AH268" t="str">
        <f>TEXT(orders_Q4[[#This Row],[Order Date]],"mmm-yyyy")</f>
        <v>Dec-2024</v>
      </c>
      <c r="AI268" s="1" t="str">
        <f>TEXT(orders_Q4[[#This Row],[Order Date]],"yyyy") &amp; "-" &amp; WEEKNUM(orders_Q4[[#This Row],[Order Date]])</f>
        <v>2024-50</v>
      </c>
      <c r="AJ268" t="str">
        <f>IF(orders_Q4[[#This Row],[Payment]]="COD","COD","Prepaid")</f>
        <v>Prepaid</v>
      </c>
    </row>
    <row r="269" spans="1:36" x14ac:dyDescent="0.3">
      <c r="A269" t="s">
        <v>1164</v>
      </c>
      <c r="B269" s="1">
        <v>45637</v>
      </c>
      <c r="C269" t="s">
        <v>1165</v>
      </c>
      <c r="D269" t="s">
        <v>38</v>
      </c>
      <c r="E269" t="s">
        <v>1166</v>
      </c>
      <c r="F269" t="s">
        <v>61</v>
      </c>
      <c r="G269" t="s">
        <v>1167</v>
      </c>
      <c r="H269">
        <v>5599</v>
      </c>
      <c r="I269">
        <v>1</v>
      </c>
      <c r="J269">
        <v>5599</v>
      </c>
      <c r="K269" s="2">
        <v>46376</v>
      </c>
      <c r="L269">
        <v>20</v>
      </c>
      <c r="M269" t="s">
        <v>55</v>
      </c>
      <c r="N269" t="s">
        <v>30</v>
      </c>
      <c r="O269" t="s">
        <v>172</v>
      </c>
      <c r="P269" t="s">
        <v>32</v>
      </c>
      <c r="Q269" t="s">
        <v>31</v>
      </c>
      <c r="R269" s="1">
        <v>45654</v>
      </c>
      <c r="S269" t="s">
        <v>33</v>
      </c>
      <c r="T269" t="s">
        <v>46</v>
      </c>
      <c r="U269" t="s">
        <v>79</v>
      </c>
      <c r="V269" s="1">
        <v>45682</v>
      </c>
      <c r="W269" t="s">
        <v>48</v>
      </c>
      <c r="X269" t="str">
        <f>IF(OR(orders_Q4[[#This Row],[Qty]]&gt;5,orders_Q4[[#This Row],[Qty]]&lt;0),"Invalid Quantity","OK")</f>
        <v>OK</v>
      </c>
      <c r="Y269" t="b">
        <f>OR(orders_Q4[[#This Row],[Unit Price]]&gt;20000,orders_Q4[[#This Row],[Unit Price]]&lt;0,orders_Q4[[#This Row],[Unit Price]]=0)</f>
        <v>0</v>
      </c>
      <c r="Z26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69">
        <f>orders_Q4[[#This Row],[Unit Price]] * orders_Q4[[#This Row],[Qty]] * (1 - orders_Q4[[#This Row],[Disc %]]/100)</f>
        <v>4479.2</v>
      </c>
      <c r="AB269" t="str">
        <f>IF(ABS(orders_Q4[[#This Row],[Total]] - orders_Q4[[#This Row],[Calculated_order_total]]) &gt; 1, "Mismatch", "OK")</f>
        <v>Mismatch</v>
      </c>
      <c r="AC269">
        <f>COUNTIF(C:C,orders_Q4[[#This Row],[Customer ID]])</f>
        <v>1</v>
      </c>
      <c r="AD269" t="str">
        <f>IF(AND(orders_Q4[[#This Row],[Type]]="New",orders_Q4[[#This Row],[Customer_id_count]]&gt;1),"Existing customer","OK")</f>
        <v>OK</v>
      </c>
      <c r="AE269">
        <f>orders_Q4[[#This Row],[Del Date]]-orders_Q4[[#This Row],[Order Date]]</f>
        <v>17</v>
      </c>
      <c r="AF269" t="str">
        <f>IF(OR(orders_Q4[[#This Row],[Delivery_time]]&gt;30,orders_Q4[[#This Row],[Delivery_time]]&lt;0),"Invalid_delivery_time","OK")</f>
        <v>OK</v>
      </c>
      <c r="AG269" s="20">
        <f>IF(
   AND(NOT(ISBLANK(orders_Q4[[#This Row],[return_received]])), NOT(ISBLANK(orders_Q4[[#This Row],[Del Date]]))),
   orders_Q4[[#This Row],[return_received]] - orders_Q4[[#This Row],[Del Date]],0)</f>
        <v>28</v>
      </c>
      <c r="AH269" t="str">
        <f>TEXT(orders_Q4[[#This Row],[Order Date]],"mmm-yyyy")</f>
        <v>Dec-2024</v>
      </c>
      <c r="AI269" s="1" t="str">
        <f>TEXT(orders_Q4[[#This Row],[Order Date]],"yyyy") &amp; "-" &amp; WEEKNUM(orders_Q4[[#This Row],[Order Date]])</f>
        <v>2024-50</v>
      </c>
      <c r="AJ269" t="str">
        <f>IF(orders_Q4[[#This Row],[Payment]]="COD","COD","Prepaid")</f>
        <v>COD</v>
      </c>
    </row>
    <row r="270" spans="1:36" x14ac:dyDescent="0.3">
      <c r="A270" t="s">
        <v>1168</v>
      </c>
      <c r="B270" s="1">
        <v>45637</v>
      </c>
      <c r="C270" t="s">
        <v>1169</v>
      </c>
      <c r="D270" t="s">
        <v>25</v>
      </c>
      <c r="E270" t="s">
        <v>1170</v>
      </c>
      <c r="F270" t="s">
        <v>71</v>
      </c>
      <c r="G270" t="s">
        <v>1171</v>
      </c>
      <c r="H270">
        <v>399</v>
      </c>
      <c r="I270">
        <v>3</v>
      </c>
      <c r="J270">
        <v>1197</v>
      </c>
      <c r="L270">
        <v>0</v>
      </c>
      <c r="M270" t="s">
        <v>111</v>
      </c>
      <c r="N270" t="s">
        <v>44</v>
      </c>
      <c r="O270" t="s">
        <v>177</v>
      </c>
      <c r="P270" t="s">
        <v>67</v>
      </c>
      <c r="Q270" t="s">
        <v>56</v>
      </c>
      <c r="R270" s="1">
        <v>45653</v>
      </c>
      <c r="S270" t="s">
        <v>33</v>
      </c>
      <c r="T270" t="s">
        <v>34</v>
      </c>
      <c r="W270" t="s">
        <v>35</v>
      </c>
      <c r="X270" t="str">
        <f>IF(OR(orders_Q4[[#This Row],[Qty]]&gt;5,orders_Q4[[#This Row],[Qty]]&lt;0),"Invalid Quantity","OK")</f>
        <v>OK</v>
      </c>
      <c r="Y270" t="b">
        <f>OR(orders_Q4[[#This Row],[Unit Price]]&gt;20000,orders_Q4[[#This Row],[Unit Price]]&lt;0,orders_Q4[[#This Row],[Unit Price]]=0)</f>
        <v>0</v>
      </c>
      <c r="Z27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70">
        <f>orders_Q4[[#This Row],[Unit Price]] * orders_Q4[[#This Row],[Qty]] * (1 - orders_Q4[[#This Row],[Disc %]]/100)</f>
        <v>1197</v>
      </c>
      <c r="AB270" t="str">
        <f>IF(ABS(orders_Q4[[#This Row],[Total]] - orders_Q4[[#This Row],[Calculated_order_total]]) &gt; 1, "Mismatch", "OK")</f>
        <v>OK</v>
      </c>
      <c r="AC270">
        <f>COUNTIF(C:C,orders_Q4[[#This Row],[Customer ID]])</f>
        <v>1</v>
      </c>
      <c r="AD270" t="str">
        <f>IF(AND(orders_Q4[[#This Row],[Type]]="New",orders_Q4[[#This Row],[Customer_id_count]]&gt;1),"Existing customer","OK")</f>
        <v>OK</v>
      </c>
      <c r="AE270">
        <f>orders_Q4[[#This Row],[Del Date]]-orders_Q4[[#This Row],[Order Date]]</f>
        <v>16</v>
      </c>
      <c r="AF270" t="str">
        <f>IF(OR(orders_Q4[[#This Row],[Delivery_time]]&gt;30,orders_Q4[[#This Row],[Delivery_time]]&lt;0),"Invalid_delivery_time","OK")</f>
        <v>OK</v>
      </c>
      <c r="AG270" s="20">
        <f>IF(
   AND(NOT(ISBLANK(orders_Q4[[#This Row],[return_received]])), NOT(ISBLANK(orders_Q4[[#This Row],[Del Date]]))),
   orders_Q4[[#This Row],[return_received]] - orders_Q4[[#This Row],[Del Date]],0)</f>
        <v>0</v>
      </c>
      <c r="AH270" t="str">
        <f>TEXT(orders_Q4[[#This Row],[Order Date]],"mmm-yyyy")</f>
        <v>Dec-2024</v>
      </c>
      <c r="AI270" s="1" t="str">
        <f>TEXT(orders_Q4[[#This Row],[Order Date]],"yyyy") &amp; "-" &amp; WEEKNUM(orders_Q4[[#This Row],[Order Date]])</f>
        <v>2024-50</v>
      </c>
      <c r="AJ270" t="str">
        <f>IF(orders_Q4[[#This Row],[Payment]]="COD","COD","Prepaid")</f>
        <v>Prepaid</v>
      </c>
    </row>
    <row r="271" spans="1:36" x14ac:dyDescent="0.3">
      <c r="A271" t="s">
        <v>1172</v>
      </c>
      <c r="B271" s="1">
        <v>45638</v>
      </c>
      <c r="C271" t="s">
        <v>1173</v>
      </c>
      <c r="D271" t="s">
        <v>25</v>
      </c>
      <c r="E271" t="s">
        <v>1174</v>
      </c>
      <c r="F271" t="s">
        <v>27</v>
      </c>
      <c r="G271" t="s">
        <v>1175</v>
      </c>
      <c r="H271">
        <v>2199</v>
      </c>
      <c r="I271">
        <v>1</v>
      </c>
      <c r="J271">
        <v>2199</v>
      </c>
      <c r="L271">
        <v>0</v>
      </c>
      <c r="M271" t="s">
        <v>64</v>
      </c>
      <c r="N271" t="s">
        <v>65</v>
      </c>
      <c r="O271" t="s">
        <v>182</v>
      </c>
      <c r="P271" t="s">
        <v>183</v>
      </c>
      <c r="Q271" t="s">
        <v>56</v>
      </c>
      <c r="R271" s="1">
        <v>45654</v>
      </c>
      <c r="S271" t="s">
        <v>33</v>
      </c>
      <c r="T271" t="s">
        <v>46</v>
      </c>
      <c r="U271" t="s">
        <v>68</v>
      </c>
      <c r="V271" s="1">
        <v>45680</v>
      </c>
      <c r="W271" t="s">
        <v>48</v>
      </c>
      <c r="X271" t="str">
        <f>IF(OR(orders_Q4[[#This Row],[Qty]]&gt;5,orders_Q4[[#This Row],[Qty]]&lt;0),"Invalid Quantity","OK")</f>
        <v>OK</v>
      </c>
      <c r="Y271" t="b">
        <f>OR(orders_Q4[[#This Row],[Unit Price]]&gt;20000,orders_Q4[[#This Row],[Unit Price]]&lt;0,orders_Q4[[#This Row],[Unit Price]]=0)</f>
        <v>0</v>
      </c>
      <c r="Z27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71">
        <f>orders_Q4[[#This Row],[Unit Price]] * orders_Q4[[#This Row],[Qty]] * (1 - orders_Q4[[#This Row],[Disc %]]/100)</f>
        <v>2199</v>
      </c>
      <c r="AB271" t="str">
        <f>IF(ABS(orders_Q4[[#This Row],[Total]] - orders_Q4[[#This Row],[Calculated_order_total]]) &gt; 1, "Mismatch", "OK")</f>
        <v>OK</v>
      </c>
      <c r="AC271">
        <f>COUNTIF(C:C,orders_Q4[[#This Row],[Customer ID]])</f>
        <v>1</v>
      </c>
      <c r="AD271" t="str">
        <f>IF(AND(orders_Q4[[#This Row],[Type]]="New",orders_Q4[[#This Row],[Customer_id_count]]&gt;1),"Existing customer","OK")</f>
        <v>OK</v>
      </c>
      <c r="AE271">
        <f>orders_Q4[[#This Row],[Del Date]]-orders_Q4[[#This Row],[Order Date]]</f>
        <v>16</v>
      </c>
      <c r="AF271" t="str">
        <f>IF(OR(orders_Q4[[#This Row],[Delivery_time]]&gt;30,orders_Q4[[#This Row],[Delivery_time]]&lt;0),"Invalid_delivery_time","OK")</f>
        <v>OK</v>
      </c>
      <c r="AG271" s="20">
        <f>IF(
   AND(NOT(ISBLANK(orders_Q4[[#This Row],[return_received]])), NOT(ISBLANK(orders_Q4[[#This Row],[Del Date]]))),
   orders_Q4[[#This Row],[return_received]] - orders_Q4[[#This Row],[Del Date]],0)</f>
        <v>26</v>
      </c>
      <c r="AH271" t="str">
        <f>TEXT(orders_Q4[[#This Row],[Order Date]],"mmm-yyyy")</f>
        <v>Dec-2024</v>
      </c>
      <c r="AI271" s="1" t="str">
        <f>TEXT(orders_Q4[[#This Row],[Order Date]],"yyyy") &amp; "-" &amp; WEEKNUM(orders_Q4[[#This Row],[Order Date]])</f>
        <v>2024-50</v>
      </c>
      <c r="AJ271" t="str">
        <f>IF(orders_Q4[[#This Row],[Payment]]="COD","COD","Prepaid")</f>
        <v>Prepaid</v>
      </c>
    </row>
    <row r="272" spans="1:36" x14ac:dyDescent="0.3">
      <c r="A272" t="s">
        <v>1176</v>
      </c>
      <c r="B272" s="1">
        <v>45638</v>
      </c>
      <c r="C272" t="s">
        <v>1177</v>
      </c>
      <c r="D272" t="s">
        <v>25</v>
      </c>
      <c r="E272" t="s">
        <v>1178</v>
      </c>
      <c r="F272" t="s">
        <v>40</v>
      </c>
      <c r="G272" t="s">
        <v>1179</v>
      </c>
      <c r="H272">
        <v>4299</v>
      </c>
      <c r="I272">
        <v>1</v>
      </c>
      <c r="J272">
        <v>4299</v>
      </c>
      <c r="K272" s="2">
        <v>46376</v>
      </c>
      <c r="L272">
        <v>20</v>
      </c>
      <c r="M272" t="s">
        <v>43</v>
      </c>
      <c r="N272" t="s">
        <v>30</v>
      </c>
      <c r="O272" t="s">
        <v>188</v>
      </c>
      <c r="P272" t="s">
        <v>189</v>
      </c>
      <c r="Q272" t="s">
        <v>56</v>
      </c>
      <c r="R272" s="1">
        <v>45655</v>
      </c>
      <c r="S272" t="s">
        <v>33</v>
      </c>
      <c r="T272" t="s">
        <v>34</v>
      </c>
      <c r="W272" t="s">
        <v>35</v>
      </c>
      <c r="X272" t="str">
        <f>IF(OR(orders_Q4[[#This Row],[Qty]]&gt;5,orders_Q4[[#This Row],[Qty]]&lt;0),"Invalid Quantity","OK")</f>
        <v>OK</v>
      </c>
      <c r="Y272" t="b">
        <f>OR(orders_Q4[[#This Row],[Unit Price]]&gt;20000,orders_Q4[[#This Row],[Unit Price]]&lt;0,orders_Q4[[#This Row],[Unit Price]]=0)</f>
        <v>0</v>
      </c>
      <c r="Z27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72">
        <f>orders_Q4[[#This Row],[Unit Price]] * orders_Q4[[#This Row],[Qty]] * (1 - orders_Q4[[#This Row],[Disc %]]/100)</f>
        <v>3439.2000000000003</v>
      </c>
      <c r="AB272" t="str">
        <f>IF(ABS(orders_Q4[[#This Row],[Total]] - orders_Q4[[#This Row],[Calculated_order_total]]) &gt; 1, "Mismatch", "OK")</f>
        <v>Mismatch</v>
      </c>
      <c r="AC272">
        <f>COUNTIF(C:C,orders_Q4[[#This Row],[Customer ID]])</f>
        <v>1</v>
      </c>
      <c r="AD272" t="str">
        <f>IF(AND(orders_Q4[[#This Row],[Type]]="New",orders_Q4[[#This Row],[Customer_id_count]]&gt;1),"Existing customer","OK")</f>
        <v>OK</v>
      </c>
      <c r="AE272">
        <f>orders_Q4[[#This Row],[Del Date]]-orders_Q4[[#This Row],[Order Date]]</f>
        <v>17</v>
      </c>
      <c r="AF272" t="str">
        <f>IF(OR(orders_Q4[[#This Row],[Delivery_time]]&gt;30,orders_Q4[[#This Row],[Delivery_time]]&lt;0),"Invalid_delivery_time","OK")</f>
        <v>OK</v>
      </c>
      <c r="AG272" s="20">
        <f>IF(
   AND(NOT(ISBLANK(orders_Q4[[#This Row],[return_received]])), NOT(ISBLANK(orders_Q4[[#This Row],[Del Date]]))),
   orders_Q4[[#This Row],[return_received]] - orders_Q4[[#This Row],[Del Date]],0)</f>
        <v>0</v>
      </c>
      <c r="AH272" t="str">
        <f>TEXT(orders_Q4[[#This Row],[Order Date]],"mmm-yyyy")</f>
        <v>Dec-2024</v>
      </c>
      <c r="AI272" s="1" t="str">
        <f>TEXT(orders_Q4[[#This Row],[Order Date]],"yyyy") &amp; "-" &amp; WEEKNUM(orders_Q4[[#This Row],[Order Date]])</f>
        <v>2024-50</v>
      </c>
      <c r="AJ272" t="str">
        <f>IF(orders_Q4[[#This Row],[Payment]]="COD","COD","Prepaid")</f>
        <v>Prepaid</v>
      </c>
    </row>
    <row r="273" spans="1:36" x14ac:dyDescent="0.3">
      <c r="A273" t="s">
        <v>1180</v>
      </c>
      <c r="B273" s="1">
        <v>45638</v>
      </c>
      <c r="C273" t="s">
        <v>1181</v>
      </c>
      <c r="D273" t="s">
        <v>25</v>
      </c>
      <c r="E273" t="s">
        <v>1182</v>
      </c>
      <c r="F273" t="s">
        <v>53</v>
      </c>
      <c r="G273" t="s">
        <v>1183</v>
      </c>
      <c r="H273">
        <v>2399</v>
      </c>
      <c r="I273">
        <v>1</v>
      </c>
      <c r="J273">
        <v>2399</v>
      </c>
      <c r="L273">
        <v>0</v>
      </c>
      <c r="M273" t="s">
        <v>29</v>
      </c>
      <c r="N273" t="s">
        <v>44</v>
      </c>
      <c r="O273" t="s">
        <v>194</v>
      </c>
      <c r="P273" t="s">
        <v>183</v>
      </c>
      <c r="Q273" t="s">
        <v>56</v>
      </c>
      <c r="R273" s="1">
        <v>45655</v>
      </c>
      <c r="S273" t="s">
        <v>33</v>
      </c>
      <c r="T273" t="s">
        <v>46</v>
      </c>
      <c r="U273" t="s">
        <v>104</v>
      </c>
      <c r="V273" s="1">
        <v>45683</v>
      </c>
      <c r="W273" t="s">
        <v>48</v>
      </c>
      <c r="X273" t="str">
        <f>IF(OR(orders_Q4[[#This Row],[Qty]]&gt;5,orders_Q4[[#This Row],[Qty]]&lt;0),"Invalid Quantity","OK")</f>
        <v>OK</v>
      </c>
      <c r="Y273" t="b">
        <f>OR(orders_Q4[[#This Row],[Unit Price]]&gt;20000,orders_Q4[[#This Row],[Unit Price]]&lt;0,orders_Q4[[#This Row],[Unit Price]]=0)</f>
        <v>0</v>
      </c>
      <c r="Z27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73">
        <f>orders_Q4[[#This Row],[Unit Price]] * orders_Q4[[#This Row],[Qty]] * (1 - orders_Q4[[#This Row],[Disc %]]/100)</f>
        <v>2399</v>
      </c>
      <c r="AB273" t="str">
        <f>IF(ABS(orders_Q4[[#This Row],[Total]] - orders_Q4[[#This Row],[Calculated_order_total]]) &gt; 1, "Mismatch", "OK")</f>
        <v>OK</v>
      </c>
      <c r="AC273">
        <f>COUNTIF(C:C,orders_Q4[[#This Row],[Customer ID]])</f>
        <v>1</v>
      </c>
      <c r="AD273" t="str">
        <f>IF(AND(orders_Q4[[#This Row],[Type]]="New",orders_Q4[[#This Row],[Customer_id_count]]&gt;1),"Existing customer","OK")</f>
        <v>OK</v>
      </c>
      <c r="AE273">
        <f>orders_Q4[[#This Row],[Del Date]]-orders_Q4[[#This Row],[Order Date]]</f>
        <v>17</v>
      </c>
      <c r="AF273" t="str">
        <f>IF(OR(orders_Q4[[#This Row],[Delivery_time]]&gt;30,orders_Q4[[#This Row],[Delivery_time]]&lt;0),"Invalid_delivery_time","OK")</f>
        <v>OK</v>
      </c>
      <c r="AG273" s="20">
        <f>IF(
   AND(NOT(ISBLANK(orders_Q4[[#This Row],[return_received]])), NOT(ISBLANK(orders_Q4[[#This Row],[Del Date]]))),
   orders_Q4[[#This Row],[return_received]] - orders_Q4[[#This Row],[Del Date]],0)</f>
        <v>28</v>
      </c>
      <c r="AH273" t="str">
        <f>TEXT(orders_Q4[[#This Row],[Order Date]],"mmm-yyyy")</f>
        <v>Dec-2024</v>
      </c>
      <c r="AI273" s="1" t="str">
        <f>TEXT(orders_Q4[[#This Row],[Order Date]],"yyyy") &amp; "-" &amp; WEEKNUM(orders_Q4[[#This Row],[Order Date]])</f>
        <v>2024-50</v>
      </c>
      <c r="AJ273" t="str">
        <f>IF(orders_Q4[[#This Row],[Payment]]="COD","COD","Prepaid")</f>
        <v>Prepaid</v>
      </c>
    </row>
    <row r="274" spans="1:36" x14ac:dyDescent="0.3">
      <c r="A274" t="s">
        <v>1184</v>
      </c>
      <c r="B274" s="1">
        <v>45638</v>
      </c>
      <c r="C274" t="s">
        <v>1185</v>
      </c>
      <c r="D274" t="s">
        <v>38</v>
      </c>
      <c r="E274" t="s">
        <v>1186</v>
      </c>
      <c r="F274" t="s">
        <v>61</v>
      </c>
      <c r="G274" t="s">
        <v>1187</v>
      </c>
      <c r="H274">
        <v>6299</v>
      </c>
      <c r="I274">
        <v>1</v>
      </c>
      <c r="J274">
        <v>6299</v>
      </c>
      <c r="L274">
        <v>0</v>
      </c>
      <c r="M274" t="s">
        <v>55</v>
      </c>
      <c r="N274" t="s">
        <v>65</v>
      </c>
      <c r="O274" t="s">
        <v>199</v>
      </c>
      <c r="P274" t="s">
        <v>57</v>
      </c>
      <c r="Q274" t="s">
        <v>56</v>
      </c>
      <c r="S274" t="s">
        <v>120</v>
      </c>
      <c r="T274" t="s">
        <v>34</v>
      </c>
      <c r="W274" t="s">
        <v>35</v>
      </c>
      <c r="X274" t="str">
        <f>IF(OR(orders_Q4[[#This Row],[Qty]]&gt;5,orders_Q4[[#This Row],[Qty]]&lt;0),"Invalid Quantity","OK")</f>
        <v>OK</v>
      </c>
      <c r="Y274" t="b">
        <f>OR(orders_Q4[[#This Row],[Unit Price]]&gt;20000,orders_Q4[[#This Row],[Unit Price]]&lt;0,orders_Q4[[#This Row],[Unit Price]]=0)</f>
        <v>0</v>
      </c>
      <c r="Z27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74">
        <f>orders_Q4[[#This Row],[Unit Price]] * orders_Q4[[#This Row],[Qty]] * (1 - orders_Q4[[#This Row],[Disc %]]/100)</f>
        <v>6299</v>
      </c>
      <c r="AB274" t="str">
        <f>IF(ABS(orders_Q4[[#This Row],[Total]] - orders_Q4[[#This Row],[Calculated_order_total]]) &gt; 1, "Mismatch", "OK")</f>
        <v>OK</v>
      </c>
      <c r="AC274">
        <f>COUNTIF(C:C,orders_Q4[[#This Row],[Customer ID]])</f>
        <v>1</v>
      </c>
      <c r="AD274" t="str">
        <f>IF(AND(orders_Q4[[#This Row],[Type]]="New",orders_Q4[[#This Row],[Customer_id_count]]&gt;1),"Existing customer","OK")</f>
        <v>OK</v>
      </c>
      <c r="AE274">
        <f>orders_Q4[[#This Row],[Del Date]]-orders_Q4[[#This Row],[Order Date]]</f>
        <v>-45638</v>
      </c>
      <c r="AF274" t="str">
        <f>IF(OR(orders_Q4[[#This Row],[Delivery_time]]&gt;30,orders_Q4[[#This Row],[Delivery_time]]&lt;0),"Invalid_delivery_time","OK")</f>
        <v>Invalid_delivery_time</v>
      </c>
      <c r="AG274" s="20">
        <f>IF(
   AND(NOT(ISBLANK(orders_Q4[[#This Row],[return_received]])), NOT(ISBLANK(orders_Q4[[#This Row],[Del Date]]))),
   orders_Q4[[#This Row],[return_received]] - orders_Q4[[#This Row],[Del Date]],0)</f>
        <v>0</v>
      </c>
      <c r="AH274" t="str">
        <f>TEXT(orders_Q4[[#This Row],[Order Date]],"mmm-yyyy")</f>
        <v>Dec-2024</v>
      </c>
      <c r="AI274" s="1" t="str">
        <f>TEXT(orders_Q4[[#This Row],[Order Date]],"yyyy") &amp; "-" &amp; WEEKNUM(orders_Q4[[#This Row],[Order Date]])</f>
        <v>2024-50</v>
      </c>
      <c r="AJ274" t="str">
        <f>IF(orders_Q4[[#This Row],[Payment]]="COD","COD","Prepaid")</f>
        <v>COD</v>
      </c>
    </row>
    <row r="275" spans="1:36" x14ac:dyDescent="0.3">
      <c r="A275" t="s">
        <v>1188</v>
      </c>
      <c r="B275" s="1">
        <v>45639</v>
      </c>
      <c r="C275" t="s">
        <v>1189</v>
      </c>
      <c r="D275" t="s">
        <v>25</v>
      </c>
      <c r="E275" t="s">
        <v>1190</v>
      </c>
      <c r="F275" t="s">
        <v>71</v>
      </c>
      <c r="G275" t="s">
        <v>1191</v>
      </c>
      <c r="H275">
        <v>599</v>
      </c>
      <c r="I275">
        <v>2</v>
      </c>
      <c r="J275">
        <v>1198</v>
      </c>
      <c r="K275" s="2">
        <v>46376</v>
      </c>
      <c r="L275">
        <v>20</v>
      </c>
      <c r="M275" t="s">
        <v>111</v>
      </c>
      <c r="N275" t="s">
        <v>30</v>
      </c>
      <c r="O275" t="s">
        <v>204</v>
      </c>
      <c r="P275" t="s">
        <v>97</v>
      </c>
      <c r="Q275" t="s">
        <v>31</v>
      </c>
      <c r="R275" s="1">
        <v>45655</v>
      </c>
      <c r="S275" t="s">
        <v>33</v>
      </c>
      <c r="T275" t="s">
        <v>34</v>
      </c>
      <c r="W275" t="s">
        <v>35</v>
      </c>
      <c r="X275" t="str">
        <f>IF(OR(orders_Q4[[#This Row],[Qty]]&gt;5,orders_Q4[[#This Row],[Qty]]&lt;0),"Invalid Quantity","OK")</f>
        <v>OK</v>
      </c>
      <c r="Y275" t="b">
        <f>OR(orders_Q4[[#This Row],[Unit Price]]&gt;20000,orders_Q4[[#This Row],[Unit Price]]&lt;0,orders_Q4[[#This Row],[Unit Price]]=0)</f>
        <v>0</v>
      </c>
      <c r="Z27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75">
        <f>orders_Q4[[#This Row],[Unit Price]] * orders_Q4[[#This Row],[Qty]] * (1 - orders_Q4[[#This Row],[Disc %]]/100)</f>
        <v>958.40000000000009</v>
      </c>
      <c r="AB275" t="str">
        <f>IF(ABS(orders_Q4[[#This Row],[Total]] - orders_Q4[[#This Row],[Calculated_order_total]]) &gt; 1, "Mismatch", "OK")</f>
        <v>Mismatch</v>
      </c>
      <c r="AC275">
        <f>COUNTIF(C:C,orders_Q4[[#This Row],[Customer ID]])</f>
        <v>1</v>
      </c>
      <c r="AD275" t="str">
        <f>IF(AND(orders_Q4[[#This Row],[Type]]="New",orders_Q4[[#This Row],[Customer_id_count]]&gt;1),"Existing customer","OK")</f>
        <v>OK</v>
      </c>
      <c r="AE275">
        <f>orders_Q4[[#This Row],[Del Date]]-orders_Q4[[#This Row],[Order Date]]</f>
        <v>16</v>
      </c>
      <c r="AF275" t="str">
        <f>IF(OR(orders_Q4[[#This Row],[Delivery_time]]&gt;30,orders_Q4[[#This Row],[Delivery_time]]&lt;0),"Invalid_delivery_time","OK")</f>
        <v>OK</v>
      </c>
      <c r="AG275" s="20">
        <f>IF(
   AND(NOT(ISBLANK(orders_Q4[[#This Row],[return_received]])), NOT(ISBLANK(orders_Q4[[#This Row],[Del Date]]))),
   orders_Q4[[#This Row],[return_received]] - orders_Q4[[#This Row],[Del Date]],0)</f>
        <v>0</v>
      </c>
      <c r="AH275" t="str">
        <f>TEXT(orders_Q4[[#This Row],[Order Date]],"mmm-yyyy")</f>
        <v>Dec-2024</v>
      </c>
      <c r="AI275" s="1" t="str">
        <f>TEXT(orders_Q4[[#This Row],[Order Date]],"yyyy") &amp; "-" &amp; WEEKNUM(orders_Q4[[#This Row],[Order Date]])</f>
        <v>2024-50</v>
      </c>
      <c r="AJ275" t="str">
        <f>IF(orders_Q4[[#This Row],[Payment]]="COD","COD","Prepaid")</f>
        <v>Prepaid</v>
      </c>
    </row>
    <row r="276" spans="1:36" x14ac:dyDescent="0.3">
      <c r="A276" t="s">
        <v>1192</v>
      </c>
      <c r="B276" s="1">
        <v>45639</v>
      </c>
      <c r="C276" t="s">
        <v>1193</v>
      </c>
      <c r="D276" t="s">
        <v>25</v>
      </c>
      <c r="E276" t="s">
        <v>1194</v>
      </c>
      <c r="F276" t="s">
        <v>27</v>
      </c>
      <c r="G276" t="s">
        <v>1195</v>
      </c>
      <c r="H276">
        <v>2399</v>
      </c>
      <c r="I276">
        <v>1</v>
      </c>
      <c r="J276">
        <v>2399</v>
      </c>
      <c r="L276">
        <v>0</v>
      </c>
      <c r="M276" t="s">
        <v>64</v>
      </c>
      <c r="N276" t="s">
        <v>44</v>
      </c>
      <c r="O276" t="s">
        <v>209</v>
      </c>
      <c r="P276" t="s">
        <v>97</v>
      </c>
      <c r="Q276" t="s">
        <v>31</v>
      </c>
      <c r="R276" s="1">
        <v>45656</v>
      </c>
      <c r="S276" t="s">
        <v>33</v>
      </c>
      <c r="T276" t="s">
        <v>46</v>
      </c>
      <c r="U276" t="s">
        <v>47</v>
      </c>
      <c r="V276" s="1">
        <v>45684</v>
      </c>
      <c r="W276" t="s">
        <v>48</v>
      </c>
      <c r="X276" t="str">
        <f>IF(OR(orders_Q4[[#This Row],[Qty]]&gt;5,orders_Q4[[#This Row],[Qty]]&lt;0),"Invalid Quantity","OK")</f>
        <v>OK</v>
      </c>
      <c r="Y276" t="b">
        <f>OR(orders_Q4[[#This Row],[Unit Price]]&gt;20000,orders_Q4[[#This Row],[Unit Price]]&lt;0,orders_Q4[[#This Row],[Unit Price]]=0)</f>
        <v>0</v>
      </c>
      <c r="Z27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76">
        <f>orders_Q4[[#This Row],[Unit Price]] * orders_Q4[[#This Row],[Qty]] * (1 - orders_Q4[[#This Row],[Disc %]]/100)</f>
        <v>2399</v>
      </c>
      <c r="AB276" t="str">
        <f>IF(ABS(orders_Q4[[#This Row],[Total]] - orders_Q4[[#This Row],[Calculated_order_total]]) &gt; 1, "Mismatch", "OK")</f>
        <v>OK</v>
      </c>
      <c r="AC276">
        <f>COUNTIF(C:C,orders_Q4[[#This Row],[Customer ID]])</f>
        <v>1</v>
      </c>
      <c r="AD276" t="str">
        <f>IF(AND(orders_Q4[[#This Row],[Type]]="New",orders_Q4[[#This Row],[Customer_id_count]]&gt;1),"Existing customer","OK")</f>
        <v>OK</v>
      </c>
      <c r="AE276">
        <f>orders_Q4[[#This Row],[Del Date]]-orders_Q4[[#This Row],[Order Date]]</f>
        <v>17</v>
      </c>
      <c r="AF276" t="str">
        <f>IF(OR(orders_Q4[[#This Row],[Delivery_time]]&gt;30,orders_Q4[[#This Row],[Delivery_time]]&lt;0),"Invalid_delivery_time","OK")</f>
        <v>OK</v>
      </c>
      <c r="AG276" s="20">
        <f>IF(
   AND(NOT(ISBLANK(orders_Q4[[#This Row],[return_received]])), NOT(ISBLANK(orders_Q4[[#This Row],[Del Date]]))),
   orders_Q4[[#This Row],[return_received]] - orders_Q4[[#This Row],[Del Date]],0)</f>
        <v>28</v>
      </c>
      <c r="AH276" t="str">
        <f>TEXT(orders_Q4[[#This Row],[Order Date]],"mmm-yyyy")</f>
        <v>Dec-2024</v>
      </c>
      <c r="AI276" s="1" t="str">
        <f>TEXT(orders_Q4[[#This Row],[Order Date]],"yyyy") &amp; "-" &amp; WEEKNUM(orders_Q4[[#This Row],[Order Date]])</f>
        <v>2024-50</v>
      </c>
      <c r="AJ276" t="str">
        <f>IF(orders_Q4[[#This Row],[Payment]]="COD","COD","Prepaid")</f>
        <v>Prepaid</v>
      </c>
    </row>
    <row r="277" spans="1:36" x14ac:dyDescent="0.3">
      <c r="A277" t="s">
        <v>1196</v>
      </c>
      <c r="B277" s="1">
        <v>45639</v>
      </c>
      <c r="C277" t="s">
        <v>1197</v>
      </c>
      <c r="D277" t="s">
        <v>25</v>
      </c>
      <c r="E277" t="s">
        <v>1198</v>
      </c>
      <c r="F277" t="s">
        <v>40</v>
      </c>
      <c r="G277" t="s">
        <v>1199</v>
      </c>
      <c r="H277">
        <v>5999</v>
      </c>
      <c r="I277">
        <v>1</v>
      </c>
      <c r="J277">
        <v>5999</v>
      </c>
      <c r="L277">
        <v>0</v>
      </c>
      <c r="M277" t="s">
        <v>43</v>
      </c>
      <c r="N277" t="s">
        <v>65</v>
      </c>
      <c r="O277" t="s">
        <v>214</v>
      </c>
      <c r="P277" t="s">
        <v>113</v>
      </c>
      <c r="Q277" t="s">
        <v>45</v>
      </c>
      <c r="R277" s="1">
        <v>45657</v>
      </c>
      <c r="S277" t="s">
        <v>33</v>
      </c>
      <c r="T277" t="s">
        <v>46</v>
      </c>
      <c r="U277" t="s">
        <v>138</v>
      </c>
      <c r="V277" s="1">
        <v>45685</v>
      </c>
      <c r="W277" t="s">
        <v>48</v>
      </c>
      <c r="X277" t="str">
        <f>IF(OR(orders_Q4[[#This Row],[Qty]]&gt;5,orders_Q4[[#This Row],[Qty]]&lt;0),"Invalid Quantity","OK")</f>
        <v>OK</v>
      </c>
      <c r="Y277" t="b">
        <f>OR(orders_Q4[[#This Row],[Unit Price]]&gt;20000,orders_Q4[[#This Row],[Unit Price]]&lt;0,orders_Q4[[#This Row],[Unit Price]]=0)</f>
        <v>0</v>
      </c>
      <c r="Z27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77">
        <f>orders_Q4[[#This Row],[Unit Price]] * orders_Q4[[#This Row],[Qty]] * (1 - orders_Q4[[#This Row],[Disc %]]/100)</f>
        <v>5999</v>
      </c>
      <c r="AB277" t="str">
        <f>IF(ABS(orders_Q4[[#This Row],[Total]] - orders_Q4[[#This Row],[Calculated_order_total]]) &gt; 1, "Mismatch", "OK")</f>
        <v>OK</v>
      </c>
      <c r="AC277">
        <f>COUNTIF(C:C,orders_Q4[[#This Row],[Customer ID]])</f>
        <v>1</v>
      </c>
      <c r="AD277" t="str">
        <f>IF(AND(orders_Q4[[#This Row],[Type]]="New",orders_Q4[[#This Row],[Customer_id_count]]&gt;1),"Existing customer","OK")</f>
        <v>OK</v>
      </c>
      <c r="AE277">
        <f>orders_Q4[[#This Row],[Del Date]]-orders_Q4[[#This Row],[Order Date]]</f>
        <v>18</v>
      </c>
      <c r="AF277" t="str">
        <f>IF(OR(orders_Q4[[#This Row],[Delivery_time]]&gt;30,orders_Q4[[#This Row],[Delivery_time]]&lt;0),"Invalid_delivery_time","OK")</f>
        <v>OK</v>
      </c>
      <c r="AG277" s="20">
        <f>IF(
   AND(NOT(ISBLANK(orders_Q4[[#This Row],[return_received]])), NOT(ISBLANK(orders_Q4[[#This Row],[Del Date]]))),
   orders_Q4[[#This Row],[return_received]] - orders_Q4[[#This Row],[Del Date]],0)</f>
        <v>28</v>
      </c>
      <c r="AH277" t="str">
        <f>TEXT(orders_Q4[[#This Row],[Order Date]],"mmm-yyyy")</f>
        <v>Dec-2024</v>
      </c>
      <c r="AI277" s="1" t="str">
        <f>TEXT(orders_Q4[[#This Row],[Order Date]],"yyyy") &amp; "-" &amp; WEEKNUM(orders_Q4[[#This Row],[Order Date]])</f>
        <v>2024-50</v>
      </c>
      <c r="AJ277" t="str">
        <f>IF(orders_Q4[[#This Row],[Payment]]="COD","COD","Prepaid")</f>
        <v>Prepaid</v>
      </c>
    </row>
    <row r="278" spans="1:36" x14ac:dyDescent="0.3">
      <c r="A278" t="s">
        <v>1200</v>
      </c>
      <c r="B278" s="1">
        <v>45639</v>
      </c>
      <c r="C278" t="s">
        <v>1201</v>
      </c>
      <c r="D278" t="s">
        <v>25</v>
      </c>
      <c r="E278" t="s">
        <v>1202</v>
      </c>
      <c r="F278" t="s">
        <v>53</v>
      </c>
      <c r="G278" t="s">
        <v>1203</v>
      </c>
      <c r="H278">
        <v>1899</v>
      </c>
      <c r="I278">
        <v>1</v>
      </c>
      <c r="J278">
        <v>1899</v>
      </c>
      <c r="K278" s="2">
        <v>46376</v>
      </c>
      <c r="L278">
        <v>20</v>
      </c>
      <c r="M278" t="s">
        <v>29</v>
      </c>
      <c r="N278" t="s">
        <v>30</v>
      </c>
      <c r="O278" t="s">
        <v>31</v>
      </c>
      <c r="P278" t="s">
        <v>32</v>
      </c>
      <c r="Q278" t="s">
        <v>31</v>
      </c>
      <c r="R278" s="1">
        <v>45656</v>
      </c>
      <c r="S278" t="s">
        <v>33</v>
      </c>
      <c r="T278" t="s">
        <v>34</v>
      </c>
      <c r="W278" t="s">
        <v>35</v>
      </c>
      <c r="X278" t="str">
        <f>IF(OR(orders_Q4[[#This Row],[Qty]]&gt;5,orders_Q4[[#This Row],[Qty]]&lt;0),"Invalid Quantity","OK")</f>
        <v>OK</v>
      </c>
      <c r="Y278" t="b">
        <f>OR(orders_Q4[[#This Row],[Unit Price]]&gt;20000,orders_Q4[[#This Row],[Unit Price]]&lt;0,orders_Q4[[#This Row],[Unit Price]]=0)</f>
        <v>0</v>
      </c>
      <c r="Z27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78">
        <f>orders_Q4[[#This Row],[Unit Price]] * orders_Q4[[#This Row],[Qty]] * (1 - orders_Q4[[#This Row],[Disc %]]/100)</f>
        <v>1519.2</v>
      </c>
      <c r="AB278" t="str">
        <f>IF(ABS(orders_Q4[[#This Row],[Total]] - orders_Q4[[#This Row],[Calculated_order_total]]) &gt; 1, "Mismatch", "OK")</f>
        <v>Mismatch</v>
      </c>
      <c r="AC278">
        <f>COUNTIF(C:C,orders_Q4[[#This Row],[Customer ID]])</f>
        <v>1</v>
      </c>
      <c r="AD278" t="str">
        <f>IF(AND(orders_Q4[[#This Row],[Type]]="New",orders_Q4[[#This Row],[Customer_id_count]]&gt;1),"Existing customer","OK")</f>
        <v>OK</v>
      </c>
      <c r="AE278">
        <f>orders_Q4[[#This Row],[Del Date]]-orders_Q4[[#This Row],[Order Date]]</f>
        <v>17</v>
      </c>
      <c r="AF278" t="str">
        <f>IF(OR(orders_Q4[[#This Row],[Delivery_time]]&gt;30,orders_Q4[[#This Row],[Delivery_time]]&lt;0),"Invalid_delivery_time","OK")</f>
        <v>OK</v>
      </c>
      <c r="AG278" s="20">
        <f>IF(
   AND(NOT(ISBLANK(orders_Q4[[#This Row],[return_received]])), NOT(ISBLANK(orders_Q4[[#This Row],[Del Date]]))),
   orders_Q4[[#This Row],[return_received]] - orders_Q4[[#This Row],[Del Date]],0)</f>
        <v>0</v>
      </c>
      <c r="AH278" t="str">
        <f>TEXT(orders_Q4[[#This Row],[Order Date]],"mmm-yyyy")</f>
        <v>Dec-2024</v>
      </c>
      <c r="AI278" s="1" t="str">
        <f>TEXT(orders_Q4[[#This Row],[Order Date]],"yyyy") &amp; "-" &amp; WEEKNUM(orders_Q4[[#This Row],[Order Date]])</f>
        <v>2024-50</v>
      </c>
      <c r="AJ278" t="str">
        <f>IF(orders_Q4[[#This Row],[Payment]]="COD","COD","Prepaid")</f>
        <v>Prepaid</v>
      </c>
    </row>
    <row r="279" spans="1:36" x14ac:dyDescent="0.3">
      <c r="A279" t="s">
        <v>1204</v>
      </c>
      <c r="B279" s="1">
        <v>45640</v>
      </c>
      <c r="C279" t="s">
        <v>1205</v>
      </c>
      <c r="D279" t="s">
        <v>38</v>
      </c>
      <c r="E279" t="s">
        <v>1206</v>
      </c>
      <c r="F279" t="s">
        <v>61</v>
      </c>
      <c r="G279" t="s">
        <v>1207</v>
      </c>
      <c r="H279">
        <v>4999</v>
      </c>
      <c r="I279">
        <v>1</v>
      </c>
      <c r="J279">
        <v>4999</v>
      </c>
      <c r="L279">
        <v>0</v>
      </c>
      <c r="M279" t="s">
        <v>55</v>
      </c>
      <c r="N279" t="s">
        <v>44</v>
      </c>
      <c r="O279" t="s">
        <v>45</v>
      </c>
      <c r="P279" t="s">
        <v>45</v>
      </c>
      <c r="Q279" t="s">
        <v>45</v>
      </c>
      <c r="R279" s="1">
        <v>45657</v>
      </c>
      <c r="S279" t="s">
        <v>33</v>
      </c>
      <c r="T279" t="s">
        <v>46</v>
      </c>
      <c r="U279" t="s">
        <v>79</v>
      </c>
      <c r="V279" s="1">
        <v>45686</v>
      </c>
      <c r="W279" t="s">
        <v>48</v>
      </c>
      <c r="X279" t="str">
        <f>IF(OR(orders_Q4[[#This Row],[Qty]]&gt;5,orders_Q4[[#This Row],[Qty]]&lt;0),"Invalid Quantity","OK")</f>
        <v>OK</v>
      </c>
      <c r="Y279" t="b">
        <f>OR(orders_Q4[[#This Row],[Unit Price]]&gt;20000,orders_Q4[[#This Row],[Unit Price]]&lt;0,orders_Q4[[#This Row],[Unit Price]]=0)</f>
        <v>0</v>
      </c>
      <c r="Z27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79">
        <f>orders_Q4[[#This Row],[Unit Price]] * orders_Q4[[#This Row],[Qty]] * (1 - orders_Q4[[#This Row],[Disc %]]/100)</f>
        <v>4999</v>
      </c>
      <c r="AB279" t="str">
        <f>IF(ABS(orders_Q4[[#This Row],[Total]] - orders_Q4[[#This Row],[Calculated_order_total]]) &gt; 1, "Mismatch", "OK")</f>
        <v>OK</v>
      </c>
      <c r="AC279">
        <f>COUNTIF(C:C,orders_Q4[[#This Row],[Customer ID]])</f>
        <v>1</v>
      </c>
      <c r="AD279" t="str">
        <f>IF(AND(orders_Q4[[#This Row],[Type]]="New",orders_Q4[[#This Row],[Customer_id_count]]&gt;1),"Existing customer","OK")</f>
        <v>OK</v>
      </c>
      <c r="AE279">
        <f>orders_Q4[[#This Row],[Del Date]]-orders_Q4[[#This Row],[Order Date]]</f>
        <v>17</v>
      </c>
      <c r="AF279" t="str">
        <f>IF(OR(orders_Q4[[#This Row],[Delivery_time]]&gt;30,orders_Q4[[#This Row],[Delivery_time]]&lt;0),"Invalid_delivery_time","OK")</f>
        <v>OK</v>
      </c>
      <c r="AG279" s="20">
        <f>IF(
   AND(NOT(ISBLANK(orders_Q4[[#This Row],[return_received]])), NOT(ISBLANK(orders_Q4[[#This Row],[Del Date]]))),
   orders_Q4[[#This Row],[return_received]] - orders_Q4[[#This Row],[Del Date]],0)</f>
        <v>29</v>
      </c>
      <c r="AH279" t="str">
        <f>TEXT(orders_Q4[[#This Row],[Order Date]],"mmm-yyyy")</f>
        <v>Dec-2024</v>
      </c>
      <c r="AI279" s="1" t="str">
        <f>TEXT(orders_Q4[[#This Row],[Order Date]],"yyyy") &amp; "-" &amp; WEEKNUM(orders_Q4[[#This Row],[Order Date]])</f>
        <v>2024-50</v>
      </c>
      <c r="AJ279" t="str">
        <f>IF(orders_Q4[[#This Row],[Payment]]="COD","COD","Prepaid")</f>
        <v>COD</v>
      </c>
    </row>
    <row r="280" spans="1:36" x14ac:dyDescent="0.3">
      <c r="A280" t="s">
        <v>1208</v>
      </c>
      <c r="B280" s="1">
        <v>45640</v>
      </c>
      <c r="C280" t="s">
        <v>1209</v>
      </c>
      <c r="D280" t="s">
        <v>25</v>
      </c>
      <c r="E280" t="s">
        <v>1210</v>
      </c>
      <c r="F280" t="s">
        <v>71</v>
      </c>
      <c r="G280" t="s">
        <v>1211</v>
      </c>
      <c r="H280">
        <v>1699</v>
      </c>
      <c r="I280">
        <v>1</v>
      </c>
      <c r="J280">
        <v>1699</v>
      </c>
      <c r="L280">
        <v>0</v>
      </c>
      <c r="M280" t="s">
        <v>111</v>
      </c>
      <c r="N280" t="s">
        <v>65</v>
      </c>
      <c r="O280" t="s">
        <v>90</v>
      </c>
      <c r="P280" t="s">
        <v>91</v>
      </c>
      <c r="Q280" t="s">
        <v>45</v>
      </c>
      <c r="R280" s="1">
        <v>45656</v>
      </c>
      <c r="S280" t="s">
        <v>33</v>
      </c>
      <c r="T280" t="s">
        <v>46</v>
      </c>
      <c r="U280" t="s">
        <v>68</v>
      </c>
      <c r="V280" s="1">
        <v>45683</v>
      </c>
      <c r="W280" t="s">
        <v>48</v>
      </c>
      <c r="X280" t="str">
        <f>IF(OR(orders_Q4[[#This Row],[Qty]]&gt;5,orders_Q4[[#This Row],[Qty]]&lt;0),"Invalid Quantity","OK")</f>
        <v>OK</v>
      </c>
      <c r="Y280" t="b">
        <f>OR(orders_Q4[[#This Row],[Unit Price]]&gt;20000,orders_Q4[[#This Row],[Unit Price]]&lt;0,orders_Q4[[#This Row],[Unit Price]]=0)</f>
        <v>0</v>
      </c>
      <c r="Z28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80">
        <f>orders_Q4[[#This Row],[Unit Price]] * orders_Q4[[#This Row],[Qty]] * (1 - orders_Q4[[#This Row],[Disc %]]/100)</f>
        <v>1699</v>
      </c>
      <c r="AB280" t="str">
        <f>IF(ABS(orders_Q4[[#This Row],[Total]] - orders_Q4[[#This Row],[Calculated_order_total]]) &gt; 1, "Mismatch", "OK")</f>
        <v>OK</v>
      </c>
      <c r="AC280">
        <f>COUNTIF(C:C,orders_Q4[[#This Row],[Customer ID]])</f>
        <v>1</v>
      </c>
      <c r="AD280" t="str">
        <f>IF(AND(orders_Q4[[#This Row],[Type]]="New",orders_Q4[[#This Row],[Customer_id_count]]&gt;1),"Existing customer","OK")</f>
        <v>OK</v>
      </c>
      <c r="AE280">
        <f>orders_Q4[[#This Row],[Del Date]]-orders_Q4[[#This Row],[Order Date]]</f>
        <v>16</v>
      </c>
      <c r="AF280" t="str">
        <f>IF(OR(orders_Q4[[#This Row],[Delivery_time]]&gt;30,orders_Q4[[#This Row],[Delivery_time]]&lt;0),"Invalid_delivery_time","OK")</f>
        <v>OK</v>
      </c>
      <c r="AG280" s="20">
        <f>IF(
   AND(NOT(ISBLANK(orders_Q4[[#This Row],[return_received]])), NOT(ISBLANK(orders_Q4[[#This Row],[Del Date]]))),
   orders_Q4[[#This Row],[return_received]] - orders_Q4[[#This Row],[Del Date]],0)</f>
        <v>27</v>
      </c>
      <c r="AH280" t="str">
        <f>TEXT(orders_Q4[[#This Row],[Order Date]],"mmm-yyyy")</f>
        <v>Dec-2024</v>
      </c>
      <c r="AI280" s="1" t="str">
        <f>TEXT(orders_Q4[[#This Row],[Order Date]],"yyyy") &amp; "-" &amp; WEEKNUM(orders_Q4[[#This Row],[Order Date]])</f>
        <v>2024-50</v>
      </c>
      <c r="AJ280" t="str">
        <f>IF(orders_Q4[[#This Row],[Payment]]="COD","COD","Prepaid")</f>
        <v>Prepaid</v>
      </c>
    </row>
    <row r="281" spans="1:36" x14ac:dyDescent="0.3">
      <c r="A281" t="s">
        <v>1212</v>
      </c>
      <c r="B281" s="1">
        <v>45640</v>
      </c>
      <c r="C281" t="s">
        <v>1213</v>
      </c>
      <c r="D281" t="s">
        <v>25</v>
      </c>
      <c r="E281" t="s">
        <v>1214</v>
      </c>
      <c r="F281" t="s">
        <v>27</v>
      </c>
      <c r="G281" t="s">
        <v>1215</v>
      </c>
      <c r="H281">
        <v>2099</v>
      </c>
      <c r="I281">
        <v>1</v>
      </c>
      <c r="J281">
        <v>2099</v>
      </c>
      <c r="K281" s="2">
        <v>46376</v>
      </c>
      <c r="L281">
        <v>20</v>
      </c>
      <c r="M281" t="s">
        <v>64</v>
      </c>
      <c r="N281" t="s">
        <v>30</v>
      </c>
      <c r="O281" t="s">
        <v>66</v>
      </c>
      <c r="P281" t="s">
        <v>67</v>
      </c>
      <c r="Q281" t="s">
        <v>56</v>
      </c>
      <c r="R281" s="1">
        <v>45657</v>
      </c>
      <c r="S281" t="s">
        <v>33</v>
      </c>
      <c r="T281" t="s">
        <v>34</v>
      </c>
      <c r="W281" t="s">
        <v>35</v>
      </c>
      <c r="X281" t="str">
        <f>IF(OR(orders_Q4[[#This Row],[Qty]]&gt;5,orders_Q4[[#This Row],[Qty]]&lt;0),"Invalid Quantity","OK")</f>
        <v>OK</v>
      </c>
      <c r="Y281" t="b">
        <f>OR(orders_Q4[[#This Row],[Unit Price]]&gt;20000,orders_Q4[[#This Row],[Unit Price]]&lt;0,orders_Q4[[#This Row],[Unit Price]]=0)</f>
        <v>0</v>
      </c>
      <c r="Z28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81">
        <f>orders_Q4[[#This Row],[Unit Price]] * orders_Q4[[#This Row],[Qty]] * (1 - orders_Q4[[#This Row],[Disc %]]/100)</f>
        <v>1679.2</v>
      </c>
      <c r="AB281" t="str">
        <f>IF(ABS(orders_Q4[[#This Row],[Total]] - orders_Q4[[#This Row],[Calculated_order_total]]) &gt; 1, "Mismatch", "OK")</f>
        <v>Mismatch</v>
      </c>
      <c r="AC281">
        <f>COUNTIF(C:C,orders_Q4[[#This Row],[Customer ID]])</f>
        <v>1</v>
      </c>
      <c r="AD281" t="str">
        <f>IF(AND(orders_Q4[[#This Row],[Type]]="New",orders_Q4[[#This Row],[Customer_id_count]]&gt;1),"Existing customer","OK")</f>
        <v>OK</v>
      </c>
      <c r="AE281">
        <f>orders_Q4[[#This Row],[Del Date]]-orders_Q4[[#This Row],[Order Date]]</f>
        <v>17</v>
      </c>
      <c r="AF281" t="str">
        <f>IF(OR(orders_Q4[[#This Row],[Delivery_time]]&gt;30,orders_Q4[[#This Row],[Delivery_time]]&lt;0),"Invalid_delivery_time","OK")</f>
        <v>OK</v>
      </c>
      <c r="AG281" s="20">
        <f>IF(
   AND(NOT(ISBLANK(orders_Q4[[#This Row],[return_received]])), NOT(ISBLANK(orders_Q4[[#This Row],[Del Date]]))),
   orders_Q4[[#This Row],[return_received]] - orders_Q4[[#This Row],[Del Date]],0)</f>
        <v>0</v>
      </c>
      <c r="AH281" t="str">
        <f>TEXT(orders_Q4[[#This Row],[Order Date]],"mmm-yyyy")</f>
        <v>Dec-2024</v>
      </c>
      <c r="AI281" s="1" t="str">
        <f>TEXT(orders_Q4[[#This Row],[Order Date]],"yyyy") &amp; "-" &amp; WEEKNUM(orders_Q4[[#This Row],[Order Date]])</f>
        <v>2024-50</v>
      </c>
      <c r="AJ281" t="str">
        <f>IF(orders_Q4[[#This Row],[Payment]]="COD","COD","Prepaid")</f>
        <v>Prepaid</v>
      </c>
    </row>
    <row r="282" spans="1:36" x14ac:dyDescent="0.3">
      <c r="A282" t="s">
        <v>1216</v>
      </c>
      <c r="B282" s="1">
        <v>45640</v>
      </c>
      <c r="C282" t="s">
        <v>1217</v>
      </c>
      <c r="D282" t="s">
        <v>25</v>
      </c>
      <c r="E282" t="s">
        <v>217</v>
      </c>
      <c r="F282" t="s">
        <v>40</v>
      </c>
      <c r="G282" t="s">
        <v>1218</v>
      </c>
      <c r="H282">
        <v>4599</v>
      </c>
      <c r="I282">
        <v>1</v>
      </c>
      <c r="J282">
        <v>4599</v>
      </c>
      <c r="L282">
        <v>0</v>
      </c>
      <c r="M282" t="s">
        <v>43</v>
      </c>
      <c r="N282" t="s">
        <v>44</v>
      </c>
      <c r="O282" t="s">
        <v>77</v>
      </c>
      <c r="P282" t="s">
        <v>78</v>
      </c>
      <c r="Q282" t="s">
        <v>56</v>
      </c>
      <c r="R282" s="1">
        <v>45659</v>
      </c>
      <c r="S282" t="s">
        <v>33</v>
      </c>
      <c r="T282" t="s">
        <v>46</v>
      </c>
      <c r="U282" t="s">
        <v>47</v>
      </c>
      <c r="V282" s="1">
        <v>45687</v>
      </c>
      <c r="W282" t="s">
        <v>48</v>
      </c>
      <c r="X282" t="str">
        <f>IF(OR(orders_Q4[[#This Row],[Qty]]&gt;5,orders_Q4[[#This Row],[Qty]]&lt;0),"Invalid Quantity","OK")</f>
        <v>OK</v>
      </c>
      <c r="Y282" t="b">
        <f>OR(orders_Q4[[#This Row],[Unit Price]]&gt;20000,orders_Q4[[#This Row],[Unit Price]]&lt;0,orders_Q4[[#This Row],[Unit Price]]=0)</f>
        <v>0</v>
      </c>
      <c r="Z28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82">
        <f>orders_Q4[[#This Row],[Unit Price]] * orders_Q4[[#This Row],[Qty]] * (1 - orders_Q4[[#This Row],[Disc %]]/100)</f>
        <v>4599</v>
      </c>
      <c r="AB282" t="str">
        <f>IF(ABS(orders_Q4[[#This Row],[Total]] - orders_Q4[[#This Row],[Calculated_order_total]]) &gt; 1, "Mismatch", "OK")</f>
        <v>OK</v>
      </c>
      <c r="AC282">
        <f>COUNTIF(C:C,orders_Q4[[#This Row],[Customer ID]])</f>
        <v>1</v>
      </c>
      <c r="AD282" t="str">
        <f>IF(AND(orders_Q4[[#This Row],[Type]]="New",orders_Q4[[#This Row],[Customer_id_count]]&gt;1),"Existing customer","OK")</f>
        <v>OK</v>
      </c>
      <c r="AE282">
        <f>orders_Q4[[#This Row],[Del Date]]-orders_Q4[[#This Row],[Order Date]]</f>
        <v>19</v>
      </c>
      <c r="AF282" t="str">
        <f>IF(OR(orders_Q4[[#This Row],[Delivery_time]]&gt;30,orders_Q4[[#This Row],[Delivery_time]]&lt;0),"Invalid_delivery_time","OK")</f>
        <v>OK</v>
      </c>
      <c r="AG282" s="20">
        <f>IF(
   AND(NOT(ISBLANK(orders_Q4[[#This Row],[return_received]])), NOT(ISBLANK(orders_Q4[[#This Row],[Del Date]]))),
   orders_Q4[[#This Row],[return_received]] - orders_Q4[[#This Row],[Del Date]],0)</f>
        <v>28</v>
      </c>
      <c r="AH282" t="str">
        <f>TEXT(orders_Q4[[#This Row],[Order Date]],"mmm-yyyy")</f>
        <v>Dec-2024</v>
      </c>
      <c r="AI282" s="1" t="str">
        <f>TEXT(orders_Q4[[#This Row],[Order Date]],"yyyy") &amp; "-" &amp; WEEKNUM(orders_Q4[[#This Row],[Order Date]])</f>
        <v>2024-50</v>
      </c>
      <c r="AJ282" t="str">
        <f>IF(orders_Q4[[#This Row],[Payment]]="COD","COD","Prepaid")</f>
        <v>Prepaid</v>
      </c>
    </row>
    <row r="283" spans="1:36" x14ac:dyDescent="0.3">
      <c r="A283" t="s">
        <v>1219</v>
      </c>
      <c r="B283" s="1">
        <v>45641</v>
      </c>
      <c r="C283" t="s">
        <v>1220</v>
      </c>
      <c r="D283" t="s">
        <v>25</v>
      </c>
      <c r="E283" t="s">
        <v>1221</v>
      </c>
      <c r="F283" t="s">
        <v>53</v>
      </c>
      <c r="G283" t="s">
        <v>1222</v>
      </c>
      <c r="H283">
        <v>2299</v>
      </c>
      <c r="I283">
        <v>1</v>
      </c>
      <c r="J283">
        <v>2299</v>
      </c>
      <c r="L283">
        <v>0</v>
      </c>
      <c r="M283" t="s">
        <v>29</v>
      </c>
      <c r="N283" t="s">
        <v>65</v>
      </c>
      <c r="O283" t="s">
        <v>84</v>
      </c>
      <c r="P283" t="s">
        <v>32</v>
      </c>
      <c r="Q283" t="s">
        <v>31</v>
      </c>
      <c r="R283" s="1">
        <v>45659</v>
      </c>
      <c r="S283" t="s">
        <v>33</v>
      </c>
      <c r="T283" t="s">
        <v>34</v>
      </c>
      <c r="W283" t="s">
        <v>35</v>
      </c>
      <c r="X283" t="str">
        <f>IF(OR(orders_Q4[[#This Row],[Qty]]&gt;5,orders_Q4[[#This Row],[Qty]]&lt;0),"Invalid Quantity","OK")</f>
        <v>OK</v>
      </c>
      <c r="Y283" t="b">
        <f>OR(orders_Q4[[#This Row],[Unit Price]]&gt;20000,orders_Q4[[#This Row],[Unit Price]]&lt;0,orders_Q4[[#This Row],[Unit Price]]=0)</f>
        <v>0</v>
      </c>
      <c r="Z28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83">
        <f>orders_Q4[[#This Row],[Unit Price]] * orders_Q4[[#This Row],[Qty]] * (1 - orders_Q4[[#This Row],[Disc %]]/100)</f>
        <v>2299</v>
      </c>
      <c r="AB283" t="str">
        <f>IF(ABS(orders_Q4[[#This Row],[Total]] - orders_Q4[[#This Row],[Calculated_order_total]]) &gt; 1, "Mismatch", "OK")</f>
        <v>OK</v>
      </c>
      <c r="AC283">
        <f>COUNTIF(C:C,orders_Q4[[#This Row],[Customer ID]])</f>
        <v>1</v>
      </c>
      <c r="AD283" t="str">
        <f>IF(AND(orders_Q4[[#This Row],[Type]]="New",orders_Q4[[#This Row],[Customer_id_count]]&gt;1),"Existing customer","OK")</f>
        <v>OK</v>
      </c>
      <c r="AE283">
        <f>orders_Q4[[#This Row],[Del Date]]-orders_Q4[[#This Row],[Order Date]]</f>
        <v>18</v>
      </c>
      <c r="AF283" t="str">
        <f>IF(OR(orders_Q4[[#This Row],[Delivery_time]]&gt;30,orders_Q4[[#This Row],[Delivery_time]]&lt;0),"Invalid_delivery_time","OK")</f>
        <v>OK</v>
      </c>
      <c r="AG283" s="20">
        <f>IF(
   AND(NOT(ISBLANK(orders_Q4[[#This Row],[return_received]])), NOT(ISBLANK(orders_Q4[[#This Row],[Del Date]]))),
   orders_Q4[[#This Row],[return_received]] - orders_Q4[[#This Row],[Del Date]],0)</f>
        <v>0</v>
      </c>
      <c r="AH283" t="str">
        <f>TEXT(orders_Q4[[#This Row],[Order Date]],"mmm-yyyy")</f>
        <v>Dec-2024</v>
      </c>
      <c r="AI283" s="1" t="str">
        <f>TEXT(orders_Q4[[#This Row],[Order Date]],"yyyy") &amp; "-" &amp; WEEKNUM(orders_Q4[[#This Row],[Order Date]])</f>
        <v>2024-51</v>
      </c>
      <c r="AJ283" t="str">
        <f>IF(orders_Q4[[#This Row],[Payment]]="COD","COD","Prepaid")</f>
        <v>Prepaid</v>
      </c>
    </row>
    <row r="284" spans="1:36" x14ac:dyDescent="0.3">
      <c r="A284" t="s">
        <v>1223</v>
      </c>
      <c r="B284" s="1">
        <v>45641</v>
      </c>
      <c r="C284" t="s">
        <v>1224</v>
      </c>
      <c r="D284" t="s">
        <v>38</v>
      </c>
      <c r="E284" t="s">
        <v>1225</v>
      </c>
      <c r="F284" t="s">
        <v>61</v>
      </c>
      <c r="G284" t="s">
        <v>1226</v>
      </c>
      <c r="H284">
        <v>5799</v>
      </c>
      <c r="I284">
        <v>1</v>
      </c>
      <c r="J284">
        <v>5799</v>
      </c>
      <c r="K284" s="2">
        <v>46376</v>
      </c>
      <c r="L284">
        <v>20</v>
      </c>
      <c r="M284" t="s">
        <v>55</v>
      </c>
      <c r="N284" t="s">
        <v>30</v>
      </c>
      <c r="O284" t="s">
        <v>96</v>
      </c>
      <c r="P284" t="s">
        <v>97</v>
      </c>
      <c r="Q284" t="s">
        <v>31</v>
      </c>
      <c r="R284" s="1">
        <v>45660</v>
      </c>
      <c r="S284" t="s">
        <v>33</v>
      </c>
      <c r="T284" t="s">
        <v>46</v>
      </c>
      <c r="U284" t="s">
        <v>104</v>
      </c>
      <c r="V284" s="1">
        <v>45688</v>
      </c>
      <c r="W284" t="s">
        <v>48</v>
      </c>
      <c r="X284" t="str">
        <f>IF(OR(orders_Q4[[#This Row],[Qty]]&gt;5,orders_Q4[[#This Row],[Qty]]&lt;0),"Invalid Quantity","OK")</f>
        <v>OK</v>
      </c>
      <c r="Y284" t="b">
        <f>OR(orders_Q4[[#This Row],[Unit Price]]&gt;20000,orders_Q4[[#This Row],[Unit Price]]&lt;0,orders_Q4[[#This Row],[Unit Price]]=0)</f>
        <v>0</v>
      </c>
      <c r="Z28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84">
        <f>orders_Q4[[#This Row],[Unit Price]] * orders_Q4[[#This Row],[Qty]] * (1 - orders_Q4[[#This Row],[Disc %]]/100)</f>
        <v>4639.2</v>
      </c>
      <c r="AB284" t="str">
        <f>IF(ABS(orders_Q4[[#This Row],[Total]] - orders_Q4[[#This Row],[Calculated_order_total]]) &gt; 1, "Mismatch", "OK")</f>
        <v>Mismatch</v>
      </c>
      <c r="AC284">
        <f>COUNTIF(C:C,orders_Q4[[#This Row],[Customer ID]])</f>
        <v>1</v>
      </c>
      <c r="AD284" t="str">
        <f>IF(AND(orders_Q4[[#This Row],[Type]]="New",orders_Q4[[#This Row],[Customer_id_count]]&gt;1),"Existing customer","OK")</f>
        <v>OK</v>
      </c>
      <c r="AE284">
        <f>orders_Q4[[#This Row],[Del Date]]-orders_Q4[[#This Row],[Order Date]]</f>
        <v>19</v>
      </c>
      <c r="AF284" t="str">
        <f>IF(OR(orders_Q4[[#This Row],[Delivery_time]]&gt;30,orders_Q4[[#This Row],[Delivery_time]]&lt;0),"Invalid_delivery_time","OK")</f>
        <v>OK</v>
      </c>
      <c r="AG284" s="20">
        <f>IF(
   AND(NOT(ISBLANK(orders_Q4[[#This Row],[return_received]])), NOT(ISBLANK(orders_Q4[[#This Row],[Del Date]]))),
   orders_Q4[[#This Row],[return_received]] - orders_Q4[[#This Row],[Del Date]],0)</f>
        <v>28</v>
      </c>
      <c r="AH284" t="str">
        <f>TEXT(orders_Q4[[#This Row],[Order Date]],"mmm-yyyy")</f>
        <v>Dec-2024</v>
      </c>
      <c r="AI284" s="1" t="str">
        <f>TEXT(orders_Q4[[#This Row],[Order Date]],"yyyy") &amp; "-" &amp; WEEKNUM(orders_Q4[[#This Row],[Order Date]])</f>
        <v>2024-51</v>
      </c>
      <c r="AJ284" t="str">
        <f>IF(orders_Q4[[#This Row],[Payment]]="COD","COD","Prepaid")</f>
        <v>COD</v>
      </c>
    </row>
    <row r="285" spans="1:36" x14ac:dyDescent="0.3">
      <c r="A285" t="s">
        <v>1227</v>
      </c>
      <c r="B285" s="1">
        <v>45641</v>
      </c>
      <c r="C285" t="s">
        <v>1228</v>
      </c>
      <c r="D285" t="s">
        <v>25</v>
      </c>
      <c r="E285" t="s">
        <v>1229</v>
      </c>
      <c r="F285" t="s">
        <v>71</v>
      </c>
      <c r="G285" t="s">
        <v>1230</v>
      </c>
      <c r="H285">
        <v>799</v>
      </c>
      <c r="I285">
        <v>2</v>
      </c>
      <c r="J285">
        <v>1598</v>
      </c>
      <c r="L285">
        <v>0</v>
      </c>
      <c r="M285" t="s">
        <v>111</v>
      </c>
      <c r="N285" t="s">
        <v>44</v>
      </c>
      <c r="O285" t="s">
        <v>102</v>
      </c>
      <c r="P285" t="s">
        <v>103</v>
      </c>
      <c r="Q285" t="s">
        <v>45</v>
      </c>
      <c r="R285" s="1">
        <v>45659</v>
      </c>
      <c r="S285" t="s">
        <v>33</v>
      </c>
      <c r="T285" t="s">
        <v>34</v>
      </c>
      <c r="W285" t="s">
        <v>35</v>
      </c>
      <c r="X285" t="str">
        <f>IF(OR(orders_Q4[[#This Row],[Qty]]&gt;5,orders_Q4[[#This Row],[Qty]]&lt;0),"Invalid Quantity","OK")</f>
        <v>OK</v>
      </c>
      <c r="Y285" t="b">
        <f>OR(orders_Q4[[#This Row],[Unit Price]]&gt;20000,orders_Q4[[#This Row],[Unit Price]]&lt;0,orders_Q4[[#This Row],[Unit Price]]=0)</f>
        <v>0</v>
      </c>
      <c r="Z28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85">
        <f>orders_Q4[[#This Row],[Unit Price]] * orders_Q4[[#This Row],[Qty]] * (1 - orders_Q4[[#This Row],[Disc %]]/100)</f>
        <v>1598</v>
      </c>
      <c r="AB285" t="str">
        <f>IF(ABS(orders_Q4[[#This Row],[Total]] - orders_Q4[[#This Row],[Calculated_order_total]]) &gt; 1, "Mismatch", "OK")</f>
        <v>OK</v>
      </c>
      <c r="AC285">
        <f>COUNTIF(C:C,orders_Q4[[#This Row],[Customer ID]])</f>
        <v>1</v>
      </c>
      <c r="AD285" t="str">
        <f>IF(AND(orders_Q4[[#This Row],[Type]]="New",orders_Q4[[#This Row],[Customer_id_count]]&gt;1),"Existing customer","OK")</f>
        <v>OK</v>
      </c>
      <c r="AE285">
        <f>orders_Q4[[#This Row],[Del Date]]-orders_Q4[[#This Row],[Order Date]]</f>
        <v>18</v>
      </c>
      <c r="AF285" t="str">
        <f>IF(OR(orders_Q4[[#This Row],[Delivery_time]]&gt;30,orders_Q4[[#This Row],[Delivery_time]]&lt;0),"Invalid_delivery_time","OK")</f>
        <v>OK</v>
      </c>
      <c r="AG285" s="20">
        <f>IF(
   AND(NOT(ISBLANK(orders_Q4[[#This Row],[return_received]])), NOT(ISBLANK(orders_Q4[[#This Row],[Del Date]]))),
   orders_Q4[[#This Row],[return_received]] - orders_Q4[[#This Row],[Del Date]],0)</f>
        <v>0</v>
      </c>
      <c r="AH285" t="str">
        <f>TEXT(orders_Q4[[#This Row],[Order Date]],"mmm-yyyy")</f>
        <v>Dec-2024</v>
      </c>
      <c r="AI285" s="1" t="str">
        <f>TEXT(orders_Q4[[#This Row],[Order Date]],"yyyy") &amp; "-" &amp; WEEKNUM(orders_Q4[[#This Row],[Order Date]])</f>
        <v>2024-51</v>
      </c>
      <c r="AJ285" t="str">
        <f>IF(orders_Q4[[#This Row],[Payment]]="COD","COD","Prepaid")</f>
        <v>Prepaid</v>
      </c>
    </row>
    <row r="286" spans="1:36" x14ac:dyDescent="0.3">
      <c r="A286" t="s">
        <v>1231</v>
      </c>
      <c r="B286" s="1">
        <v>45641</v>
      </c>
      <c r="C286" t="s">
        <v>1232</v>
      </c>
      <c r="D286" t="s">
        <v>25</v>
      </c>
      <c r="E286" t="s">
        <v>1233</v>
      </c>
      <c r="F286" t="s">
        <v>27</v>
      </c>
      <c r="G286" t="s">
        <v>1234</v>
      </c>
      <c r="H286">
        <v>1999</v>
      </c>
      <c r="I286">
        <v>1</v>
      </c>
      <c r="J286">
        <v>1999</v>
      </c>
      <c r="L286">
        <v>0</v>
      </c>
      <c r="M286" t="s">
        <v>64</v>
      </c>
      <c r="N286" t="s">
        <v>65</v>
      </c>
      <c r="O286" t="s">
        <v>112</v>
      </c>
      <c r="P286" t="s">
        <v>113</v>
      </c>
      <c r="Q286" t="s">
        <v>45</v>
      </c>
      <c r="R286" s="1">
        <v>45660</v>
      </c>
      <c r="S286" t="s">
        <v>33</v>
      </c>
      <c r="T286" t="s">
        <v>46</v>
      </c>
      <c r="U286" t="s">
        <v>138</v>
      </c>
      <c r="V286" s="1">
        <v>45687</v>
      </c>
      <c r="W286" t="s">
        <v>48</v>
      </c>
      <c r="X286" t="str">
        <f>IF(OR(orders_Q4[[#This Row],[Qty]]&gt;5,orders_Q4[[#This Row],[Qty]]&lt;0),"Invalid Quantity","OK")</f>
        <v>OK</v>
      </c>
      <c r="Y286" t="b">
        <f>OR(orders_Q4[[#This Row],[Unit Price]]&gt;20000,orders_Q4[[#This Row],[Unit Price]]&lt;0,orders_Q4[[#This Row],[Unit Price]]=0)</f>
        <v>0</v>
      </c>
      <c r="Z28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86">
        <f>orders_Q4[[#This Row],[Unit Price]] * orders_Q4[[#This Row],[Qty]] * (1 - orders_Q4[[#This Row],[Disc %]]/100)</f>
        <v>1999</v>
      </c>
      <c r="AB286" t="str">
        <f>IF(ABS(orders_Q4[[#This Row],[Total]] - orders_Q4[[#This Row],[Calculated_order_total]]) &gt; 1, "Mismatch", "OK")</f>
        <v>OK</v>
      </c>
      <c r="AC286">
        <f>COUNTIF(C:C,orders_Q4[[#This Row],[Customer ID]])</f>
        <v>1</v>
      </c>
      <c r="AD286" t="str">
        <f>IF(AND(orders_Q4[[#This Row],[Type]]="New",orders_Q4[[#This Row],[Customer_id_count]]&gt;1),"Existing customer","OK")</f>
        <v>OK</v>
      </c>
      <c r="AE286">
        <f>orders_Q4[[#This Row],[Del Date]]-orders_Q4[[#This Row],[Order Date]]</f>
        <v>19</v>
      </c>
      <c r="AF286" t="str">
        <f>IF(OR(orders_Q4[[#This Row],[Delivery_time]]&gt;30,orders_Q4[[#This Row],[Delivery_time]]&lt;0),"Invalid_delivery_time","OK")</f>
        <v>OK</v>
      </c>
      <c r="AG286" s="20">
        <f>IF(
   AND(NOT(ISBLANK(orders_Q4[[#This Row],[return_received]])), NOT(ISBLANK(orders_Q4[[#This Row],[Del Date]]))),
   orders_Q4[[#This Row],[return_received]] - orders_Q4[[#This Row],[Del Date]],0)</f>
        <v>27</v>
      </c>
      <c r="AH286" t="str">
        <f>TEXT(orders_Q4[[#This Row],[Order Date]],"mmm-yyyy")</f>
        <v>Dec-2024</v>
      </c>
      <c r="AI286" s="1" t="str">
        <f>TEXT(orders_Q4[[#This Row],[Order Date]],"yyyy") &amp; "-" &amp; WEEKNUM(orders_Q4[[#This Row],[Order Date]])</f>
        <v>2024-51</v>
      </c>
      <c r="AJ286" t="str">
        <f>IF(orders_Q4[[#This Row],[Payment]]="COD","COD","Prepaid")</f>
        <v>Prepaid</v>
      </c>
    </row>
    <row r="287" spans="1:36" x14ac:dyDescent="0.3">
      <c r="A287" t="s">
        <v>1235</v>
      </c>
      <c r="B287" s="1">
        <v>45642</v>
      </c>
      <c r="C287" t="s">
        <v>1236</v>
      </c>
      <c r="D287" t="s">
        <v>25</v>
      </c>
      <c r="E287" t="s">
        <v>1237</v>
      </c>
      <c r="F287" t="s">
        <v>40</v>
      </c>
      <c r="G287" t="s">
        <v>1238</v>
      </c>
      <c r="H287">
        <v>3899</v>
      </c>
      <c r="I287">
        <v>1</v>
      </c>
      <c r="J287">
        <v>3899</v>
      </c>
      <c r="K287" s="2">
        <v>46376</v>
      </c>
      <c r="L287">
        <v>20</v>
      </c>
      <c r="M287" t="s">
        <v>43</v>
      </c>
      <c r="N287" t="s">
        <v>30</v>
      </c>
      <c r="O287" t="s">
        <v>56</v>
      </c>
      <c r="P287" t="s">
        <v>57</v>
      </c>
      <c r="Q287" t="s">
        <v>56</v>
      </c>
      <c r="R287" s="1">
        <v>45661</v>
      </c>
      <c r="S287" t="s">
        <v>33</v>
      </c>
      <c r="T287" t="s">
        <v>46</v>
      </c>
      <c r="U287" t="s">
        <v>47</v>
      </c>
      <c r="V287" s="1">
        <v>45689</v>
      </c>
      <c r="W287" t="s">
        <v>48</v>
      </c>
      <c r="X287" t="str">
        <f>IF(OR(orders_Q4[[#This Row],[Qty]]&gt;5,orders_Q4[[#This Row],[Qty]]&lt;0),"Invalid Quantity","OK")</f>
        <v>OK</v>
      </c>
      <c r="Y287" t="b">
        <f>OR(orders_Q4[[#This Row],[Unit Price]]&gt;20000,orders_Q4[[#This Row],[Unit Price]]&lt;0,orders_Q4[[#This Row],[Unit Price]]=0)</f>
        <v>0</v>
      </c>
      <c r="Z28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87">
        <f>orders_Q4[[#This Row],[Unit Price]] * orders_Q4[[#This Row],[Qty]] * (1 - orders_Q4[[#This Row],[Disc %]]/100)</f>
        <v>3119.2000000000003</v>
      </c>
      <c r="AB287" t="str">
        <f>IF(ABS(orders_Q4[[#This Row],[Total]] - orders_Q4[[#This Row],[Calculated_order_total]]) &gt; 1, "Mismatch", "OK")</f>
        <v>Mismatch</v>
      </c>
      <c r="AC287">
        <f>COUNTIF(C:C,orders_Q4[[#This Row],[Customer ID]])</f>
        <v>1</v>
      </c>
      <c r="AD287" t="str">
        <f>IF(AND(orders_Q4[[#This Row],[Type]]="New",orders_Q4[[#This Row],[Customer_id_count]]&gt;1),"Existing customer","OK")</f>
        <v>OK</v>
      </c>
      <c r="AE287">
        <f>orders_Q4[[#This Row],[Del Date]]-orders_Q4[[#This Row],[Order Date]]</f>
        <v>19</v>
      </c>
      <c r="AF287" t="str">
        <f>IF(OR(orders_Q4[[#This Row],[Delivery_time]]&gt;30,orders_Q4[[#This Row],[Delivery_time]]&lt;0),"Invalid_delivery_time","OK")</f>
        <v>OK</v>
      </c>
      <c r="AG287" s="20">
        <f>IF(
   AND(NOT(ISBLANK(orders_Q4[[#This Row],[return_received]])), NOT(ISBLANK(orders_Q4[[#This Row],[Del Date]]))),
   orders_Q4[[#This Row],[return_received]] - orders_Q4[[#This Row],[Del Date]],0)</f>
        <v>28</v>
      </c>
      <c r="AH287" t="str">
        <f>TEXT(orders_Q4[[#This Row],[Order Date]],"mmm-yyyy")</f>
        <v>Dec-2024</v>
      </c>
      <c r="AI287" s="1" t="str">
        <f>TEXT(orders_Q4[[#This Row],[Order Date]],"yyyy") &amp; "-" &amp; WEEKNUM(orders_Q4[[#This Row],[Order Date]])</f>
        <v>2024-51</v>
      </c>
      <c r="AJ287" t="str">
        <f>IF(orders_Q4[[#This Row],[Payment]]="COD","COD","Prepaid")</f>
        <v>Prepaid</v>
      </c>
    </row>
    <row r="288" spans="1:36" x14ac:dyDescent="0.3">
      <c r="A288" t="s">
        <v>1239</v>
      </c>
      <c r="B288" s="1">
        <v>45642</v>
      </c>
      <c r="C288" t="s">
        <v>1240</v>
      </c>
      <c r="D288" t="s">
        <v>25</v>
      </c>
      <c r="E288" t="s">
        <v>1241</v>
      </c>
      <c r="F288" t="s">
        <v>53</v>
      </c>
      <c r="G288" t="s">
        <v>1242</v>
      </c>
      <c r="H288">
        <v>2599</v>
      </c>
      <c r="I288">
        <v>1</v>
      </c>
      <c r="J288">
        <v>2599</v>
      </c>
      <c r="L288">
        <v>0</v>
      </c>
      <c r="M288" t="s">
        <v>29</v>
      </c>
      <c r="N288" t="s">
        <v>44</v>
      </c>
      <c r="O288" t="s">
        <v>31</v>
      </c>
      <c r="P288" t="s">
        <v>32</v>
      </c>
      <c r="Q288" t="s">
        <v>31</v>
      </c>
      <c r="R288" s="1">
        <v>45661</v>
      </c>
      <c r="S288" t="s">
        <v>33</v>
      </c>
      <c r="T288" t="s">
        <v>34</v>
      </c>
      <c r="W288" t="s">
        <v>35</v>
      </c>
      <c r="X288" t="str">
        <f>IF(OR(orders_Q4[[#This Row],[Qty]]&gt;5,orders_Q4[[#This Row],[Qty]]&lt;0),"Invalid Quantity","OK")</f>
        <v>OK</v>
      </c>
      <c r="Y288" t="b">
        <f>OR(orders_Q4[[#This Row],[Unit Price]]&gt;20000,orders_Q4[[#This Row],[Unit Price]]&lt;0,orders_Q4[[#This Row],[Unit Price]]=0)</f>
        <v>0</v>
      </c>
      <c r="Z28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88">
        <f>orders_Q4[[#This Row],[Unit Price]] * orders_Q4[[#This Row],[Qty]] * (1 - orders_Q4[[#This Row],[Disc %]]/100)</f>
        <v>2599</v>
      </c>
      <c r="AB288" t="str">
        <f>IF(ABS(orders_Q4[[#This Row],[Total]] - orders_Q4[[#This Row],[Calculated_order_total]]) &gt; 1, "Mismatch", "OK")</f>
        <v>OK</v>
      </c>
      <c r="AC288">
        <f>COUNTIF(C:C,orders_Q4[[#This Row],[Customer ID]])</f>
        <v>1</v>
      </c>
      <c r="AD288" t="str">
        <f>IF(AND(orders_Q4[[#This Row],[Type]]="New",orders_Q4[[#This Row],[Customer_id_count]]&gt;1),"Existing customer","OK")</f>
        <v>OK</v>
      </c>
      <c r="AE288">
        <f>orders_Q4[[#This Row],[Del Date]]-orders_Q4[[#This Row],[Order Date]]</f>
        <v>19</v>
      </c>
      <c r="AF288" t="str">
        <f>IF(OR(orders_Q4[[#This Row],[Delivery_time]]&gt;30,orders_Q4[[#This Row],[Delivery_time]]&lt;0),"Invalid_delivery_time","OK")</f>
        <v>OK</v>
      </c>
      <c r="AG288" s="20">
        <f>IF(
   AND(NOT(ISBLANK(orders_Q4[[#This Row],[return_received]])), NOT(ISBLANK(orders_Q4[[#This Row],[Del Date]]))),
   orders_Q4[[#This Row],[return_received]] - orders_Q4[[#This Row],[Del Date]],0)</f>
        <v>0</v>
      </c>
      <c r="AH288" t="str">
        <f>TEXT(orders_Q4[[#This Row],[Order Date]],"mmm-yyyy")</f>
        <v>Dec-2024</v>
      </c>
      <c r="AI288" s="1" t="str">
        <f>TEXT(orders_Q4[[#This Row],[Order Date]],"yyyy") &amp; "-" &amp; WEEKNUM(orders_Q4[[#This Row],[Order Date]])</f>
        <v>2024-51</v>
      </c>
      <c r="AJ288" t="str">
        <f>IF(orders_Q4[[#This Row],[Payment]]="COD","COD","Prepaid")</f>
        <v>Prepaid</v>
      </c>
    </row>
    <row r="289" spans="1:36" x14ac:dyDescent="0.3">
      <c r="A289" t="s">
        <v>1243</v>
      </c>
      <c r="B289" s="1">
        <v>45642</v>
      </c>
      <c r="C289" t="s">
        <v>1244</v>
      </c>
      <c r="D289" t="s">
        <v>25</v>
      </c>
      <c r="E289" t="s">
        <v>1245</v>
      </c>
      <c r="F289" t="s">
        <v>61</v>
      </c>
      <c r="G289" t="s">
        <v>1246</v>
      </c>
      <c r="H289">
        <v>5299</v>
      </c>
      <c r="I289">
        <v>1</v>
      </c>
      <c r="J289">
        <v>5299</v>
      </c>
      <c r="L289">
        <v>0</v>
      </c>
      <c r="M289" t="s">
        <v>55</v>
      </c>
      <c r="N289" t="s">
        <v>65</v>
      </c>
      <c r="O289" t="s">
        <v>45</v>
      </c>
      <c r="P289" t="s">
        <v>45</v>
      </c>
      <c r="Q289" t="s">
        <v>45</v>
      </c>
      <c r="R289" s="1">
        <v>45662</v>
      </c>
      <c r="S289" t="s">
        <v>33</v>
      </c>
      <c r="T289" t="s">
        <v>46</v>
      </c>
      <c r="U289" t="s">
        <v>79</v>
      </c>
      <c r="V289" s="1">
        <v>45690</v>
      </c>
      <c r="W289" t="s">
        <v>48</v>
      </c>
      <c r="X289" t="str">
        <f>IF(OR(orders_Q4[[#This Row],[Qty]]&gt;5,orders_Q4[[#This Row],[Qty]]&lt;0),"Invalid Quantity","OK")</f>
        <v>OK</v>
      </c>
      <c r="Y289" t="b">
        <f>OR(orders_Q4[[#This Row],[Unit Price]]&gt;20000,orders_Q4[[#This Row],[Unit Price]]&lt;0,orders_Q4[[#This Row],[Unit Price]]=0)</f>
        <v>0</v>
      </c>
      <c r="Z28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89">
        <f>orders_Q4[[#This Row],[Unit Price]] * orders_Q4[[#This Row],[Qty]] * (1 - orders_Q4[[#This Row],[Disc %]]/100)</f>
        <v>5299</v>
      </c>
      <c r="AB289" t="str">
        <f>IF(ABS(orders_Q4[[#This Row],[Total]] - orders_Q4[[#This Row],[Calculated_order_total]]) &gt; 1, "Mismatch", "OK")</f>
        <v>OK</v>
      </c>
      <c r="AC289">
        <f>COUNTIF(C:C,orders_Q4[[#This Row],[Customer ID]])</f>
        <v>1</v>
      </c>
      <c r="AD289" t="str">
        <f>IF(AND(orders_Q4[[#This Row],[Type]]="New",orders_Q4[[#This Row],[Customer_id_count]]&gt;1),"Existing customer","OK")</f>
        <v>OK</v>
      </c>
      <c r="AE289">
        <f>orders_Q4[[#This Row],[Del Date]]-orders_Q4[[#This Row],[Order Date]]</f>
        <v>20</v>
      </c>
      <c r="AF289" t="str">
        <f>IF(OR(orders_Q4[[#This Row],[Delivery_time]]&gt;30,orders_Q4[[#This Row],[Delivery_time]]&lt;0),"Invalid_delivery_time","OK")</f>
        <v>OK</v>
      </c>
      <c r="AG289" s="20">
        <f>IF(
   AND(NOT(ISBLANK(orders_Q4[[#This Row],[return_received]])), NOT(ISBLANK(orders_Q4[[#This Row],[Del Date]]))),
   orders_Q4[[#This Row],[return_received]] - orders_Q4[[#This Row],[Del Date]],0)</f>
        <v>28</v>
      </c>
      <c r="AH289" t="str">
        <f>TEXT(orders_Q4[[#This Row],[Order Date]],"mmm-yyyy")</f>
        <v>Dec-2024</v>
      </c>
      <c r="AI289" s="1" t="str">
        <f>TEXT(orders_Q4[[#This Row],[Order Date]],"yyyy") &amp; "-" &amp; WEEKNUM(orders_Q4[[#This Row],[Order Date]])</f>
        <v>2024-51</v>
      </c>
      <c r="AJ289" t="str">
        <f>IF(orders_Q4[[#This Row],[Payment]]="COD","COD","Prepaid")</f>
        <v>COD</v>
      </c>
    </row>
    <row r="290" spans="1:36" x14ac:dyDescent="0.3">
      <c r="A290" t="s">
        <v>1247</v>
      </c>
      <c r="B290" s="1">
        <v>45642</v>
      </c>
      <c r="C290" t="s">
        <v>1248</v>
      </c>
      <c r="D290" t="s">
        <v>38</v>
      </c>
      <c r="E290" t="s">
        <v>1249</v>
      </c>
      <c r="F290" t="s">
        <v>71</v>
      </c>
      <c r="G290" t="s">
        <v>1250</v>
      </c>
      <c r="H290">
        <v>1399</v>
      </c>
      <c r="I290">
        <v>1</v>
      </c>
      <c r="J290">
        <v>1399</v>
      </c>
      <c r="K290" s="2">
        <v>46376</v>
      </c>
      <c r="L290">
        <v>20</v>
      </c>
      <c r="M290" t="s">
        <v>111</v>
      </c>
      <c r="N290" t="s">
        <v>30</v>
      </c>
      <c r="O290" t="s">
        <v>118</v>
      </c>
      <c r="P290" t="s">
        <v>119</v>
      </c>
      <c r="Q290" t="s">
        <v>45</v>
      </c>
      <c r="R290" s="1">
        <v>45661</v>
      </c>
      <c r="S290" t="s">
        <v>33</v>
      </c>
      <c r="T290" t="s">
        <v>34</v>
      </c>
      <c r="W290" t="s">
        <v>35</v>
      </c>
      <c r="X290" t="str">
        <f>IF(OR(orders_Q4[[#This Row],[Qty]]&gt;5,orders_Q4[[#This Row],[Qty]]&lt;0),"Invalid Quantity","OK")</f>
        <v>OK</v>
      </c>
      <c r="Y290" t="b">
        <f>OR(orders_Q4[[#This Row],[Unit Price]]&gt;20000,orders_Q4[[#This Row],[Unit Price]]&lt;0,orders_Q4[[#This Row],[Unit Price]]=0)</f>
        <v>0</v>
      </c>
      <c r="Z29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90">
        <f>orders_Q4[[#This Row],[Unit Price]] * orders_Q4[[#This Row],[Qty]] * (1 - orders_Q4[[#This Row],[Disc %]]/100)</f>
        <v>1119.2</v>
      </c>
      <c r="AB290" t="str">
        <f>IF(ABS(orders_Q4[[#This Row],[Total]] - orders_Q4[[#This Row],[Calculated_order_total]]) &gt; 1, "Mismatch", "OK")</f>
        <v>Mismatch</v>
      </c>
      <c r="AC290">
        <f>COUNTIF(C:C,orders_Q4[[#This Row],[Customer ID]])</f>
        <v>1</v>
      </c>
      <c r="AD290" t="str">
        <f>IF(AND(orders_Q4[[#This Row],[Type]]="New",orders_Q4[[#This Row],[Customer_id_count]]&gt;1),"Existing customer","OK")</f>
        <v>OK</v>
      </c>
      <c r="AE290">
        <f>orders_Q4[[#This Row],[Del Date]]-orders_Q4[[#This Row],[Order Date]]</f>
        <v>19</v>
      </c>
      <c r="AF290" t="str">
        <f>IF(OR(orders_Q4[[#This Row],[Delivery_time]]&gt;30,orders_Q4[[#This Row],[Delivery_time]]&lt;0),"Invalid_delivery_time","OK")</f>
        <v>OK</v>
      </c>
      <c r="AG290" s="20">
        <f>IF(
   AND(NOT(ISBLANK(orders_Q4[[#This Row],[return_received]])), NOT(ISBLANK(orders_Q4[[#This Row],[Del Date]]))),
   orders_Q4[[#This Row],[return_received]] - orders_Q4[[#This Row],[Del Date]],0)</f>
        <v>0</v>
      </c>
      <c r="AH290" t="str">
        <f>TEXT(orders_Q4[[#This Row],[Order Date]],"mmm-yyyy")</f>
        <v>Dec-2024</v>
      </c>
      <c r="AI290" s="1" t="str">
        <f>TEXT(orders_Q4[[#This Row],[Order Date]],"yyyy") &amp; "-" &amp; WEEKNUM(orders_Q4[[#This Row],[Order Date]])</f>
        <v>2024-51</v>
      </c>
      <c r="AJ290" t="str">
        <f>IF(orders_Q4[[#This Row],[Payment]]="COD","COD","Prepaid")</f>
        <v>Prepaid</v>
      </c>
    </row>
    <row r="291" spans="1:36" x14ac:dyDescent="0.3">
      <c r="A291" t="s">
        <v>1251</v>
      </c>
      <c r="B291" s="1">
        <v>45643</v>
      </c>
      <c r="C291" t="s">
        <v>1252</v>
      </c>
      <c r="D291" t="s">
        <v>25</v>
      </c>
      <c r="E291" t="s">
        <v>1253</v>
      </c>
      <c r="F291" t="s">
        <v>27</v>
      </c>
      <c r="G291" t="s">
        <v>1254</v>
      </c>
      <c r="H291">
        <v>1799</v>
      </c>
      <c r="I291">
        <v>1</v>
      </c>
      <c r="J291">
        <v>1799</v>
      </c>
      <c r="L291">
        <v>0</v>
      </c>
      <c r="M291" t="s">
        <v>64</v>
      </c>
      <c r="N291" t="s">
        <v>44</v>
      </c>
      <c r="O291" t="s">
        <v>137</v>
      </c>
      <c r="P291" t="s">
        <v>113</v>
      </c>
      <c r="Q291" t="s">
        <v>45</v>
      </c>
      <c r="R291" s="1">
        <v>45662</v>
      </c>
      <c r="S291" t="s">
        <v>33</v>
      </c>
      <c r="T291" t="s">
        <v>46</v>
      </c>
      <c r="U291" t="s">
        <v>68</v>
      </c>
      <c r="V291" s="1">
        <v>45689</v>
      </c>
      <c r="W291" t="s">
        <v>48</v>
      </c>
      <c r="X291" t="str">
        <f>IF(OR(orders_Q4[[#This Row],[Qty]]&gt;5,orders_Q4[[#This Row],[Qty]]&lt;0),"Invalid Quantity","OK")</f>
        <v>OK</v>
      </c>
      <c r="Y291" t="b">
        <f>OR(orders_Q4[[#This Row],[Unit Price]]&gt;20000,orders_Q4[[#This Row],[Unit Price]]&lt;0,orders_Q4[[#This Row],[Unit Price]]=0)</f>
        <v>0</v>
      </c>
      <c r="Z29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91">
        <f>orders_Q4[[#This Row],[Unit Price]] * orders_Q4[[#This Row],[Qty]] * (1 - orders_Q4[[#This Row],[Disc %]]/100)</f>
        <v>1799</v>
      </c>
      <c r="AB291" t="str">
        <f>IF(ABS(orders_Q4[[#This Row],[Total]] - orders_Q4[[#This Row],[Calculated_order_total]]) &gt; 1, "Mismatch", "OK")</f>
        <v>OK</v>
      </c>
      <c r="AC291">
        <f>COUNTIF(C:C,orders_Q4[[#This Row],[Customer ID]])</f>
        <v>1</v>
      </c>
      <c r="AD291" t="str">
        <f>IF(AND(orders_Q4[[#This Row],[Type]]="New",orders_Q4[[#This Row],[Customer_id_count]]&gt;1),"Existing customer","OK")</f>
        <v>OK</v>
      </c>
      <c r="AE291">
        <f>orders_Q4[[#This Row],[Del Date]]-orders_Q4[[#This Row],[Order Date]]</f>
        <v>19</v>
      </c>
      <c r="AF291" t="str">
        <f>IF(OR(orders_Q4[[#This Row],[Delivery_time]]&gt;30,orders_Q4[[#This Row],[Delivery_time]]&lt;0),"Invalid_delivery_time","OK")</f>
        <v>OK</v>
      </c>
      <c r="AG291" s="20">
        <f>IF(
   AND(NOT(ISBLANK(orders_Q4[[#This Row],[return_received]])), NOT(ISBLANK(orders_Q4[[#This Row],[Del Date]]))),
   orders_Q4[[#This Row],[return_received]] - orders_Q4[[#This Row],[Del Date]],0)</f>
        <v>27</v>
      </c>
      <c r="AH291" t="str">
        <f>TEXT(orders_Q4[[#This Row],[Order Date]],"mmm-yyyy")</f>
        <v>Dec-2024</v>
      </c>
      <c r="AI291" s="1" t="str">
        <f>TEXT(orders_Q4[[#This Row],[Order Date]],"yyyy") &amp; "-" &amp; WEEKNUM(orders_Q4[[#This Row],[Order Date]])</f>
        <v>2024-51</v>
      </c>
      <c r="AJ291" t="str">
        <f>IF(orders_Q4[[#This Row],[Payment]]="COD","COD","Prepaid")</f>
        <v>Prepaid</v>
      </c>
    </row>
    <row r="292" spans="1:36" x14ac:dyDescent="0.3">
      <c r="A292" t="s">
        <v>1255</v>
      </c>
      <c r="B292" s="1">
        <v>45643</v>
      </c>
      <c r="C292" t="s">
        <v>1256</v>
      </c>
      <c r="D292" t="s">
        <v>25</v>
      </c>
      <c r="E292" t="s">
        <v>1257</v>
      </c>
      <c r="F292" t="s">
        <v>40</v>
      </c>
      <c r="G292" t="s">
        <v>1258</v>
      </c>
      <c r="H292">
        <v>4199</v>
      </c>
      <c r="I292">
        <v>1</v>
      </c>
      <c r="J292">
        <v>4199</v>
      </c>
      <c r="L292">
        <v>0</v>
      </c>
      <c r="M292" t="s">
        <v>43</v>
      </c>
      <c r="N292" t="s">
        <v>65</v>
      </c>
      <c r="O292" t="s">
        <v>143</v>
      </c>
      <c r="P292" t="s">
        <v>144</v>
      </c>
      <c r="Q292" t="s">
        <v>45</v>
      </c>
      <c r="R292" s="1">
        <v>45663</v>
      </c>
      <c r="S292" t="s">
        <v>33</v>
      </c>
      <c r="T292" t="s">
        <v>46</v>
      </c>
      <c r="U292" t="s">
        <v>47</v>
      </c>
      <c r="V292" s="1">
        <v>45691</v>
      </c>
      <c r="W292" t="s">
        <v>48</v>
      </c>
      <c r="X292" t="str">
        <f>IF(OR(orders_Q4[[#This Row],[Qty]]&gt;5,orders_Q4[[#This Row],[Qty]]&lt;0),"Invalid Quantity","OK")</f>
        <v>OK</v>
      </c>
      <c r="Y292" t="b">
        <f>OR(orders_Q4[[#This Row],[Unit Price]]&gt;20000,orders_Q4[[#This Row],[Unit Price]]&lt;0,orders_Q4[[#This Row],[Unit Price]]=0)</f>
        <v>0</v>
      </c>
      <c r="Z29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92">
        <f>orders_Q4[[#This Row],[Unit Price]] * orders_Q4[[#This Row],[Qty]] * (1 - orders_Q4[[#This Row],[Disc %]]/100)</f>
        <v>4199</v>
      </c>
      <c r="AB292" t="str">
        <f>IF(ABS(orders_Q4[[#This Row],[Total]] - orders_Q4[[#This Row],[Calculated_order_total]]) &gt; 1, "Mismatch", "OK")</f>
        <v>OK</v>
      </c>
      <c r="AC292">
        <f>COUNTIF(C:C,orders_Q4[[#This Row],[Customer ID]])</f>
        <v>1</v>
      </c>
      <c r="AD292" t="str">
        <f>IF(AND(orders_Q4[[#This Row],[Type]]="New",orders_Q4[[#This Row],[Customer_id_count]]&gt;1),"Existing customer","OK")</f>
        <v>OK</v>
      </c>
      <c r="AE292">
        <f>orders_Q4[[#This Row],[Del Date]]-orders_Q4[[#This Row],[Order Date]]</f>
        <v>20</v>
      </c>
      <c r="AF292" t="str">
        <f>IF(OR(orders_Q4[[#This Row],[Delivery_time]]&gt;30,orders_Q4[[#This Row],[Delivery_time]]&lt;0),"Invalid_delivery_time","OK")</f>
        <v>OK</v>
      </c>
      <c r="AG292" s="20">
        <f>IF(
   AND(NOT(ISBLANK(orders_Q4[[#This Row],[return_received]])), NOT(ISBLANK(orders_Q4[[#This Row],[Del Date]]))),
   orders_Q4[[#This Row],[return_received]] - orders_Q4[[#This Row],[Del Date]],0)</f>
        <v>28</v>
      </c>
      <c r="AH292" t="str">
        <f>TEXT(orders_Q4[[#This Row],[Order Date]],"mmm-yyyy")</f>
        <v>Dec-2024</v>
      </c>
      <c r="AI292" s="1" t="str">
        <f>TEXT(orders_Q4[[#This Row],[Order Date]],"yyyy") &amp; "-" &amp; WEEKNUM(orders_Q4[[#This Row],[Order Date]])</f>
        <v>2024-51</v>
      </c>
      <c r="AJ292" t="str">
        <f>IF(orders_Q4[[#This Row],[Payment]]="COD","COD","Prepaid")</f>
        <v>Prepaid</v>
      </c>
    </row>
    <row r="293" spans="1:36" x14ac:dyDescent="0.3">
      <c r="A293" t="s">
        <v>1259</v>
      </c>
      <c r="B293" s="1">
        <v>45643</v>
      </c>
      <c r="C293" t="s">
        <v>1260</v>
      </c>
      <c r="D293" t="s">
        <v>25</v>
      </c>
      <c r="E293" t="s">
        <v>1261</v>
      </c>
      <c r="F293" t="s">
        <v>53</v>
      </c>
      <c r="G293" t="s">
        <v>1262</v>
      </c>
      <c r="H293">
        <v>2799</v>
      </c>
      <c r="I293">
        <v>1</v>
      </c>
      <c r="J293">
        <v>2799</v>
      </c>
      <c r="K293" s="2">
        <v>46376</v>
      </c>
      <c r="L293">
        <v>20</v>
      </c>
      <c r="M293" t="s">
        <v>29</v>
      </c>
      <c r="N293" t="s">
        <v>30</v>
      </c>
      <c r="O293" t="s">
        <v>150</v>
      </c>
      <c r="P293" t="s">
        <v>151</v>
      </c>
      <c r="Q293" t="s">
        <v>31</v>
      </c>
      <c r="R293" s="1">
        <v>45663</v>
      </c>
      <c r="S293" t="s">
        <v>33</v>
      </c>
      <c r="T293" t="s">
        <v>34</v>
      </c>
      <c r="W293" t="s">
        <v>35</v>
      </c>
      <c r="X293" t="str">
        <f>IF(OR(orders_Q4[[#This Row],[Qty]]&gt;5,orders_Q4[[#This Row],[Qty]]&lt;0),"Invalid Quantity","OK")</f>
        <v>OK</v>
      </c>
      <c r="Y293" t="b">
        <f>OR(orders_Q4[[#This Row],[Unit Price]]&gt;20000,orders_Q4[[#This Row],[Unit Price]]&lt;0,orders_Q4[[#This Row],[Unit Price]]=0)</f>
        <v>0</v>
      </c>
      <c r="Z29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93">
        <f>orders_Q4[[#This Row],[Unit Price]] * orders_Q4[[#This Row],[Qty]] * (1 - orders_Q4[[#This Row],[Disc %]]/100)</f>
        <v>2239.2000000000003</v>
      </c>
      <c r="AB293" t="str">
        <f>IF(ABS(orders_Q4[[#This Row],[Total]] - orders_Q4[[#This Row],[Calculated_order_total]]) &gt; 1, "Mismatch", "OK")</f>
        <v>Mismatch</v>
      </c>
      <c r="AC293">
        <f>COUNTIF(C:C,orders_Q4[[#This Row],[Customer ID]])</f>
        <v>1</v>
      </c>
      <c r="AD293" t="str">
        <f>IF(AND(orders_Q4[[#This Row],[Type]]="New",orders_Q4[[#This Row],[Customer_id_count]]&gt;1),"Existing customer","OK")</f>
        <v>OK</v>
      </c>
      <c r="AE293">
        <f>orders_Q4[[#This Row],[Del Date]]-orders_Q4[[#This Row],[Order Date]]</f>
        <v>20</v>
      </c>
      <c r="AF293" t="str">
        <f>IF(OR(orders_Q4[[#This Row],[Delivery_time]]&gt;30,orders_Q4[[#This Row],[Delivery_time]]&lt;0),"Invalid_delivery_time","OK")</f>
        <v>OK</v>
      </c>
      <c r="AG293" s="20">
        <f>IF(
   AND(NOT(ISBLANK(orders_Q4[[#This Row],[return_received]])), NOT(ISBLANK(orders_Q4[[#This Row],[Del Date]]))),
   orders_Q4[[#This Row],[return_received]] - orders_Q4[[#This Row],[Del Date]],0)</f>
        <v>0</v>
      </c>
      <c r="AH293" t="str">
        <f>TEXT(orders_Q4[[#This Row],[Order Date]],"mmm-yyyy")</f>
        <v>Dec-2024</v>
      </c>
      <c r="AI293" s="1" t="str">
        <f>TEXT(orders_Q4[[#This Row],[Order Date]],"yyyy") &amp; "-" &amp; WEEKNUM(orders_Q4[[#This Row],[Order Date]])</f>
        <v>2024-51</v>
      </c>
      <c r="AJ293" t="str">
        <f>IF(orders_Q4[[#This Row],[Payment]]="COD","COD","Prepaid")</f>
        <v>Prepaid</v>
      </c>
    </row>
    <row r="294" spans="1:36" x14ac:dyDescent="0.3">
      <c r="A294" t="s">
        <v>1263</v>
      </c>
      <c r="B294" s="1">
        <v>45643</v>
      </c>
      <c r="C294" t="s">
        <v>1264</v>
      </c>
      <c r="D294" t="s">
        <v>25</v>
      </c>
      <c r="E294" t="s">
        <v>1265</v>
      </c>
      <c r="F294" t="s">
        <v>61</v>
      </c>
      <c r="G294" t="s">
        <v>1266</v>
      </c>
      <c r="H294">
        <v>5499</v>
      </c>
      <c r="I294">
        <v>1</v>
      </c>
      <c r="J294">
        <v>5499</v>
      </c>
      <c r="L294">
        <v>0</v>
      </c>
      <c r="M294" t="s">
        <v>55</v>
      </c>
      <c r="N294" t="s">
        <v>44</v>
      </c>
      <c r="O294" t="s">
        <v>156</v>
      </c>
      <c r="P294" t="s">
        <v>97</v>
      </c>
      <c r="Q294" t="s">
        <v>31</v>
      </c>
      <c r="R294" s="1">
        <v>45664</v>
      </c>
      <c r="S294" t="s">
        <v>33</v>
      </c>
      <c r="T294" t="s">
        <v>46</v>
      </c>
      <c r="U294" t="s">
        <v>104</v>
      </c>
      <c r="V294" s="1">
        <v>45692</v>
      </c>
      <c r="W294" t="s">
        <v>48</v>
      </c>
      <c r="X294" t="str">
        <f>IF(OR(orders_Q4[[#This Row],[Qty]]&gt;5,orders_Q4[[#This Row],[Qty]]&lt;0),"Invalid Quantity","OK")</f>
        <v>OK</v>
      </c>
      <c r="Y294" t="b">
        <f>OR(orders_Q4[[#This Row],[Unit Price]]&gt;20000,orders_Q4[[#This Row],[Unit Price]]&lt;0,orders_Q4[[#This Row],[Unit Price]]=0)</f>
        <v>0</v>
      </c>
      <c r="Z29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94">
        <f>orders_Q4[[#This Row],[Unit Price]] * orders_Q4[[#This Row],[Qty]] * (1 - orders_Q4[[#This Row],[Disc %]]/100)</f>
        <v>5499</v>
      </c>
      <c r="AB294" t="str">
        <f>IF(ABS(orders_Q4[[#This Row],[Total]] - orders_Q4[[#This Row],[Calculated_order_total]]) &gt; 1, "Mismatch", "OK")</f>
        <v>OK</v>
      </c>
      <c r="AC294">
        <f>COUNTIF(C:C,orders_Q4[[#This Row],[Customer ID]])</f>
        <v>1</v>
      </c>
      <c r="AD294" t="str">
        <f>IF(AND(orders_Q4[[#This Row],[Type]]="New",orders_Q4[[#This Row],[Customer_id_count]]&gt;1),"Existing customer","OK")</f>
        <v>OK</v>
      </c>
      <c r="AE294">
        <f>orders_Q4[[#This Row],[Del Date]]-orders_Q4[[#This Row],[Order Date]]</f>
        <v>21</v>
      </c>
      <c r="AF294" t="str">
        <f>IF(OR(orders_Q4[[#This Row],[Delivery_time]]&gt;30,orders_Q4[[#This Row],[Delivery_time]]&lt;0),"Invalid_delivery_time","OK")</f>
        <v>OK</v>
      </c>
      <c r="AG294" s="20">
        <f>IF(
   AND(NOT(ISBLANK(orders_Q4[[#This Row],[return_received]])), NOT(ISBLANK(orders_Q4[[#This Row],[Del Date]]))),
   orders_Q4[[#This Row],[return_received]] - orders_Q4[[#This Row],[Del Date]],0)</f>
        <v>28</v>
      </c>
      <c r="AH294" t="str">
        <f>TEXT(orders_Q4[[#This Row],[Order Date]],"mmm-yyyy")</f>
        <v>Dec-2024</v>
      </c>
      <c r="AI294" s="1" t="str">
        <f>TEXT(orders_Q4[[#This Row],[Order Date]],"yyyy") &amp; "-" &amp; WEEKNUM(orders_Q4[[#This Row],[Order Date]])</f>
        <v>2024-51</v>
      </c>
      <c r="AJ294" t="str">
        <f>IF(orders_Q4[[#This Row],[Payment]]="COD","COD","Prepaid")</f>
        <v>COD</v>
      </c>
    </row>
    <row r="295" spans="1:36" x14ac:dyDescent="0.3">
      <c r="A295" t="s">
        <v>1267</v>
      </c>
      <c r="B295" s="1">
        <v>45644</v>
      </c>
      <c r="C295" t="s">
        <v>1268</v>
      </c>
      <c r="D295" t="s">
        <v>38</v>
      </c>
      <c r="E295" t="s">
        <v>1269</v>
      </c>
      <c r="F295" t="s">
        <v>71</v>
      </c>
      <c r="G295" t="s">
        <v>1270</v>
      </c>
      <c r="H295">
        <v>699</v>
      </c>
      <c r="I295">
        <v>2</v>
      </c>
      <c r="J295">
        <v>1398</v>
      </c>
      <c r="L295">
        <v>0</v>
      </c>
      <c r="M295" t="s">
        <v>111</v>
      </c>
      <c r="N295" t="s">
        <v>65</v>
      </c>
      <c r="O295" t="s">
        <v>161</v>
      </c>
      <c r="P295" t="s">
        <v>162</v>
      </c>
      <c r="Q295" t="s">
        <v>45</v>
      </c>
      <c r="R295" s="1">
        <v>45663</v>
      </c>
      <c r="S295" t="s">
        <v>33</v>
      </c>
      <c r="T295" t="s">
        <v>34</v>
      </c>
      <c r="W295" t="s">
        <v>35</v>
      </c>
      <c r="X295" t="str">
        <f>IF(OR(orders_Q4[[#This Row],[Qty]]&gt;5,orders_Q4[[#This Row],[Qty]]&lt;0),"Invalid Quantity","OK")</f>
        <v>OK</v>
      </c>
      <c r="Y295" t="b">
        <f>OR(orders_Q4[[#This Row],[Unit Price]]&gt;20000,orders_Q4[[#This Row],[Unit Price]]&lt;0,orders_Q4[[#This Row],[Unit Price]]=0)</f>
        <v>0</v>
      </c>
      <c r="Z29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95">
        <f>orders_Q4[[#This Row],[Unit Price]] * orders_Q4[[#This Row],[Qty]] * (1 - orders_Q4[[#This Row],[Disc %]]/100)</f>
        <v>1398</v>
      </c>
      <c r="AB295" t="str">
        <f>IF(ABS(orders_Q4[[#This Row],[Total]] - orders_Q4[[#This Row],[Calculated_order_total]]) &gt; 1, "Mismatch", "OK")</f>
        <v>OK</v>
      </c>
      <c r="AC295">
        <f>COUNTIF(C:C,orders_Q4[[#This Row],[Customer ID]])</f>
        <v>1</v>
      </c>
      <c r="AD295" t="str">
        <f>IF(AND(orders_Q4[[#This Row],[Type]]="New",orders_Q4[[#This Row],[Customer_id_count]]&gt;1),"Existing customer","OK")</f>
        <v>OK</v>
      </c>
      <c r="AE295">
        <f>orders_Q4[[#This Row],[Del Date]]-orders_Q4[[#This Row],[Order Date]]</f>
        <v>19</v>
      </c>
      <c r="AF295" t="str">
        <f>IF(OR(orders_Q4[[#This Row],[Delivery_time]]&gt;30,orders_Q4[[#This Row],[Delivery_time]]&lt;0),"Invalid_delivery_time","OK")</f>
        <v>OK</v>
      </c>
      <c r="AG295" s="20">
        <f>IF(
   AND(NOT(ISBLANK(orders_Q4[[#This Row],[return_received]])), NOT(ISBLANK(orders_Q4[[#This Row],[Del Date]]))),
   orders_Q4[[#This Row],[return_received]] - orders_Q4[[#This Row],[Del Date]],0)</f>
        <v>0</v>
      </c>
      <c r="AH295" t="str">
        <f>TEXT(orders_Q4[[#This Row],[Order Date]],"mmm-yyyy")</f>
        <v>Dec-2024</v>
      </c>
      <c r="AI295" s="1" t="str">
        <f>TEXT(orders_Q4[[#This Row],[Order Date]],"yyyy") &amp; "-" &amp; WEEKNUM(orders_Q4[[#This Row],[Order Date]])</f>
        <v>2024-51</v>
      </c>
      <c r="AJ295" t="str">
        <f>IF(orders_Q4[[#This Row],[Payment]]="COD","COD","Prepaid")</f>
        <v>Prepaid</v>
      </c>
    </row>
    <row r="296" spans="1:36" x14ac:dyDescent="0.3">
      <c r="A296" t="s">
        <v>1271</v>
      </c>
      <c r="B296" s="1">
        <v>45644</v>
      </c>
      <c r="C296" t="s">
        <v>1272</v>
      </c>
      <c r="D296" t="s">
        <v>25</v>
      </c>
      <c r="E296" t="s">
        <v>1273</v>
      </c>
      <c r="F296" t="s">
        <v>27</v>
      </c>
      <c r="G296" t="s">
        <v>1274</v>
      </c>
      <c r="H296">
        <v>2299</v>
      </c>
      <c r="I296">
        <v>1</v>
      </c>
      <c r="J296">
        <v>2299</v>
      </c>
      <c r="K296" s="2">
        <v>46376</v>
      </c>
      <c r="L296">
        <v>20</v>
      </c>
      <c r="M296" t="s">
        <v>64</v>
      </c>
      <c r="N296" t="s">
        <v>30</v>
      </c>
      <c r="O296" t="s">
        <v>167</v>
      </c>
      <c r="P296" t="s">
        <v>151</v>
      </c>
      <c r="Q296" t="s">
        <v>31</v>
      </c>
      <c r="R296" s="1">
        <v>45664</v>
      </c>
      <c r="S296" t="s">
        <v>33</v>
      </c>
      <c r="T296" t="s">
        <v>46</v>
      </c>
      <c r="U296" t="s">
        <v>138</v>
      </c>
      <c r="V296" s="1">
        <v>45691</v>
      </c>
      <c r="W296" t="s">
        <v>48</v>
      </c>
      <c r="X296" t="str">
        <f>IF(OR(orders_Q4[[#This Row],[Qty]]&gt;5,orders_Q4[[#This Row],[Qty]]&lt;0),"Invalid Quantity","OK")</f>
        <v>OK</v>
      </c>
      <c r="Y296" t="b">
        <f>OR(orders_Q4[[#This Row],[Unit Price]]&gt;20000,orders_Q4[[#This Row],[Unit Price]]&lt;0,orders_Q4[[#This Row],[Unit Price]]=0)</f>
        <v>0</v>
      </c>
      <c r="Z29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96">
        <f>orders_Q4[[#This Row],[Unit Price]] * orders_Q4[[#This Row],[Qty]] * (1 - orders_Q4[[#This Row],[Disc %]]/100)</f>
        <v>1839.2</v>
      </c>
      <c r="AB296" t="str">
        <f>IF(ABS(orders_Q4[[#This Row],[Total]] - orders_Q4[[#This Row],[Calculated_order_total]]) &gt; 1, "Mismatch", "OK")</f>
        <v>Mismatch</v>
      </c>
      <c r="AC296">
        <f>COUNTIF(C:C,orders_Q4[[#This Row],[Customer ID]])</f>
        <v>1</v>
      </c>
      <c r="AD296" t="str">
        <f>IF(AND(orders_Q4[[#This Row],[Type]]="New",orders_Q4[[#This Row],[Customer_id_count]]&gt;1),"Existing customer","OK")</f>
        <v>OK</v>
      </c>
      <c r="AE296">
        <f>orders_Q4[[#This Row],[Del Date]]-orders_Q4[[#This Row],[Order Date]]</f>
        <v>20</v>
      </c>
      <c r="AF296" t="str">
        <f>IF(OR(orders_Q4[[#This Row],[Delivery_time]]&gt;30,orders_Q4[[#This Row],[Delivery_time]]&lt;0),"Invalid_delivery_time","OK")</f>
        <v>OK</v>
      </c>
      <c r="AG296" s="20">
        <f>IF(
   AND(NOT(ISBLANK(orders_Q4[[#This Row],[return_received]])), NOT(ISBLANK(orders_Q4[[#This Row],[Del Date]]))),
   orders_Q4[[#This Row],[return_received]] - orders_Q4[[#This Row],[Del Date]],0)</f>
        <v>27</v>
      </c>
      <c r="AH296" t="str">
        <f>TEXT(orders_Q4[[#This Row],[Order Date]],"mmm-yyyy")</f>
        <v>Dec-2024</v>
      </c>
      <c r="AI296" s="1" t="str">
        <f>TEXT(orders_Q4[[#This Row],[Order Date]],"yyyy") &amp; "-" &amp; WEEKNUM(orders_Q4[[#This Row],[Order Date]])</f>
        <v>2024-51</v>
      </c>
      <c r="AJ296" t="str">
        <f>IF(orders_Q4[[#This Row],[Payment]]="COD","COD","Prepaid")</f>
        <v>Prepaid</v>
      </c>
    </row>
    <row r="297" spans="1:36" x14ac:dyDescent="0.3">
      <c r="A297" t="s">
        <v>1275</v>
      </c>
      <c r="B297" s="1">
        <v>45644</v>
      </c>
      <c r="C297" t="s">
        <v>1276</v>
      </c>
      <c r="D297" t="s">
        <v>25</v>
      </c>
      <c r="E297" t="s">
        <v>1277</v>
      </c>
      <c r="F297" t="s">
        <v>40</v>
      </c>
      <c r="G297" t="s">
        <v>1278</v>
      </c>
      <c r="H297">
        <v>3599</v>
      </c>
      <c r="I297">
        <v>1</v>
      </c>
      <c r="J297">
        <v>3599</v>
      </c>
      <c r="L297">
        <v>0</v>
      </c>
      <c r="M297" t="s">
        <v>43</v>
      </c>
      <c r="N297" t="s">
        <v>44</v>
      </c>
      <c r="O297" t="s">
        <v>172</v>
      </c>
      <c r="P297" t="s">
        <v>32</v>
      </c>
      <c r="Q297" t="s">
        <v>31</v>
      </c>
      <c r="R297" s="1">
        <v>45665</v>
      </c>
      <c r="S297" t="s">
        <v>33</v>
      </c>
      <c r="T297" t="s">
        <v>34</v>
      </c>
      <c r="W297" t="s">
        <v>35</v>
      </c>
      <c r="X297" t="str">
        <f>IF(OR(orders_Q4[[#This Row],[Qty]]&gt;5,orders_Q4[[#This Row],[Qty]]&lt;0),"Invalid Quantity","OK")</f>
        <v>OK</v>
      </c>
      <c r="Y297" t="b">
        <f>OR(orders_Q4[[#This Row],[Unit Price]]&gt;20000,orders_Q4[[#This Row],[Unit Price]]&lt;0,orders_Q4[[#This Row],[Unit Price]]=0)</f>
        <v>0</v>
      </c>
      <c r="Z29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97">
        <f>orders_Q4[[#This Row],[Unit Price]] * orders_Q4[[#This Row],[Qty]] * (1 - orders_Q4[[#This Row],[Disc %]]/100)</f>
        <v>3599</v>
      </c>
      <c r="AB297" t="str">
        <f>IF(ABS(orders_Q4[[#This Row],[Total]] - orders_Q4[[#This Row],[Calculated_order_total]]) &gt; 1, "Mismatch", "OK")</f>
        <v>OK</v>
      </c>
      <c r="AC297">
        <f>COUNTIF(C:C,orders_Q4[[#This Row],[Customer ID]])</f>
        <v>1</v>
      </c>
      <c r="AD297" t="str">
        <f>IF(AND(orders_Q4[[#This Row],[Type]]="New",orders_Q4[[#This Row],[Customer_id_count]]&gt;1),"Existing customer","OK")</f>
        <v>OK</v>
      </c>
      <c r="AE297">
        <f>orders_Q4[[#This Row],[Del Date]]-orders_Q4[[#This Row],[Order Date]]</f>
        <v>21</v>
      </c>
      <c r="AF297" t="str">
        <f>IF(OR(orders_Q4[[#This Row],[Delivery_time]]&gt;30,orders_Q4[[#This Row],[Delivery_time]]&lt;0),"Invalid_delivery_time","OK")</f>
        <v>OK</v>
      </c>
      <c r="AG297" s="20">
        <f>IF(
   AND(NOT(ISBLANK(orders_Q4[[#This Row],[return_received]])), NOT(ISBLANK(orders_Q4[[#This Row],[Del Date]]))),
   orders_Q4[[#This Row],[return_received]] - orders_Q4[[#This Row],[Del Date]],0)</f>
        <v>0</v>
      </c>
      <c r="AH297" t="str">
        <f>TEXT(orders_Q4[[#This Row],[Order Date]],"mmm-yyyy")</f>
        <v>Dec-2024</v>
      </c>
      <c r="AI297" s="1" t="str">
        <f>TEXT(orders_Q4[[#This Row],[Order Date]],"yyyy") &amp; "-" &amp; WEEKNUM(orders_Q4[[#This Row],[Order Date]])</f>
        <v>2024-51</v>
      </c>
      <c r="AJ297" t="str">
        <f>IF(orders_Q4[[#This Row],[Payment]]="COD","COD","Prepaid")</f>
        <v>Prepaid</v>
      </c>
    </row>
    <row r="298" spans="1:36" x14ac:dyDescent="0.3">
      <c r="A298" t="s">
        <v>1279</v>
      </c>
      <c r="B298" s="1">
        <v>45644</v>
      </c>
      <c r="C298" t="s">
        <v>1280</v>
      </c>
      <c r="D298" t="s">
        <v>25</v>
      </c>
      <c r="E298" t="s">
        <v>1281</v>
      </c>
      <c r="F298" t="s">
        <v>53</v>
      </c>
      <c r="G298" t="s">
        <v>1282</v>
      </c>
      <c r="H298">
        <v>2499</v>
      </c>
      <c r="I298">
        <v>1</v>
      </c>
      <c r="J298">
        <v>2499</v>
      </c>
      <c r="L298">
        <v>0</v>
      </c>
      <c r="M298" t="s">
        <v>29</v>
      </c>
      <c r="N298" t="s">
        <v>65</v>
      </c>
      <c r="O298" t="s">
        <v>177</v>
      </c>
      <c r="P298" t="s">
        <v>67</v>
      </c>
      <c r="Q298" t="s">
        <v>56</v>
      </c>
      <c r="R298" s="1">
        <v>45665</v>
      </c>
      <c r="S298" t="s">
        <v>33</v>
      </c>
      <c r="T298" t="s">
        <v>46</v>
      </c>
      <c r="U298" t="s">
        <v>47</v>
      </c>
      <c r="V298" s="1">
        <v>45693</v>
      </c>
      <c r="W298" t="s">
        <v>48</v>
      </c>
      <c r="X298" t="str">
        <f>IF(OR(orders_Q4[[#This Row],[Qty]]&gt;5,orders_Q4[[#This Row],[Qty]]&lt;0),"Invalid Quantity","OK")</f>
        <v>OK</v>
      </c>
      <c r="Y298" t="b">
        <f>OR(orders_Q4[[#This Row],[Unit Price]]&gt;20000,orders_Q4[[#This Row],[Unit Price]]&lt;0,orders_Q4[[#This Row],[Unit Price]]=0)</f>
        <v>0</v>
      </c>
      <c r="Z29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298">
        <f>orders_Q4[[#This Row],[Unit Price]] * orders_Q4[[#This Row],[Qty]] * (1 - orders_Q4[[#This Row],[Disc %]]/100)</f>
        <v>2499</v>
      </c>
      <c r="AB298" t="str">
        <f>IF(ABS(orders_Q4[[#This Row],[Total]] - orders_Q4[[#This Row],[Calculated_order_total]]) &gt; 1, "Mismatch", "OK")</f>
        <v>OK</v>
      </c>
      <c r="AC298">
        <f>COUNTIF(C:C,orders_Q4[[#This Row],[Customer ID]])</f>
        <v>1</v>
      </c>
      <c r="AD298" t="str">
        <f>IF(AND(orders_Q4[[#This Row],[Type]]="New",orders_Q4[[#This Row],[Customer_id_count]]&gt;1),"Existing customer","OK")</f>
        <v>OK</v>
      </c>
      <c r="AE298">
        <f>orders_Q4[[#This Row],[Del Date]]-orders_Q4[[#This Row],[Order Date]]</f>
        <v>21</v>
      </c>
      <c r="AF298" t="str">
        <f>IF(OR(orders_Q4[[#This Row],[Delivery_time]]&gt;30,orders_Q4[[#This Row],[Delivery_time]]&lt;0),"Invalid_delivery_time","OK")</f>
        <v>OK</v>
      </c>
      <c r="AG298" s="20">
        <f>IF(
   AND(NOT(ISBLANK(orders_Q4[[#This Row],[return_received]])), NOT(ISBLANK(orders_Q4[[#This Row],[Del Date]]))),
   orders_Q4[[#This Row],[return_received]] - orders_Q4[[#This Row],[Del Date]],0)</f>
        <v>28</v>
      </c>
      <c r="AH298" t="str">
        <f>TEXT(orders_Q4[[#This Row],[Order Date]],"mmm-yyyy")</f>
        <v>Dec-2024</v>
      </c>
      <c r="AI298" s="1" t="str">
        <f>TEXT(orders_Q4[[#This Row],[Order Date]],"yyyy") &amp; "-" &amp; WEEKNUM(orders_Q4[[#This Row],[Order Date]])</f>
        <v>2024-51</v>
      </c>
      <c r="AJ298" t="str">
        <f>IF(orders_Q4[[#This Row],[Payment]]="COD","COD","Prepaid")</f>
        <v>Prepaid</v>
      </c>
    </row>
    <row r="299" spans="1:36" x14ac:dyDescent="0.3">
      <c r="A299" t="s">
        <v>1283</v>
      </c>
      <c r="B299" s="1">
        <v>45645</v>
      </c>
      <c r="C299" t="s">
        <v>1284</v>
      </c>
      <c r="D299" t="s">
        <v>25</v>
      </c>
      <c r="E299" t="s">
        <v>1285</v>
      </c>
      <c r="F299" t="s">
        <v>61</v>
      </c>
      <c r="G299" t="s">
        <v>1286</v>
      </c>
      <c r="H299">
        <v>6799</v>
      </c>
      <c r="I299">
        <v>1</v>
      </c>
      <c r="J299">
        <v>6799</v>
      </c>
      <c r="K299" s="2">
        <v>46376</v>
      </c>
      <c r="L299">
        <v>20</v>
      </c>
      <c r="M299" t="s">
        <v>55</v>
      </c>
      <c r="N299" t="s">
        <v>30</v>
      </c>
      <c r="O299" t="s">
        <v>182</v>
      </c>
      <c r="P299" t="s">
        <v>183</v>
      </c>
      <c r="Q299" t="s">
        <v>56</v>
      </c>
      <c r="R299" s="1">
        <v>45666</v>
      </c>
      <c r="S299" t="s">
        <v>33</v>
      </c>
      <c r="T299" t="s">
        <v>46</v>
      </c>
      <c r="U299" t="s">
        <v>79</v>
      </c>
      <c r="V299" s="1">
        <v>45694</v>
      </c>
      <c r="W299" t="s">
        <v>48</v>
      </c>
      <c r="X299" t="str">
        <f>IF(OR(orders_Q4[[#This Row],[Qty]]&gt;5,orders_Q4[[#This Row],[Qty]]&lt;0),"Invalid Quantity","OK")</f>
        <v>OK</v>
      </c>
      <c r="Y299" t="b">
        <f>OR(orders_Q4[[#This Row],[Unit Price]]&gt;20000,orders_Q4[[#This Row],[Unit Price]]&lt;0,orders_Q4[[#This Row],[Unit Price]]=0)</f>
        <v>0</v>
      </c>
      <c r="Z29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299">
        <f>orders_Q4[[#This Row],[Unit Price]] * orders_Q4[[#This Row],[Qty]] * (1 - orders_Q4[[#This Row],[Disc %]]/100)</f>
        <v>5439.2000000000007</v>
      </c>
      <c r="AB299" t="str">
        <f>IF(ABS(orders_Q4[[#This Row],[Total]] - orders_Q4[[#This Row],[Calculated_order_total]]) &gt; 1, "Mismatch", "OK")</f>
        <v>Mismatch</v>
      </c>
      <c r="AC299">
        <f>COUNTIF(C:C,orders_Q4[[#This Row],[Customer ID]])</f>
        <v>1</v>
      </c>
      <c r="AD299" t="str">
        <f>IF(AND(orders_Q4[[#This Row],[Type]]="New",orders_Q4[[#This Row],[Customer_id_count]]&gt;1),"Existing customer","OK")</f>
        <v>OK</v>
      </c>
      <c r="AE299">
        <f>orders_Q4[[#This Row],[Del Date]]-orders_Q4[[#This Row],[Order Date]]</f>
        <v>21</v>
      </c>
      <c r="AF299" t="str">
        <f>IF(OR(orders_Q4[[#This Row],[Delivery_time]]&gt;30,orders_Q4[[#This Row],[Delivery_time]]&lt;0),"Invalid_delivery_time","OK")</f>
        <v>OK</v>
      </c>
      <c r="AG299" s="20">
        <f>IF(
   AND(NOT(ISBLANK(orders_Q4[[#This Row],[return_received]])), NOT(ISBLANK(orders_Q4[[#This Row],[Del Date]]))),
   orders_Q4[[#This Row],[return_received]] - orders_Q4[[#This Row],[Del Date]],0)</f>
        <v>28</v>
      </c>
      <c r="AH299" t="str">
        <f>TEXT(orders_Q4[[#This Row],[Order Date]],"mmm-yyyy")</f>
        <v>Dec-2024</v>
      </c>
      <c r="AI299" s="1" t="str">
        <f>TEXT(orders_Q4[[#This Row],[Order Date]],"yyyy") &amp; "-" &amp; WEEKNUM(orders_Q4[[#This Row],[Order Date]])</f>
        <v>2024-51</v>
      </c>
      <c r="AJ299" t="str">
        <f>IF(orders_Q4[[#This Row],[Payment]]="COD","COD","Prepaid")</f>
        <v>COD</v>
      </c>
    </row>
    <row r="300" spans="1:36" x14ac:dyDescent="0.3">
      <c r="A300" t="s">
        <v>1287</v>
      </c>
      <c r="B300" s="1">
        <v>45645</v>
      </c>
      <c r="C300" t="s">
        <v>1288</v>
      </c>
      <c r="D300" t="s">
        <v>38</v>
      </c>
      <c r="E300" t="s">
        <v>1289</v>
      </c>
      <c r="F300" t="s">
        <v>71</v>
      </c>
      <c r="G300" t="s">
        <v>1290</v>
      </c>
      <c r="H300">
        <v>599</v>
      </c>
      <c r="I300">
        <v>3</v>
      </c>
      <c r="J300">
        <v>1797</v>
      </c>
      <c r="L300">
        <v>0</v>
      </c>
      <c r="M300" t="s">
        <v>111</v>
      </c>
      <c r="N300" t="s">
        <v>44</v>
      </c>
      <c r="O300" t="s">
        <v>188</v>
      </c>
      <c r="P300" t="s">
        <v>189</v>
      </c>
      <c r="Q300" t="s">
        <v>56</v>
      </c>
      <c r="R300" s="1">
        <v>45665</v>
      </c>
      <c r="S300" t="s">
        <v>33</v>
      </c>
      <c r="T300" t="s">
        <v>34</v>
      </c>
      <c r="W300" t="s">
        <v>35</v>
      </c>
      <c r="X300" t="str">
        <f>IF(OR(orders_Q4[[#This Row],[Qty]]&gt;5,orders_Q4[[#This Row],[Qty]]&lt;0),"Invalid Quantity","OK")</f>
        <v>OK</v>
      </c>
      <c r="Y300" t="b">
        <f>OR(orders_Q4[[#This Row],[Unit Price]]&gt;20000,orders_Q4[[#This Row],[Unit Price]]&lt;0,orders_Q4[[#This Row],[Unit Price]]=0)</f>
        <v>0</v>
      </c>
      <c r="Z30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00">
        <f>orders_Q4[[#This Row],[Unit Price]] * orders_Q4[[#This Row],[Qty]] * (1 - orders_Q4[[#This Row],[Disc %]]/100)</f>
        <v>1797</v>
      </c>
      <c r="AB300" t="str">
        <f>IF(ABS(orders_Q4[[#This Row],[Total]] - orders_Q4[[#This Row],[Calculated_order_total]]) &gt; 1, "Mismatch", "OK")</f>
        <v>OK</v>
      </c>
      <c r="AC300">
        <f>COUNTIF(C:C,orders_Q4[[#This Row],[Customer ID]])</f>
        <v>1</v>
      </c>
      <c r="AD300" t="str">
        <f>IF(AND(orders_Q4[[#This Row],[Type]]="New",orders_Q4[[#This Row],[Customer_id_count]]&gt;1),"Existing customer","OK")</f>
        <v>OK</v>
      </c>
      <c r="AE300">
        <f>orders_Q4[[#This Row],[Del Date]]-orders_Q4[[#This Row],[Order Date]]</f>
        <v>20</v>
      </c>
      <c r="AF300" t="str">
        <f>IF(OR(orders_Q4[[#This Row],[Delivery_time]]&gt;30,orders_Q4[[#This Row],[Delivery_time]]&lt;0),"Invalid_delivery_time","OK")</f>
        <v>OK</v>
      </c>
      <c r="AG300" s="20">
        <f>IF(
   AND(NOT(ISBLANK(orders_Q4[[#This Row],[return_received]])), NOT(ISBLANK(orders_Q4[[#This Row],[Del Date]]))),
   orders_Q4[[#This Row],[return_received]] - orders_Q4[[#This Row],[Del Date]],0)</f>
        <v>0</v>
      </c>
      <c r="AH300" t="str">
        <f>TEXT(orders_Q4[[#This Row],[Order Date]],"mmm-yyyy")</f>
        <v>Dec-2024</v>
      </c>
      <c r="AI300" s="1" t="str">
        <f>TEXT(orders_Q4[[#This Row],[Order Date]],"yyyy") &amp; "-" &amp; WEEKNUM(orders_Q4[[#This Row],[Order Date]])</f>
        <v>2024-51</v>
      </c>
      <c r="AJ300" t="str">
        <f>IF(orders_Q4[[#This Row],[Payment]]="COD","COD","Prepaid")</f>
        <v>Prepaid</v>
      </c>
    </row>
    <row r="301" spans="1:36" x14ac:dyDescent="0.3">
      <c r="A301" t="s">
        <v>1291</v>
      </c>
      <c r="B301" s="1">
        <v>45645</v>
      </c>
      <c r="C301" t="s">
        <v>1292</v>
      </c>
      <c r="D301" t="s">
        <v>25</v>
      </c>
      <c r="E301" t="s">
        <v>1293</v>
      </c>
      <c r="F301" t="s">
        <v>27</v>
      </c>
      <c r="G301" t="s">
        <v>1294</v>
      </c>
      <c r="H301">
        <v>1899</v>
      </c>
      <c r="I301">
        <v>1</v>
      </c>
      <c r="J301">
        <v>1899</v>
      </c>
      <c r="L301">
        <v>0</v>
      </c>
      <c r="M301" t="s">
        <v>64</v>
      </c>
      <c r="N301" t="s">
        <v>65</v>
      </c>
      <c r="O301" t="s">
        <v>194</v>
      </c>
      <c r="P301" t="s">
        <v>183</v>
      </c>
      <c r="Q301" t="s">
        <v>56</v>
      </c>
      <c r="R301" s="1">
        <v>45666</v>
      </c>
      <c r="S301" t="s">
        <v>33</v>
      </c>
      <c r="T301" t="s">
        <v>46</v>
      </c>
      <c r="U301" t="s">
        <v>68</v>
      </c>
      <c r="V301" s="1">
        <v>45693</v>
      </c>
      <c r="W301" t="s">
        <v>48</v>
      </c>
      <c r="X301" t="str">
        <f>IF(OR(orders_Q4[[#This Row],[Qty]]&gt;5,orders_Q4[[#This Row],[Qty]]&lt;0),"Invalid Quantity","OK")</f>
        <v>OK</v>
      </c>
      <c r="Y301" t="b">
        <f>OR(orders_Q4[[#This Row],[Unit Price]]&gt;20000,orders_Q4[[#This Row],[Unit Price]]&lt;0,orders_Q4[[#This Row],[Unit Price]]=0)</f>
        <v>0</v>
      </c>
      <c r="Z30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01">
        <f>orders_Q4[[#This Row],[Unit Price]] * orders_Q4[[#This Row],[Qty]] * (1 - orders_Q4[[#This Row],[Disc %]]/100)</f>
        <v>1899</v>
      </c>
      <c r="AB301" t="str">
        <f>IF(ABS(orders_Q4[[#This Row],[Total]] - orders_Q4[[#This Row],[Calculated_order_total]]) &gt; 1, "Mismatch", "OK")</f>
        <v>OK</v>
      </c>
      <c r="AC301">
        <f>COUNTIF(C:C,orders_Q4[[#This Row],[Customer ID]])</f>
        <v>1</v>
      </c>
      <c r="AD301" t="str">
        <f>IF(AND(orders_Q4[[#This Row],[Type]]="New",orders_Q4[[#This Row],[Customer_id_count]]&gt;1),"Existing customer","OK")</f>
        <v>OK</v>
      </c>
      <c r="AE301">
        <f>orders_Q4[[#This Row],[Del Date]]-orders_Q4[[#This Row],[Order Date]]</f>
        <v>21</v>
      </c>
      <c r="AF301" t="str">
        <f>IF(OR(orders_Q4[[#This Row],[Delivery_time]]&gt;30,orders_Q4[[#This Row],[Delivery_time]]&lt;0),"Invalid_delivery_time","OK")</f>
        <v>OK</v>
      </c>
      <c r="AG301" s="20">
        <f>IF(
   AND(NOT(ISBLANK(orders_Q4[[#This Row],[return_received]])), NOT(ISBLANK(orders_Q4[[#This Row],[Del Date]]))),
   orders_Q4[[#This Row],[return_received]] - orders_Q4[[#This Row],[Del Date]],0)</f>
        <v>27</v>
      </c>
      <c r="AH301" t="str">
        <f>TEXT(orders_Q4[[#This Row],[Order Date]],"mmm-yyyy")</f>
        <v>Dec-2024</v>
      </c>
      <c r="AI301" s="1" t="str">
        <f>TEXT(orders_Q4[[#This Row],[Order Date]],"yyyy") &amp; "-" &amp; WEEKNUM(orders_Q4[[#This Row],[Order Date]])</f>
        <v>2024-51</v>
      </c>
      <c r="AJ301" t="str">
        <f>IF(orders_Q4[[#This Row],[Payment]]="COD","COD","Prepaid")</f>
        <v>Prepaid</v>
      </c>
    </row>
    <row r="302" spans="1:36" x14ac:dyDescent="0.3">
      <c r="A302" t="s">
        <v>1295</v>
      </c>
      <c r="B302" s="1">
        <v>45645</v>
      </c>
      <c r="C302" t="s">
        <v>1296</v>
      </c>
      <c r="D302" t="s">
        <v>25</v>
      </c>
      <c r="E302" t="s">
        <v>1297</v>
      </c>
      <c r="F302" t="s">
        <v>40</v>
      </c>
      <c r="G302" t="s">
        <v>1298</v>
      </c>
      <c r="H302">
        <v>4499</v>
      </c>
      <c r="I302">
        <v>1</v>
      </c>
      <c r="J302">
        <v>4499</v>
      </c>
      <c r="K302" s="2">
        <v>46376</v>
      </c>
      <c r="L302">
        <v>20</v>
      </c>
      <c r="M302" t="s">
        <v>43</v>
      </c>
      <c r="N302" t="s">
        <v>30</v>
      </c>
      <c r="O302" t="s">
        <v>199</v>
      </c>
      <c r="P302" t="s">
        <v>57</v>
      </c>
      <c r="Q302" t="s">
        <v>56</v>
      </c>
      <c r="R302" s="1">
        <v>45667</v>
      </c>
      <c r="S302" t="s">
        <v>33</v>
      </c>
      <c r="T302" t="s">
        <v>46</v>
      </c>
      <c r="U302" t="s">
        <v>47</v>
      </c>
      <c r="V302" s="1">
        <v>45695</v>
      </c>
      <c r="W302" t="s">
        <v>48</v>
      </c>
      <c r="X302" t="str">
        <f>IF(OR(orders_Q4[[#This Row],[Qty]]&gt;5,orders_Q4[[#This Row],[Qty]]&lt;0),"Invalid Quantity","OK")</f>
        <v>OK</v>
      </c>
      <c r="Y302" t="b">
        <f>OR(orders_Q4[[#This Row],[Unit Price]]&gt;20000,orders_Q4[[#This Row],[Unit Price]]&lt;0,orders_Q4[[#This Row],[Unit Price]]=0)</f>
        <v>0</v>
      </c>
      <c r="Z30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02">
        <f>orders_Q4[[#This Row],[Unit Price]] * orders_Q4[[#This Row],[Qty]] * (1 - orders_Q4[[#This Row],[Disc %]]/100)</f>
        <v>3599.2000000000003</v>
      </c>
      <c r="AB302" t="str">
        <f>IF(ABS(orders_Q4[[#This Row],[Total]] - orders_Q4[[#This Row],[Calculated_order_total]]) &gt; 1, "Mismatch", "OK")</f>
        <v>Mismatch</v>
      </c>
      <c r="AC302">
        <f>COUNTIF(C:C,orders_Q4[[#This Row],[Customer ID]])</f>
        <v>1</v>
      </c>
      <c r="AD302" t="str">
        <f>IF(AND(orders_Q4[[#This Row],[Type]]="New",orders_Q4[[#This Row],[Customer_id_count]]&gt;1),"Existing customer","OK")</f>
        <v>OK</v>
      </c>
      <c r="AE302">
        <f>orders_Q4[[#This Row],[Del Date]]-orders_Q4[[#This Row],[Order Date]]</f>
        <v>22</v>
      </c>
      <c r="AF302" t="str">
        <f>IF(OR(orders_Q4[[#This Row],[Delivery_time]]&gt;30,orders_Q4[[#This Row],[Delivery_time]]&lt;0),"Invalid_delivery_time","OK")</f>
        <v>OK</v>
      </c>
      <c r="AG302" s="20">
        <f>IF(
   AND(NOT(ISBLANK(orders_Q4[[#This Row],[return_received]])), NOT(ISBLANK(orders_Q4[[#This Row],[Del Date]]))),
   orders_Q4[[#This Row],[return_received]] - orders_Q4[[#This Row],[Del Date]],0)</f>
        <v>28</v>
      </c>
      <c r="AH302" t="str">
        <f>TEXT(orders_Q4[[#This Row],[Order Date]],"mmm-yyyy")</f>
        <v>Dec-2024</v>
      </c>
      <c r="AI302" s="1" t="str">
        <f>TEXT(orders_Q4[[#This Row],[Order Date]],"yyyy") &amp; "-" &amp; WEEKNUM(orders_Q4[[#This Row],[Order Date]])</f>
        <v>2024-51</v>
      </c>
      <c r="AJ302" t="str">
        <f>IF(orders_Q4[[#This Row],[Payment]]="COD","COD","Prepaid")</f>
        <v>Prepaid</v>
      </c>
    </row>
    <row r="303" spans="1:36" x14ac:dyDescent="0.3">
      <c r="A303" t="s">
        <v>1299</v>
      </c>
      <c r="B303" s="1">
        <v>45646</v>
      </c>
      <c r="C303" t="s">
        <v>1300</v>
      </c>
      <c r="D303" t="s">
        <v>25</v>
      </c>
      <c r="E303" t="s">
        <v>1301</v>
      </c>
      <c r="F303" t="s">
        <v>53</v>
      </c>
      <c r="G303" t="s">
        <v>1302</v>
      </c>
      <c r="H303">
        <v>2199</v>
      </c>
      <c r="I303">
        <v>1</v>
      </c>
      <c r="J303">
        <v>2199</v>
      </c>
      <c r="L303">
        <v>0</v>
      </c>
      <c r="M303" t="s">
        <v>29</v>
      </c>
      <c r="N303" t="s">
        <v>44</v>
      </c>
      <c r="O303" t="s">
        <v>204</v>
      </c>
      <c r="P303" t="s">
        <v>97</v>
      </c>
      <c r="Q303" t="s">
        <v>31</v>
      </c>
      <c r="R303" s="1">
        <v>45667</v>
      </c>
      <c r="S303" t="s">
        <v>33</v>
      </c>
      <c r="T303" t="s">
        <v>34</v>
      </c>
      <c r="W303" t="s">
        <v>35</v>
      </c>
      <c r="X303" t="str">
        <f>IF(OR(orders_Q4[[#This Row],[Qty]]&gt;5,orders_Q4[[#This Row],[Qty]]&lt;0),"Invalid Quantity","OK")</f>
        <v>OK</v>
      </c>
      <c r="Y303" t="b">
        <f>OR(orders_Q4[[#This Row],[Unit Price]]&gt;20000,orders_Q4[[#This Row],[Unit Price]]&lt;0,orders_Q4[[#This Row],[Unit Price]]=0)</f>
        <v>0</v>
      </c>
      <c r="Z30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03">
        <f>orders_Q4[[#This Row],[Unit Price]] * orders_Q4[[#This Row],[Qty]] * (1 - orders_Q4[[#This Row],[Disc %]]/100)</f>
        <v>2199</v>
      </c>
      <c r="AB303" t="str">
        <f>IF(ABS(orders_Q4[[#This Row],[Total]] - orders_Q4[[#This Row],[Calculated_order_total]]) &gt; 1, "Mismatch", "OK")</f>
        <v>OK</v>
      </c>
      <c r="AC303">
        <f>COUNTIF(C:C,orders_Q4[[#This Row],[Customer ID]])</f>
        <v>1</v>
      </c>
      <c r="AD303" t="str">
        <f>IF(AND(orders_Q4[[#This Row],[Type]]="New",orders_Q4[[#This Row],[Customer_id_count]]&gt;1),"Existing customer","OK")</f>
        <v>OK</v>
      </c>
      <c r="AE303">
        <f>orders_Q4[[#This Row],[Del Date]]-orders_Q4[[#This Row],[Order Date]]</f>
        <v>21</v>
      </c>
      <c r="AF303" t="str">
        <f>IF(OR(orders_Q4[[#This Row],[Delivery_time]]&gt;30,orders_Q4[[#This Row],[Delivery_time]]&lt;0),"Invalid_delivery_time","OK")</f>
        <v>OK</v>
      </c>
      <c r="AG303" s="20">
        <f>IF(
   AND(NOT(ISBLANK(orders_Q4[[#This Row],[return_received]])), NOT(ISBLANK(orders_Q4[[#This Row],[Del Date]]))),
   orders_Q4[[#This Row],[return_received]] - orders_Q4[[#This Row],[Del Date]],0)</f>
        <v>0</v>
      </c>
      <c r="AH303" t="str">
        <f>TEXT(orders_Q4[[#This Row],[Order Date]],"mmm-yyyy")</f>
        <v>Dec-2024</v>
      </c>
      <c r="AI303" s="1" t="str">
        <f>TEXT(orders_Q4[[#This Row],[Order Date]],"yyyy") &amp; "-" &amp; WEEKNUM(orders_Q4[[#This Row],[Order Date]])</f>
        <v>2024-51</v>
      </c>
      <c r="AJ303" t="str">
        <f>IF(orders_Q4[[#This Row],[Payment]]="COD","COD","Prepaid")</f>
        <v>Prepaid</v>
      </c>
    </row>
    <row r="304" spans="1:36" x14ac:dyDescent="0.3">
      <c r="A304" t="s">
        <v>1303</v>
      </c>
      <c r="B304" s="1">
        <v>45646</v>
      </c>
      <c r="C304" t="s">
        <v>1304</v>
      </c>
      <c r="D304" t="s">
        <v>25</v>
      </c>
      <c r="E304" t="s">
        <v>1305</v>
      </c>
      <c r="F304" t="s">
        <v>61</v>
      </c>
      <c r="G304" t="s">
        <v>1306</v>
      </c>
      <c r="H304">
        <v>5199</v>
      </c>
      <c r="I304">
        <v>1</v>
      </c>
      <c r="J304">
        <v>5199</v>
      </c>
      <c r="L304">
        <v>0</v>
      </c>
      <c r="M304" t="s">
        <v>55</v>
      </c>
      <c r="N304" t="s">
        <v>65</v>
      </c>
      <c r="O304" t="s">
        <v>209</v>
      </c>
      <c r="P304" t="s">
        <v>97</v>
      </c>
      <c r="Q304" t="s">
        <v>31</v>
      </c>
      <c r="R304" s="1">
        <v>45668</v>
      </c>
      <c r="S304" t="s">
        <v>33</v>
      </c>
      <c r="T304" t="s">
        <v>46</v>
      </c>
      <c r="U304" t="s">
        <v>104</v>
      </c>
      <c r="V304" s="1">
        <v>45696</v>
      </c>
      <c r="W304" t="s">
        <v>48</v>
      </c>
      <c r="X304" t="str">
        <f>IF(OR(orders_Q4[[#This Row],[Qty]]&gt;5,orders_Q4[[#This Row],[Qty]]&lt;0),"Invalid Quantity","OK")</f>
        <v>OK</v>
      </c>
      <c r="Y304" t="b">
        <f>OR(orders_Q4[[#This Row],[Unit Price]]&gt;20000,orders_Q4[[#This Row],[Unit Price]]&lt;0,orders_Q4[[#This Row],[Unit Price]]=0)</f>
        <v>0</v>
      </c>
      <c r="Z30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04">
        <f>orders_Q4[[#This Row],[Unit Price]] * orders_Q4[[#This Row],[Qty]] * (1 - orders_Q4[[#This Row],[Disc %]]/100)</f>
        <v>5199</v>
      </c>
      <c r="AB304" t="str">
        <f>IF(ABS(orders_Q4[[#This Row],[Total]] - orders_Q4[[#This Row],[Calculated_order_total]]) &gt; 1, "Mismatch", "OK")</f>
        <v>OK</v>
      </c>
      <c r="AC304">
        <f>COUNTIF(C:C,orders_Q4[[#This Row],[Customer ID]])</f>
        <v>1</v>
      </c>
      <c r="AD304" t="str">
        <f>IF(AND(orders_Q4[[#This Row],[Type]]="New",orders_Q4[[#This Row],[Customer_id_count]]&gt;1),"Existing customer","OK")</f>
        <v>OK</v>
      </c>
      <c r="AE304">
        <f>orders_Q4[[#This Row],[Del Date]]-orders_Q4[[#This Row],[Order Date]]</f>
        <v>22</v>
      </c>
      <c r="AF304" t="str">
        <f>IF(OR(orders_Q4[[#This Row],[Delivery_time]]&gt;30,orders_Q4[[#This Row],[Delivery_time]]&lt;0),"Invalid_delivery_time","OK")</f>
        <v>OK</v>
      </c>
      <c r="AG304" s="20">
        <f>IF(
   AND(NOT(ISBLANK(orders_Q4[[#This Row],[return_received]])), NOT(ISBLANK(orders_Q4[[#This Row],[Del Date]]))),
   orders_Q4[[#This Row],[return_received]] - orders_Q4[[#This Row],[Del Date]],0)</f>
        <v>28</v>
      </c>
      <c r="AH304" t="str">
        <f>TEXT(orders_Q4[[#This Row],[Order Date]],"mmm-yyyy")</f>
        <v>Dec-2024</v>
      </c>
      <c r="AI304" s="1" t="str">
        <f>TEXT(orders_Q4[[#This Row],[Order Date]],"yyyy") &amp; "-" &amp; WEEKNUM(orders_Q4[[#This Row],[Order Date]])</f>
        <v>2024-51</v>
      </c>
      <c r="AJ304" t="str">
        <f>IF(orders_Q4[[#This Row],[Payment]]="COD","COD","Prepaid")</f>
        <v>COD</v>
      </c>
    </row>
    <row r="305" spans="1:36" x14ac:dyDescent="0.3">
      <c r="A305" t="s">
        <v>1307</v>
      </c>
      <c r="B305" s="1">
        <v>45646</v>
      </c>
      <c r="C305" t="s">
        <v>1308</v>
      </c>
      <c r="D305" t="s">
        <v>38</v>
      </c>
      <c r="E305" t="s">
        <v>1309</v>
      </c>
      <c r="F305" t="s">
        <v>71</v>
      </c>
      <c r="G305" t="s">
        <v>1310</v>
      </c>
      <c r="H305">
        <v>499</v>
      </c>
      <c r="I305">
        <v>2</v>
      </c>
      <c r="J305">
        <v>998</v>
      </c>
      <c r="K305" s="2">
        <v>46376</v>
      </c>
      <c r="L305">
        <v>20</v>
      </c>
      <c r="M305" t="s">
        <v>111</v>
      </c>
      <c r="N305" t="s">
        <v>30</v>
      </c>
      <c r="O305" t="s">
        <v>214</v>
      </c>
      <c r="P305" t="s">
        <v>113</v>
      </c>
      <c r="Q305" t="s">
        <v>45</v>
      </c>
      <c r="R305" s="1">
        <v>45667</v>
      </c>
      <c r="S305" t="s">
        <v>33</v>
      </c>
      <c r="T305" t="s">
        <v>34</v>
      </c>
      <c r="W305" t="s">
        <v>35</v>
      </c>
      <c r="X305" t="str">
        <f>IF(OR(orders_Q4[[#This Row],[Qty]]&gt;5,orders_Q4[[#This Row],[Qty]]&lt;0),"Invalid Quantity","OK")</f>
        <v>OK</v>
      </c>
      <c r="Y305" t="b">
        <f>OR(orders_Q4[[#This Row],[Unit Price]]&gt;20000,orders_Q4[[#This Row],[Unit Price]]&lt;0,orders_Q4[[#This Row],[Unit Price]]=0)</f>
        <v>0</v>
      </c>
      <c r="Z30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05">
        <f>orders_Q4[[#This Row],[Unit Price]] * orders_Q4[[#This Row],[Qty]] * (1 - orders_Q4[[#This Row],[Disc %]]/100)</f>
        <v>798.40000000000009</v>
      </c>
      <c r="AB305" t="str">
        <f>IF(ABS(orders_Q4[[#This Row],[Total]] - orders_Q4[[#This Row],[Calculated_order_total]]) &gt; 1, "Mismatch", "OK")</f>
        <v>Mismatch</v>
      </c>
      <c r="AC305">
        <f>COUNTIF(C:C,orders_Q4[[#This Row],[Customer ID]])</f>
        <v>1</v>
      </c>
      <c r="AD305" t="str">
        <f>IF(AND(orders_Q4[[#This Row],[Type]]="New",orders_Q4[[#This Row],[Customer_id_count]]&gt;1),"Existing customer","OK")</f>
        <v>OK</v>
      </c>
      <c r="AE305">
        <f>orders_Q4[[#This Row],[Del Date]]-orders_Q4[[#This Row],[Order Date]]</f>
        <v>21</v>
      </c>
      <c r="AF305" t="str">
        <f>IF(OR(orders_Q4[[#This Row],[Delivery_time]]&gt;30,orders_Q4[[#This Row],[Delivery_time]]&lt;0),"Invalid_delivery_time","OK")</f>
        <v>OK</v>
      </c>
      <c r="AG305" s="20">
        <f>IF(
   AND(NOT(ISBLANK(orders_Q4[[#This Row],[return_received]])), NOT(ISBLANK(orders_Q4[[#This Row],[Del Date]]))),
   orders_Q4[[#This Row],[return_received]] - orders_Q4[[#This Row],[Del Date]],0)</f>
        <v>0</v>
      </c>
      <c r="AH305" t="str">
        <f>TEXT(orders_Q4[[#This Row],[Order Date]],"mmm-yyyy")</f>
        <v>Dec-2024</v>
      </c>
      <c r="AI305" s="1" t="str">
        <f>TEXT(orders_Q4[[#This Row],[Order Date]],"yyyy") &amp; "-" &amp; WEEKNUM(orders_Q4[[#This Row],[Order Date]])</f>
        <v>2024-51</v>
      </c>
      <c r="AJ305" t="str">
        <f>IF(orders_Q4[[#This Row],[Payment]]="COD","COD","Prepaid")</f>
        <v>Prepaid</v>
      </c>
    </row>
    <row r="306" spans="1:36" x14ac:dyDescent="0.3">
      <c r="A306" t="s">
        <v>1311</v>
      </c>
      <c r="B306" s="1">
        <v>45646</v>
      </c>
      <c r="C306" t="s">
        <v>1312</v>
      </c>
      <c r="D306" t="s">
        <v>25</v>
      </c>
      <c r="E306" t="s">
        <v>1313</v>
      </c>
      <c r="F306" t="s">
        <v>27</v>
      </c>
      <c r="G306" t="s">
        <v>1314</v>
      </c>
      <c r="H306">
        <v>2099</v>
      </c>
      <c r="I306">
        <v>1</v>
      </c>
      <c r="J306">
        <v>2099</v>
      </c>
      <c r="L306">
        <v>0</v>
      </c>
      <c r="M306" t="s">
        <v>64</v>
      </c>
      <c r="N306" t="s">
        <v>44</v>
      </c>
      <c r="O306" t="s">
        <v>31</v>
      </c>
      <c r="P306" t="s">
        <v>32</v>
      </c>
      <c r="Q306" t="s">
        <v>31</v>
      </c>
      <c r="R306" s="1">
        <v>45668</v>
      </c>
      <c r="S306" t="s">
        <v>33</v>
      </c>
      <c r="T306" t="s">
        <v>46</v>
      </c>
      <c r="U306" t="s">
        <v>138</v>
      </c>
      <c r="V306" s="1">
        <v>45695</v>
      </c>
      <c r="W306" t="s">
        <v>48</v>
      </c>
      <c r="X306" t="str">
        <f>IF(OR(orders_Q4[[#This Row],[Qty]]&gt;5,orders_Q4[[#This Row],[Qty]]&lt;0),"Invalid Quantity","OK")</f>
        <v>OK</v>
      </c>
      <c r="Y306" t="b">
        <f>OR(orders_Q4[[#This Row],[Unit Price]]&gt;20000,orders_Q4[[#This Row],[Unit Price]]&lt;0,orders_Q4[[#This Row],[Unit Price]]=0)</f>
        <v>0</v>
      </c>
      <c r="Z30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06">
        <f>orders_Q4[[#This Row],[Unit Price]] * orders_Q4[[#This Row],[Qty]] * (1 - orders_Q4[[#This Row],[Disc %]]/100)</f>
        <v>2099</v>
      </c>
      <c r="AB306" t="str">
        <f>IF(ABS(orders_Q4[[#This Row],[Total]] - orders_Q4[[#This Row],[Calculated_order_total]]) &gt; 1, "Mismatch", "OK")</f>
        <v>OK</v>
      </c>
      <c r="AC306">
        <f>COUNTIF(C:C,orders_Q4[[#This Row],[Customer ID]])</f>
        <v>1</v>
      </c>
      <c r="AD306" t="str">
        <f>IF(AND(orders_Q4[[#This Row],[Type]]="New",orders_Q4[[#This Row],[Customer_id_count]]&gt;1),"Existing customer","OK")</f>
        <v>OK</v>
      </c>
      <c r="AE306">
        <f>orders_Q4[[#This Row],[Del Date]]-orders_Q4[[#This Row],[Order Date]]</f>
        <v>22</v>
      </c>
      <c r="AF306" t="str">
        <f>IF(OR(orders_Q4[[#This Row],[Delivery_time]]&gt;30,orders_Q4[[#This Row],[Delivery_time]]&lt;0),"Invalid_delivery_time","OK")</f>
        <v>OK</v>
      </c>
      <c r="AG306" s="20">
        <f>IF(
   AND(NOT(ISBLANK(orders_Q4[[#This Row],[return_received]])), NOT(ISBLANK(orders_Q4[[#This Row],[Del Date]]))),
   orders_Q4[[#This Row],[return_received]] - orders_Q4[[#This Row],[Del Date]],0)</f>
        <v>27</v>
      </c>
      <c r="AH306" t="str">
        <f>TEXT(orders_Q4[[#This Row],[Order Date]],"mmm-yyyy")</f>
        <v>Dec-2024</v>
      </c>
      <c r="AI306" s="1" t="str">
        <f>TEXT(orders_Q4[[#This Row],[Order Date]],"yyyy") &amp; "-" &amp; WEEKNUM(orders_Q4[[#This Row],[Order Date]])</f>
        <v>2024-51</v>
      </c>
      <c r="AJ306" t="str">
        <f>IF(orders_Q4[[#This Row],[Payment]]="COD","COD","Prepaid")</f>
        <v>Prepaid</v>
      </c>
    </row>
    <row r="307" spans="1:36" x14ac:dyDescent="0.3">
      <c r="A307" t="s">
        <v>1315</v>
      </c>
      <c r="B307" s="1">
        <v>45647</v>
      </c>
      <c r="C307" t="s">
        <v>1316</v>
      </c>
      <c r="D307" t="s">
        <v>25</v>
      </c>
      <c r="E307" t="s">
        <v>1317</v>
      </c>
      <c r="F307" t="s">
        <v>40</v>
      </c>
      <c r="G307" t="s">
        <v>1318</v>
      </c>
      <c r="H307">
        <v>3999</v>
      </c>
      <c r="I307">
        <v>1</v>
      </c>
      <c r="J307">
        <v>3999</v>
      </c>
      <c r="L307">
        <v>0</v>
      </c>
      <c r="M307" t="s">
        <v>43</v>
      </c>
      <c r="N307" t="s">
        <v>65</v>
      </c>
      <c r="O307" t="s">
        <v>45</v>
      </c>
      <c r="P307" t="s">
        <v>45</v>
      </c>
      <c r="Q307" t="s">
        <v>45</v>
      </c>
      <c r="R307" s="1">
        <v>45669</v>
      </c>
      <c r="S307" t="s">
        <v>33</v>
      </c>
      <c r="T307" t="s">
        <v>46</v>
      </c>
      <c r="U307" t="s">
        <v>47</v>
      </c>
      <c r="V307" s="1">
        <v>45697</v>
      </c>
      <c r="W307" t="s">
        <v>48</v>
      </c>
      <c r="X307" t="str">
        <f>IF(OR(orders_Q4[[#This Row],[Qty]]&gt;5,orders_Q4[[#This Row],[Qty]]&lt;0),"Invalid Quantity","OK")</f>
        <v>OK</v>
      </c>
      <c r="Y307" t="b">
        <f>OR(orders_Q4[[#This Row],[Unit Price]]&gt;20000,orders_Q4[[#This Row],[Unit Price]]&lt;0,orders_Q4[[#This Row],[Unit Price]]=0)</f>
        <v>0</v>
      </c>
      <c r="Z30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07">
        <f>orders_Q4[[#This Row],[Unit Price]] * orders_Q4[[#This Row],[Qty]] * (1 - orders_Q4[[#This Row],[Disc %]]/100)</f>
        <v>3999</v>
      </c>
      <c r="AB307" t="str">
        <f>IF(ABS(orders_Q4[[#This Row],[Total]] - orders_Q4[[#This Row],[Calculated_order_total]]) &gt; 1, "Mismatch", "OK")</f>
        <v>OK</v>
      </c>
      <c r="AC307">
        <f>COUNTIF(C:C,orders_Q4[[#This Row],[Customer ID]])</f>
        <v>1</v>
      </c>
      <c r="AD307" t="str">
        <f>IF(AND(orders_Q4[[#This Row],[Type]]="New",orders_Q4[[#This Row],[Customer_id_count]]&gt;1),"Existing customer","OK")</f>
        <v>OK</v>
      </c>
      <c r="AE307">
        <f>orders_Q4[[#This Row],[Del Date]]-orders_Q4[[#This Row],[Order Date]]</f>
        <v>22</v>
      </c>
      <c r="AF307" t="str">
        <f>IF(OR(orders_Q4[[#This Row],[Delivery_time]]&gt;30,orders_Q4[[#This Row],[Delivery_time]]&lt;0),"Invalid_delivery_time","OK")</f>
        <v>OK</v>
      </c>
      <c r="AG307" s="20">
        <f>IF(
   AND(NOT(ISBLANK(orders_Q4[[#This Row],[return_received]])), NOT(ISBLANK(orders_Q4[[#This Row],[Del Date]]))),
   orders_Q4[[#This Row],[return_received]] - orders_Q4[[#This Row],[Del Date]],0)</f>
        <v>28</v>
      </c>
      <c r="AH307" t="str">
        <f>TEXT(orders_Q4[[#This Row],[Order Date]],"mmm-yyyy")</f>
        <v>Dec-2024</v>
      </c>
      <c r="AI307" s="1" t="str">
        <f>TEXT(orders_Q4[[#This Row],[Order Date]],"yyyy") &amp; "-" &amp; WEEKNUM(orders_Q4[[#This Row],[Order Date]])</f>
        <v>2024-51</v>
      </c>
      <c r="AJ307" t="str">
        <f>IF(orders_Q4[[#This Row],[Payment]]="COD","COD","Prepaid")</f>
        <v>Prepaid</v>
      </c>
    </row>
    <row r="308" spans="1:36" x14ac:dyDescent="0.3">
      <c r="A308" t="s">
        <v>1319</v>
      </c>
      <c r="B308" s="1">
        <v>45647</v>
      </c>
      <c r="C308" t="s">
        <v>1320</v>
      </c>
      <c r="D308" t="s">
        <v>25</v>
      </c>
      <c r="E308" t="s">
        <v>1321</v>
      </c>
      <c r="F308" t="s">
        <v>53</v>
      </c>
      <c r="G308" t="s">
        <v>1322</v>
      </c>
      <c r="H308">
        <v>2399</v>
      </c>
      <c r="I308">
        <v>1</v>
      </c>
      <c r="J308">
        <v>2399</v>
      </c>
      <c r="K308" s="2">
        <v>46376</v>
      </c>
      <c r="L308">
        <v>20</v>
      </c>
      <c r="M308" t="s">
        <v>29</v>
      </c>
      <c r="N308" t="s">
        <v>30</v>
      </c>
      <c r="O308" t="s">
        <v>90</v>
      </c>
      <c r="P308" t="s">
        <v>91</v>
      </c>
      <c r="Q308" t="s">
        <v>45</v>
      </c>
      <c r="R308" s="1">
        <v>45669</v>
      </c>
      <c r="S308" t="s">
        <v>33</v>
      </c>
      <c r="T308" t="s">
        <v>34</v>
      </c>
      <c r="W308" t="s">
        <v>35</v>
      </c>
      <c r="X308" t="str">
        <f>IF(OR(orders_Q4[[#This Row],[Qty]]&gt;5,orders_Q4[[#This Row],[Qty]]&lt;0),"Invalid Quantity","OK")</f>
        <v>OK</v>
      </c>
      <c r="Y308" t="b">
        <f>OR(orders_Q4[[#This Row],[Unit Price]]&gt;20000,orders_Q4[[#This Row],[Unit Price]]&lt;0,orders_Q4[[#This Row],[Unit Price]]=0)</f>
        <v>0</v>
      </c>
      <c r="Z30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08">
        <f>orders_Q4[[#This Row],[Unit Price]] * orders_Q4[[#This Row],[Qty]] * (1 - orders_Q4[[#This Row],[Disc %]]/100)</f>
        <v>1919.2</v>
      </c>
      <c r="AB308" t="str">
        <f>IF(ABS(orders_Q4[[#This Row],[Total]] - orders_Q4[[#This Row],[Calculated_order_total]]) &gt; 1, "Mismatch", "OK")</f>
        <v>Mismatch</v>
      </c>
      <c r="AC308">
        <f>COUNTIF(C:C,orders_Q4[[#This Row],[Customer ID]])</f>
        <v>1</v>
      </c>
      <c r="AD308" t="str">
        <f>IF(AND(orders_Q4[[#This Row],[Type]]="New",orders_Q4[[#This Row],[Customer_id_count]]&gt;1),"Existing customer","OK")</f>
        <v>OK</v>
      </c>
      <c r="AE308">
        <f>orders_Q4[[#This Row],[Del Date]]-orders_Q4[[#This Row],[Order Date]]</f>
        <v>22</v>
      </c>
      <c r="AF308" t="str">
        <f>IF(OR(orders_Q4[[#This Row],[Delivery_time]]&gt;30,orders_Q4[[#This Row],[Delivery_time]]&lt;0),"Invalid_delivery_time","OK")</f>
        <v>OK</v>
      </c>
      <c r="AG308" s="20">
        <f>IF(
   AND(NOT(ISBLANK(orders_Q4[[#This Row],[return_received]])), NOT(ISBLANK(orders_Q4[[#This Row],[Del Date]]))),
   orders_Q4[[#This Row],[return_received]] - orders_Q4[[#This Row],[Del Date]],0)</f>
        <v>0</v>
      </c>
      <c r="AH308" t="str">
        <f>TEXT(orders_Q4[[#This Row],[Order Date]],"mmm-yyyy")</f>
        <v>Dec-2024</v>
      </c>
      <c r="AI308" s="1" t="str">
        <f>TEXT(orders_Q4[[#This Row],[Order Date]],"yyyy") &amp; "-" &amp; WEEKNUM(orders_Q4[[#This Row],[Order Date]])</f>
        <v>2024-51</v>
      </c>
      <c r="AJ308" t="str">
        <f>IF(orders_Q4[[#This Row],[Payment]]="COD","COD","Prepaid")</f>
        <v>Prepaid</v>
      </c>
    </row>
    <row r="309" spans="1:36" x14ac:dyDescent="0.3">
      <c r="A309" t="s">
        <v>1323</v>
      </c>
      <c r="B309" s="1">
        <v>45647</v>
      </c>
      <c r="C309" t="s">
        <v>1324</v>
      </c>
      <c r="D309" t="s">
        <v>25</v>
      </c>
      <c r="E309" t="s">
        <v>1325</v>
      </c>
      <c r="F309" t="s">
        <v>61</v>
      </c>
      <c r="G309" t="s">
        <v>1326</v>
      </c>
      <c r="H309">
        <v>7299</v>
      </c>
      <c r="I309">
        <v>1</v>
      </c>
      <c r="J309">
        <v>7299</v>
      </c>
      <c r="L309">
        <v>0</v>
      </c>
      <c r="M309" t="s">
        <v>55</v>
      </c>
      <c r="N309" t="s">
        <v>44</v>
      </c>
      <c r="O309" t="s">
        <v>66</v>
      </c>
      <c r="P309" t="s">
        <v>67</v>
      </c>
      <c r="Q309" t="s">
        <v>56</v>
      </c>
      <c r="R309" s="1">
        <v>45670</v>
      </c>
      <c r="S309" t="s">
        <v>33</v>
      </c>
      <c r="T309" t="s">
        <v>46</v>
      </c>
      <c r="U309" t="s">
        <v>79</v>
      </c>
      <c r="V309" s="1">
        <v>45698</v>
      </c>
      <c r="W309" t="s">
        <v>48</v>
      </c>
      <c r="X309" t="str">
        <f>IF(OR(orders_Q4[[#This Row],[Qty]]&gt;5,orders_Q4[[#This Row],[Qty]]&lt;0),"Invalid Quantity","OK")</f>
        <v>OK</v>
      </c>
      <c r="Y309" t="b">
        <f>OR(orders_Q4[[#This Row],[Unit Price]]&gt;20000,orders_Q4[[#This Row],[Unit Price]]&lt;0,orders_Q4[[#This Row],[Unit Price]]=0)</f>
        <v>0</v>
      </c>
      <c r="Z30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09">
        <f>orders_Q4[[#This Row],[Unit Price]] * orders_Q4[[#This Row],[Qty]] * (1 - orders_Q4[[#This Row],[Disc %]]/100)</f>
        <v>7299</v>
      </c>
      <c r="AB309" t="str">
        <f>IF(ABS(orders_Q4[[#This Row],[Total]] - orders_Q4[[#This Row],[Calculated_order_total]]) &gt; 1, "Mismatch", "OK")</f>
        <v>OK</v>
      </c>
      <c r="AC309">
        <f>COUNTIF(C:C,orders_Q4[[#This Row],[Customer ID]])</f>
        <v>1</v>
      </c>
      <c r="AD309" t="str">
        <f>IF(AND(orders_Q4[[#This Row],[Type]]="New",orders_Q4[[#This Row],[Customer_id_count]]&gt;1),"Existing customer","OK")</f>
        <v>OK</v>
      </c>
      <c r="AE309">
        <f>orders_Q4[[#This Row],[Del Date]]-orders_Q4[[#This Row],[Order Date]]</f>
        <v>23</v>
      </c>
      <c r="AF309" t="str">
        <f>IF(OR(orders_Q4[[#This Row],[Delivery_time]]&gt;30,orders_Q4[[#This Row],[Delivery_time]]&lt;0),"Invalid_delivery_time","OK")</f>
        <v>OK</v>
      </c>
      <c r="AG309" s="20">
        <f>IF(
   AND(NOT(ISBLANK(orders_Q4[[#This Row],[return_received]])), NOT(ISBLANK(orders_Q4[[#This Row],[Del Date]]))),
   orders_Q4[[#This Row],[return_received]] - orders_Q4[[#This Row],[Del Date]],0)</f>
        <v>28</v>
      </c>
      <c r="AH309" t="str">
        <f>TEXT(orders_Q4[[#This Row],[Order Date]],"mmm-yyyy")</f>
        <v>Dec-2024</v>
      </c>
      <c r="AI309" s="1" t="str">
        <f>TEXT(orders_Q4[[#This Row],[Order Date]],"yyyy") &amp; "-" &amp; WEEKNUM(orders_Q4[[#This Row],[Order Date]])</f>
        <v>2024-51</v>
      </c>
      <c r="AJ309" t="str">
        <f>IF(orders_Q4[[#This Row],[Payment]]="COD","COD","Prepaid")</f>
        <v>COD</v>
      </c>
    </row>
    <row r="310" spans="1:36" x14ac:dyDescent="0.3">
      <c r="A310" t="s">
        <v>1327</v>
      </c>
      <c r="B310" s="1">
        <v>45647</v>
      </c>
      <c r="C310" t="s">
        <v>1328</v>
      </c>
      <c r="D310" t="s">
        <v>38</v>
      </c>
      <c r="E310" t="s">
        <v>1329</v>
      </c>
      <c r="F310" t="s">
        <v>71</v>
      </c>
      <c r="G310" t="s">
        <v>1330</v>
      </c>
      <c r="H310">
        <v>899</v>
      </c>
      <c r="I310">
        <v>1</v>
      </c>
      <c r="J310">
        <v>899</v>
      </c>
      <c r="L310">
        <v>0</v>
      </c>
      <c r="M310" t="s">
        <v>111</v>
      </c>
      <c r="N310" t="s">
        <v>65</v>
      </c>
      <c r="O310" t="s">
        <v>77</v>
      </c>
      <c r="P310" t="s">
        <v>78</v>
      </c>
      <c r="Q310" t="s">
        <v>56</v>
      </c>
      <c r="R310" s="1">
        <v>45669</v>
      </c>
      <c r="S310" t="s">
        <v>33</v>
      </c>
      <c r="T310" t="s">
        <v>46</v>
      </c>
      <c r="U310" t="s">
        <v>68</v>
      </c>
      <c r="V310" s="1">
        <v>45696</v>
      </c>
      <c r="W310" t="s">
        <v>48</v>
      </c>
      <c r="X310" t="str">
        <f>IF(OR(orders_Q4[[#This Row],[Qty]]&gt;5,orders_Q4[[#This Row],[Qty]]&lt;0),"Invalid Quantity","OK")</f>
        <v>OK</v>
      </c>
      <c r="Y310" t="b">
        <f>OR(orders_Q4[[#This Row],[Unit Price]]&gt;20000,orders_Q4[[#This Row],[Unit Price]]&lt;0,orders_Q4[[#This Row],[Unit Price]]=0)</f>
        <v>0</v>
      </c>
      <c r="Z31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10">
        <f>orders_Q4[[#This Row],[Unit Price]] * orders_Q4[[#This Row],[Qty]] * (1 - orders_Q4[[#This Row],[Disc %]]/100)</f>
        <v>899</v>
      </c>
      <c r="AB310" t="str">
        <f>IF(ABS(orders_Q4[[#This Row],[Total]] - orders_Q4[[#This Row],[Calculated_order_total]]) &gt; 1, "Mismatch", "OK")</f>
        <v>OK</v>
      </c>
      <c r="AC310">
        <f>COUNTIF(C:C,orders_Q4[[#This Row],[Customer ID]])</f>
        <v>1</v>
      </c>
      <c r="AD310" t="str">
        <f>IF(AND(orders_Q4[[#This Row],[Type]]="New",orders_Q4[[#This Row],[Customer_id_count]]&gt;1),"Existing customer","OK")</f>
        <v>OK</v>
      </c>
      <c r="AE310">
        <f>orders_Q4[[#This Row],[Del Date]]-orders_Q4[[#This Row],[Order Date]]</f>
        <v>22</v>
      </c>
      <c r="AF310" t="str">
        <f>IF(OR(orders_Q4[[#This Row],[Delivery_time]]&gt;30,orders_Q4[[#This Row],[Delivery_time]]&lt;0),"Invalid_delivery_time","OK")</f>
        <v>OK</v>
      </c>
      <c r="AG310" s="20">
        <f>IF(
   AND(NOT(ISBLANK(orders_Q4[[#This Row],[return_received]])), NOT(ISBLANK(orders_Q4[[#This Row],[Del Date]]))),
   orders_Q4[[#This Row],[return_received]] - orders_Q4[[#This Row],[Del Date]],0)</f>
        <v>27</v>
      </c>
      <c r="AH310" t="str">
        <f>TEXT(orders_Q4[[#This Row],[Order Date]],"mmm-yyyy")</f>
        <v>Dec-2024</v>
      </c>
      <c r="AI310" s="1" t="str">
        <f>TEXT(orders_Q4[[#This Row],[Order Date]],"yyyy") &amp; "-" &amp; WEEKNUM(orders_Q4[[#This Row],[Order Date]])</f>
        <v>2024-51</v>
      </c>
      <c r="AJ310" t="str">
        <f>IF(orders_Q4[[#This Row],[Payment]]="COD","COD","Prepaid")</f>
        <v>Prepaid</v>
      </c>
    </row>
    <row r="311" spans="1:36" x14ac:dyDescent="0.3">
      <c r="A311" t="s">
        <v>1331</v>
      </c>
      <c r="B311" s="1">
        <v>45648</v>
      </c>
      <c r="C311" t="s">
        <v>1332</v>
      </c>
      <c r="D311" t="s">
        <v>25</v>
      </c>
      <c r="E311" t="s">
        <v>1333</v>
      </c>
      <c r="F311" t="s">
        <v>27</v>
      </c>
      <c r="G311" t="s">
        <v>1334</v>
      </c>
      <c r="H311">
        <v>1999</v>
      </c>
      <c r="I311">
        <v>1</v>
      </c>
      <c r="J311">
        <v>1999</v>
      </c>
      <c r="K311" s="2">
        <v>46376</v>
      </c>
      <c r="L311">
        <v>20</v>
      </c>
      <c r="M311" t="s">
        <v>64</v>
      </c>
      <c r="N311" t="s">
        <v>30</v>
      </c>
      <c r="O311" t="s">
        <v>84</v>
      </c>
      <c r="P311" t="s">
        <v>32</v>
      </c>
      <c r="Q311" t="s">
        <v>31</v>
      </c>
      <c r="R311" s="1">
        <v>45670</v>
      </c>
      <c r="S311" t="s">
        <v>33</v>
      </c>
      <c r="T311" t="s">
        <v>34</v>
      </c>
      <c r="W311" t="s">
        <v>35</v>
      </c>
      <c r="X311" t="str">
        <f>IF(OR(orders_Q4[[#This Row],[Qty]]&gt;5,orders_Q4[[#This Row],[Qty]]&lt;0),"Invalid Quantity","OK")</f>
        <v>OK</v>
      </c>
      <c r="Y311" t="b">
        <f>OR(orders_Q4[[#This Row],[Unit Price]]&gt;20000,orders_Q4[[#This Row],[Unit Price]]&lt;0,orders_Q4[[#This Row],[Unit Price]]=0)</f>
        <v>0</v>
      </c>
      <c r="Z31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11">
        <f>orders_Q4[[#This Row],[Unit Price]] * orders_Q4[[#This Row],[Qty]] * (1 - orders_Q4[[#This Row],[Disc %]]/100)</f>
        <v>1599.2</v>
      </c>
      <c r="AB311" t="str">
        <f>IF(ABS(orders_Q4[[#This Row],[Total]] - orders_Q4[[#This Row],[Calculated_order_total]]) &gt; 1, "Mismatch", "OK")</f>
        <v>Mismatch</v>
      </c>
      <c r="AC311">
        <f>COUNTIF(C:C,orders_Q4[[#This Row],[Customer ID]])</f>
        <v>1</v>
      </c>
      <c r="AD311" t="str">
        <f>IF(AND(orders_Q4[[#This Row],[Type]]="New",orders_Q4[[#This Row],[Customer_id_count]]&gt;1),"Existing customer","OK")</f>
        <v>OK</v>
      </c>
      <c r="AE311">
        <f>orders_Q4[[#This Row],[Del Date]]-orders_Q4[[#This Row],[Order Date]]</f>
        <v>22</v>
      </c>
      <c r="AF311" t="str">
        <f>IF(OR(orders_Q4[[#This Row],[Delivery_time]]&gt;30,orders_Q4[[#This Row],[Delivery_time]]&lt;0),"Invalid_delivery_time","OK")</f>
        <v>OK</v>
      </c>
      <c r="AG311" s="20">
        <f>IF(
   AND(NOT(ISBLANK(orders_Q4[[#This Row],[return_received]])), NOT(ISBLANK(orders_Q4[[#This Row],[Del Date]]))),
   orders_Q4[[#This Row],[return_received]] - orders_Q4[[#This Row],[Del Date]],0)</f>
        <v>0</v>
      </c>
      <c r="AH311" t="str">
        <f>TEXT(orders_Q4[[#This Row],[Order Date]],"mmm-yyyy")</f>
        <v>Dec-2024</v>
      </c>
      <c r="AI311" s="1" t="str">
        <f>TEXT(orders_Q4[[#This Row],[Order Date]],"yyyy") &amp; "-" &amp; WEEKNUM(orders_Q4[[#This Row],[Order Date]])</f>
        <v>2024-52</v>
      </c>
      <c r="AJ311" t="str">
        <f>IF(orders_Q4[[#This Row],[Payment]]="COD","COD","Prepaid")</f>
        <v>Prepaid</v>
      </c>
    </row>
    <row r="312" spans="1:36" x14ac:dyDescent="0.3">
      <c r="A312" t="s">
        <v>1335</v>
      </c>
      <c r="B312" s="1">
        <v>45648</v>
      </c>
      <c r="C312" t="s">
        <v>1336</v>
      </c>
      <c r="D312" t="s">
        <v>25</v>
      </c>
      <c r="E312" t="s">
        <v>1337</v>
      </c>
      <c r="F312" t="s">
        <v>40</v>
      </c>
      <c r="G312" t="s">
        <v>1338</v>
      </c>
      <c r="H312">
        <v>4699</v>
      </c>
      <c r="I312">
        <v>1</v>
      </c>
      <c r="J312">
        <v>4699</v>
      </c>
      <c r="L312">
        <v>0</v>
      </c>
      <c r="M312" t="s">
        <v>43</v>
      </c>
      <c r="N312" t="s">
        <v>44</v>
      </c>
      <c r="O312" t="s">
        <v>96</v>
      </c>
      <c r="P312" t="s">
        <v>97</v>
      </c>
      <c r="Q312" t="s">
        <v>31</v>
      </c>
      <c r="R312" s="1">
        <v>45671</v>
      </c>
      <c r="S312" t="s">
        <v>33</v>
      </c>
      <c r="T312" t="s">
        <v>46</v>
      </c>
      <c r="U312" t="s">
        <v>47</v>
      </c>
      <c r="V312" s="1">
        <v>45699</v>
      </c>
      <c r="W312" t="s">
        <v>48</v>
      </c>
      <c r="X312" t="str">
        <f>IF(OR(orders_Q4[[#This Row],[Qty]]&gt;5,orders_Q4[[#This Row],[Qty]]&lt;0),"Invalid Quantity","OK")</f>
        <v>OK</v>
      </c>
      <c r="Y312" t="b">
        <f>OR(orders_Q4[[#This Row],[Unit Price]]&gt;20000,orders_Q4[[#This Row],[Unit Price]]&lt;0,orders_Q4[[#This Row],[Unit Price]]=0)</f>
        <v>0</v>
      </c>
      <c r="Z31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12">
        <f>orders_Q4[[#This Row],[Unit Price]] * orders_Q4[[#This Row],[Qty]] * (1 - orders_Q4[[#This Row],[Disc %]]/100)</f>
        <v>4699</v>
      </c>
      <c r="AB312" t="str">
        <f>IF(ABS(orders_Q4[[#This Row],[Total]] - orders_Q4[[#This Row],[Calculated_order_total]]) &gt; 1, "Mismatch", "OK")</f>
        <v>OK</v>
      </c>
      <c r="AC312">
        <f>COUNTIF(C:C,orders_Q4[[#This Row],[Customer ID]])</f>
        <v>1</v>
      </c>
      <c r="AD312" t="str">
        <f>IF(AND(orders_Q4[[#This Row],[Type]]="New",orders_Q4[[#This Row],[Customer_id_count]]&gt;1),"Existing customer","OK")</f>
        <v>OK</v>
      </c>
      <c r="AE312">
        <f>orders_Q4[[#This Row],[Del Date]]-orders_Q4[[#This Row],[Order Date]]</f>
        <v>23</v>
      </c>
      <c r="AF312" t="str">
        <f>IF(OR(orders_Q4[[#This Row],[Delivery_time]]&gt;30,orders_Q4[[#This Row],[Delivery_time]]&lt;0),"Invalid_delivery_time","OK")</f>
        <v>OK</v>
      </c>
      <c r="AG312" s="20">
        <f>IF(
   AND(NOT(ISBLANK(orders_Q4[[#This Row],[return_received]])), NOT(ISBLANK(orders_Q4[[#This Row],[Del Date]]))),
   orders_Q4[[#This Row],[return_received]] - orders_Q4[[#This Row],[Del Date]],0)</f>
        <v>28</v>
      </c>
      <c r="AH312" t="str">
        <f>TEXT(orders_Q4[[#This Row],[Order Date]],"mmm-yyyy")</f>
        <v>Dec-2024</v>
      </c>
      <c r="AI312" s="1" t="str">
        <f>TEXT(orders_Q4[[#This Row],[Order Date]],"yyyy") &amp; "-" &amp; WEEKNUM(orders_Q4[[#This Row],[Order Date]])</f>
        <v>2024-52</v>
      </c>
      <c r="AJ312" t="str">
        <f>IF(orders_Q4[[#This Row],[Payment]]="COD","COD","Prepaid")</f>
        <v>Prepaid</v>
      </c>
    </row>
    <row r="313" spans="1:36" x14ac:dyDescent="0.3">
      <c r="A313" t="s">
        <v>1339</v>
      </c>
      <c r="B313" s="1">
        <v>45648</v>
      </c>
      <c r="C313" t="s">
        <v>1340</v>
      </c>
      <c r="D313" t="s">
        <v>25</v>
      </c>
      <c r="E313" t="s">
        <v>1341</v>
      </c>
      <c r="F313" t="s">
        <v>53</v>
      </c>
      <c r="G313" t="s">
        <v>1342</v>
      </c>
      <c r="H313">
        <v>2299</v>
      </c>
      <c r="I313">
        <v>1</v>
      </c>
      <c r="J313">
        <v>2299</v>
      </c>
      <c r="L313">
        <v>0</v>
      </c>
      <c r="M313" t="s">
        <v>29</v>
      </c>
      <c r="N313" t="s">
        <v>65</v>
      </c>
      <c r="O313" t="s">
        <v>102</v>
      </c>
      <c r="P313" t="s">
        <v>103</v>
      </c>
      <c r="Q313" t="s">
        <v>45</v>
      </c>
      <c r="R313" s="1">
        <v>45671</v>
      </c>
      <c r="S313" t="s">
        <v>33</v>
      </c>
      <c r="T313" t="s">
        <v>34</v>
      </c>
      <c r="W313" t="s">
        <v>35</v>
      </c>
      <c r="X313" t="str">
        <f>IF(OR(orders_Q4[[#This Row],[Qty]]&gt;5,orders_Q4[[#This Row],[Qty]]&lt;0),"Invalid Quantity","OK")</f>
        <v>OK</v>
      </c>
      <c r="Y313" t="b">
        <f>OR(orders_Q4[[#This Row],[Unit Price]]&gt;20000,orders_Q4[[#This Row],[Unit Price]]&lt;0,orders_Q4[[#This Row],[Unit Price]]=0)</f>
        <v>0</v>
      </c>
      <c r="Z31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13">
        <f>orders_Q4[[#This Row],[Unit Price]] * orders_Q4[[#This Row],[Qty]] * (1 - orders_Q4[[#This Row],[Disc %]]/100)</f>
        <v>2299</v>
      </c>
      <c r="AB313" t="str">
        <f>IF(ABS(orders_Q4[[#This Row],[Total]] - orders_Q4[[#This Row],[Calculated_order_total]]) &gt; 1, "Mismatch", "OK")</f>
        <v>OK</v>
      </c>
      <c r="AC313">
        <f>COUNTIF(C:C,orders_Q4[[#This Row],[Customer ID]])</f>
        <v>1</v>
      </c>
      <c r="AD313" t="str">
        <f>IF(AND(orders_Q4[[#This Row],[Type]]="New",orders_Q4[[#This Row],[Customer_id_count]]&gt;1),"Existing customer","OK")</f>
        <v>OK</v>
      </c>
      <c r="AE313">
        <f>orders_Q4[[#This Row],[Del Date]]-orders_Q4[[#This Row],[Order Date]]</f>
        <v>23</v>
      </c>
      <c r="AF313" t="str">
        <f>IF(OR(orders_Q4[[#This Row],[Delivery_time]]&gt;30,orders_Q4[[#This Row],[Delivery_time]]&lt;0),"Invalid_delivery_time","OK")</f>
        <v>OK</v>
      </c>
      <c r="AG313" s="20">
        <f>IF(
   AND(NOT(ISBLANK(orders_Q4[[#This Row],[return_received]])), NOT(ISBLANK(orders_Q4[[#This Row],[Del Date]]))),
   orders_Q4[[#This Row],[return_received]] - orders_Q4[[#This Row],[Del Date]],0)</f>
        <v>0</v>
      </c>
      <c r="AH313" t="str">
        <f>TEXT(orders_Q4[[#This Row],[Order Date]],"mmm-yyyy")</f>
        <v>Dec-2024</v>
      </c>
      <c r="AI313" s="1" t="str">
        <f>TEXT(orders_Q4[[#This Row],[Order Date]],"yyyy") &amp; "-" &amp; WEEKNUM(orders_Q4[[#This Row],[Order Date]])</f>
        <v>2024-52</v>
      </c>
      <c r="AJ313" t="str">
        <f>IF(orders_Q4[[#This Row],[Payment]]="COD","COD","Prepaid")</f>
        <v>Prepaid</v>
      </c>
    </row>
    <row r="314" spans="1:36" x14ac:dyDescent="0.3">
      <c r="A314" t="s">
        <v>1343</v>
      </c>
      <c r="B314" s="1">
        <v>45648</v>
      </c>
      <c r="C314" t="s">
        <v>1344</v>
      </c>
      <c r="D314" t="s">
        <v>25</v>
      </c>
      <c r="E314" t="s">
        <v>1345</v>
      </c>
      <c r="F314" t="s">
        <v>61</v>
      </c>
      <c r="G314" t="s">
        <v>1346</v>
      </c>
      <c r="H314">
        <v>5399</v>
      </c>
      <c r="I314">
        <v>1</v>
      </c>
      <c r="J314">
        <v>5399</v>
      </c>
      <c r="K314" s="2">
        <v>46376</v>
      </c>
      <c r="L314">
        <v>20</v>
      </c>
      <c r="M314" t="s">
        <v>55</v>
      </c>
      <c r="N314" t="s">
        <v>30</v>
      </c>
      <c r="O314" t="s">
        <v>112</v>
      </c>
      <c r="P314" t="s">
        <v>113</v>
      </c>
      <c r="Q314" t="s">
        <v>45</v>
      </c>
      <c r="R314" s="1">
        <v>45672</v>
      </c>
      <c r="S314" t="s">
        <v>33</v>
      </c>
      <c r="T314" t="s">
        <v>46</v>
      </c>
      <c r="U314" t="s">
        <v>104</v>
      </c>
      <c r="V314" s="1">
        <v>45700</v>
      </c>
      <c r="W314" t="s">
        <v>48</v>
      </c>
      <c r="X314" t="str">
        <f>IF(OR(orders_Q4[[#This Row],[Qty]]&gt;5,orders_Q4[[#This Row],[Qty]]&lt;0),"Invalid Quantity","OK")</f>
        <v>OK</v>
      </c>
      <c r="Y314" t="b">
        <f>OR(orders_Q4[[#This Row],[Unit Price]]&gt;20000,orders_Q4[[#This Row],[Unit Price]]&lt;0,orders_Q4[[#This Row],[Unit Price]]=0)</f>
        <v>0</v>
      </c>
      <c r="Z31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14">
        <f>orders_Q4[[#This Row],[Unit Price]] * orders_Q4[[#This Row],[Qty]] * (1 - orders_Q4[[#This Row],[Disc %]]/100)</f>
        <v>4319.2</v>
      </c>
      <c r="AB314" t="str">
        <f>IF(ABS(orders_Q4[[#This Row],[Total]] - orders_Q4[[#This Row],[Calculated_order_total]]) &gt; 1, "Mismatch", "OK")</f>
        <v>Mismatch</v>
      </c>
      <c r="AC314">
        <f>COUNTIF(C:C,orders_Q4[[#This Row],[Customer ID]])</f>
        <v>1</v>
      </c>
      <c r="AD314" t="str">
        <f>IF(AND(orders_Q4[[#This Row],[Type]]="New",orders_Q4[[#This Row],[Customer_id_count]]&gt;1),"Existing customer","OK")</f>
        <v>OK</v>
      </c>
      <c r="AE314">
        <f>orders_Q4[[#This Row],[Del Date]]-orders_Q4[[#This Row],[Order Date]]</f>
        <v>24</v>
      </c>
      <c r="AF314" t="str">
        <f>IF(OR(orders_Q4[[#This Row],[Delivery_time]]&gt;30,orders_Q4[[#This Row],[Delivery_time]]&lt;0),"Invalid_delivery_time","OK")</f>
        <v>OK</v>
      </c>
      <c r="AG314" s="20">
        <f>IF(
   AND(NOT(ISBLANK(orders_Q4[[#This Row],[return_received]])), NOT(ISBLANK(orders_Q4[[#This Row],[Del Date]]))),
   orders_Q4[[#This Row],[return_received]] - orders_Q4[[#This Row],[Del Date]],0)</f>
        <v>28</v>
      </c>
      <c r="AH314" t="str">
        <f>TEXT(orders_Q4[[#This Row],[Order Date]],"mmm-yyyy")</f>
        <v>Dec-2024</v>
      </c>
      <c r="AI314" s="1" t="str">
        <f>TEXT(orders_Q4[[#This Row],[Order Date]],"yyyy") &amp; "-" &amp; WEEKNUM(orders_Q4[[#This Row],[Order Date]])</f>
        <v>2024-52</v>
      </c>
      <c r="AJ314" t="str">
        <f>IF(orders_Q4[[#This Row],[Payment]]="COD","COD","Prepaid")</f>
        <v>COD</v>
      </c>
    </row>
    <row r="315" spans="1:36" x14ac:dyDescent="0.3">
      <c r="A315" t="s">
        <v>1347</v>
      </c>
      <c r="B315" s="1">
        <v>45649</v>
      </c>
      <c r="C315" t="s">
        <v>1348</v>
      </c>
      <c r="D315" t="s">
        <v>38</v>
      </c>
      <c r="E315" t="s">
        <v>1349</v>
      </c>
      <c r="F315" t="s">
        <v>71</v>
      </c>
      <c r="G315" t="s">
        <v>1350</v>
      </c>
      <c r="H315">
        <v>1199</v>
      </c>
      <c r="I315">
        <v>1</v>
      </c>
      <c r="J315">
        <v>1199</v>
      </c>
      <c r="L315">
        <v>0</v>
      </c>
      <c r="M315" t="s">
        <v>111</v>
      </c>
      <c r="N315" t="s">
        <v>44</v>
      </c>
      <c r="O315" t="s">
        <v>56</v>
      </c>
      <c r="P315" t="s">
        <v>57</v>
      </c>
      <c r="Q315" t="s">
        <v>56</v>
      </c>
      <c r="R315" s="1">
        <v>45671</v>
      </c>
      <c r="S315" t="s">
        <v>33</v>
      </c>
      <c r="T315" t="s">
        <v>34</v>
      </c>
      <c r="W315" t="s">
        <v>35</v>
      </c>
      <c r="X315" t="str">
        <f>IF(OR(orders_Q4[[#This Row],[Qty]]&gt;5,orders_Q4[[#This Row],[Qty]]&lt;0),"Invalid Quantity","OK")</f>
        <v>OK</v>
      </c>
      <c r="Y315" t="b">
        <f>OR(orders_Q4[[#This Row],[Unit Price]]&gt;20000,orders_Q4[[#This Row],[Unit Price]]&lt;0,orders_Q4[[#This Row],[Unit Price]]=0)</f>
        <v>0</v>
      </c>
      <c r="Z31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15">
        <f>orders_Q4[[#This Row],[Unit Price]] * orders_Q4[[#This Row],[Qty]] * (1 - orders_Q4[[#This Row],[Disc %]]/100)</f>
        <v>1199</v>
      </c>
      <c r="AB315" t="str">
        <f>IF(ABS(orders_Q4[[#This Row],[Total]] - orders_Q4[[#This Row],[Calculated_order_total]]) &gt; 1, "Mismatch", "OK")</f>
        <v>OK</v>
      </c>
      <c r="AC315">
        <f>COUNTIF(C:C,orders_Q4[[#This Row],[Customer ID]])</f>
        <v>1</v>
      </c>
      <c r="AD315" t="str">
        <f>IF(AND(orders_Q4[[#This Row],[Type]]="New",orders_Q4[[#This Row],[Customer_id_count]]&gt;1),"Existing customer","OK")</f>
        <v>OK</v>
      </c>
      <c r="AE315">
        <f>orders_Q4[[#This Row],[Del Date]]-orders_Q4[[#This Row],[Order Date]]</f>
        <v>22</v>
      </c>
      <c r="AF315" t="str">
        <f>IF(OR(orders_Q4[[#This Row],[Delivery_time]]&gt;30,orders_Q4[[#This Row],[Delivery_time]]&lt;0),"Invalid_delivery_time","OK")</f>
        <v>OK</v>
      </c>
      <c r="AG315" s="20">
        <f>IF(
   AND(NOT(ISBLANK(orders_Q4[[#This Row],[return_received]])), NOT(ISBLANK(orders_Q4[[#This Row],[Del Date]]))),
   orders_Q4[[#This Row],[return_received]] - orders_Q4[[#This Row],[Del Date]],0)</f>
        <v>0</v>
      </c>
      <c r="AH315" t="str">
        <f>TEXT(orders_Q4[[#This Row],[Order Date]],"mmm-yyyy")</f>
        <v>Dec-2024</v>
      </c>
      <c r="AI315" s="1" t="str">
        <f>TEXT(orders_Q4[[#This Row],[Order Date]],"yyyy") &amp; "-" &amp; WEEKNUM(orders_Q4[[#This Row],[Order Date]])</f>
        <v>2024-52</v>
      </c>
      <c r="AJ315" t="str">
        <f>IF(orders_Q4[[#This Row],[Payment]]="COD","COD","Prepaid")</f>
        <v>Prepaid</v>
      </c>
    </row>
    <row r="316" spans="1:36" x14ac:dyDescent="0.3">
      <c r="A316" t="s">
        <v>1351</v>
      </c>
      <c r="B316" s="1">
        <v>45649</v>
      </c>
      <c r="C316" t="s">
        <v>1352</v>
      </c>
      <c r="D316" t="s">
        <v>25</v>
      </c>
      <c r="E316" t="s">
        <v>1353</v>
      </c>
      <c r="F316" t="s">
        <v>27</v>
      </c>
      <c r="G316" t="s">
        <v>1354</v>
      </c>
      <c r="H316">
        <v>2199</v>
      </c>
      <c r="I316">
        <v>1</v>
      </c>
      <c r="J316">
        <v>2199</v>
      </c>
      <c r="L316">
        <v>0</v>
      </c>
      <c r="M316" t="s">
        <v>64</v>
      </c>
      <c r="N316" t="s">
        <v>65</v>
      </c>
      <c r="O316" t="s">
        <v>31</v>
      </c>
      <c r="P316" t="s">
        <v>32</v>
      </c>
      <c r="Q316" t="s">
        <v>31</v>
      </c>
      <c r="R316" s="1">
        <v>45672</v>
      </c>
      <c r="S316" t="s">
        <v>33</v>
      </c>
      <c r="T316" t="s">
        <v>46</v>
      </c>
      <c r="U316" t="s">
        <v>138</v>
      </c>
      <c r="V316" s="1">
        <v>45699</v>
      </c>
      <c r="W316" t="s">
        <v>48</v>
      </c>
      <c r="X316" t="str">
        <f>IF(OR(orders_Q4[[#This Row],[Qty]]&gt;5,orders_Q4[[#This Row],[Qty]]&lt;0),"Invalid Quantity","OK")</f>
        <v>OK</v>
      </c>
      <c r="Y316" t="b">
        <f>OR(orders_Q4[[#This Row],[Unit Price]]&gt;20000,orders_Q4[[#This Row],[Unit Price]]&lt;0,orders_Q4[[#This Row],[Unit Price]]=0)</f>
        <v>0</v>
      </c>
      <c r="Z31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16">
        <f>orders_Q4[[#This Row],[Unit Price]] * orders_Q4[[#This Row],[Qty]] * (1 - orders_Q4[[#This Row],[Disc %]]/100)</f>
        <v>2199</v>
      </c>
      <c r="AB316" t="str">
        <f>IF(ABS(orders_Q4[[#This Row],[Total]] - orders_Q4[[#This Row],[Calculated_order_total]]) &gt; 1, "Mismatch", "OK")</f>
        <v>OK</v>
      </c>
      <c r="AC316">
        <f>COUNTIF(C:C,orders_Q4[[#This Row],[Customer ID]])</f>
        <v>1</v>
      </c>
      <c r="AD316" t="str">
        <f>IF(AND(orders_Q4[[#This Row],[Type]]="New",orders_Q4[[#This Row],[Customer_id_count]]&gt;1),"Existing customer","OK")</f>
        <v>OK</v>
      </c>
      <c r="AE316">
        <f>orders_Q4[[#This Row],[Del Date]]-orders_Q4[[#This Row],[Order Date]]</f>
        <v>23</v>
      </c>
      <c r="AF316" t="str">
        <f>IF(OR(orders_Q4[[#This Row],[Delivery_time]]&gt;30,orders_Q4[[#This Row],[Delivery_time]]&lt;0),"Invalid_delivery_time","OK")</f>
        <v>OK</v>
      </c>
      <c r="AG316" s="20">
        <f>IF(
   AND(NOT(ISBLANK(orders_Q4[[#This Row],[return_received]])), NOT(ISBLANK(orders_Q4[[#This Row],[Del Date]]))),
   orders_Q4[[#This Row],[return_received]] - orders_Q4[[#This Row],[Del Date]],0)</f>
        <v>27</v>
      </c>
      <c r="AH316" t="str">
        <f>TEXT(orders_Q4[[#This Row],[Order Date]],"mmm-yyyy")</f>
        <v>Dec-2024</v>
      </c>
      <c r="AI316" s="1" t="str">
        <f>TEXT(orders_Q4[[#This Row],[Order Date]],"yyyy") &amp; "-" &amp; WEEKNUM(orders_Q4[[#This Row],[Order Date]])</f>
        <v>2024-52</v>
      </c>
      <c r="AJ316" t="str">
        <f>IF(orders_Q4[[#This Row],[Payment]]="COD","COD","Prepaid")</f>
        <v>Prepaid</v>
      </c>
    </row>
    <row r="317" spans="1:36" x14ac:dyDescent="0.3">
      <c r="A317" t="s">
        <v>1355</v>
      </c>
      <c r="B317" s="1">
        <v>45649</v>
      </c>
      <c r="C317" t="s">
        <v>1356</v>
      </c>
      <c r="D317" t="s">
        <v>25</v>
      </c>
      <c r="E317" t="s">
        <v>1357</v>
      </c>
      <c r="F317" t="s">
        <v>40</v>
      </c>
      <c r="G317" t="s">
        <v>1358</v>
      </c>
      <c r="H317">
        <v>3799</v>
      </c>
      <c r="I317">
        <v>1</v>
      </c>
      <c r="J317">
        <v>3799</v>
      </c>
      <c r="K317" s="2">
        <v>46376</v>
      </c>
      <c r="L317">
        <v>20</v>
      </c>
      <c r="M317" t="s">
        <v>43</v>
      </c>
      <c r="N317" t="s">
        <v>30</v>
      </c>
      <c r="O317" t="s">
        <v>45</v>
      </c>
      <c r="P317" t="s">
        <v>45</v>
      </c>
      <c r="Q317" t="s">
        <v>45</v>
      </c>
      <c r="R317" s="1">
        <v>45673</v>
      </c>
      <c r="S317" t="s">
        <v>33</v>
      </c>
      <c r="T317" t="s">
        <v>46</v>
      </c>
      <c r="U317" t="s">
        <v>47</v>
      </c>
      <c r="V317" s="1">
        <v>45701</v>
      </c>
      <c r="W317" t="s">
        <v>48</v>
      </c>
      <c r="X317" t="str">
        <f>IF(OR(orders_Q4[[#This Row],[Qty]]&gt;5,orders_Q4[[#This Row],[Qty]]&lt;0),"Invalid Quantity","OK")</f>
        <v>OK</v>
      </c>
      <c r="Y317" t="b">
        <f>OR(orders_Q4[[#This Row],[Unit Price]]&gt;20000,orders_Q4[[#This Row],[Unit Price]]&lt;0,orders_Q4[[#This Row],[Unit Price]]=0)</f>
        <v>0</v>
      </c>
      <c r="Z31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17">
        <f>orders_Q4[[#This Row],[Unit Price]] * orders_Q4[[#This Row],[Qty]] * (1 - orders_Q4[[#This Row],[Disc %]]/100)</f>
        <v>3039.2000000000003</v>
      </c>
      <c r="AB317" t="str">
        <f>IF(ABS(orders_Q4[[#This Row],[Total]] - orders_Q4[[#This Row],[Calculated_order_total]]) &gt; 1, "Mismatch", "OK")</f>
        <v>Mismatch</v>
      </c>
      <c r="AC317">
        <f>COUNTIF(C:C,orders_Q4[[#This Row],[Customer ID]])</f>
        <v>1</v>
      </c>
      <c r="AD317" t="str">
        <f>IF(AND(orders_Q4[[#This Row],[Type]]="New",orders_Q4[[#This Row],[Customer_id_count]]&gt;1),"Existing customer","OK")</f>
        <v>OK</v>
      </c>
      <c r="AE317">
        <f>orders_Q4[[#This Row],[Del Date]]-orders_Q4[[#This Row],[Order Date]]</f>
        <v>24</v>
      </c>
      <c r="AF317" t="str">
        <f>IF(OR(orders_Q4[[#This Row],[Delivery_time]]&gt;30,orders_Q4[[#This Row],[Delivery_time]]&lt;0),"Invalid_delivery_time","OK")</f>
        <v>OK</v>
      </c>
      <c r="AG317" s="20">
        <f>IF(
   AND(NOT(ISBLANK(orders_Q4[[#This Row],[return_received]])), NOT(ISBLANK(orders_Q4[[#This Row],[Del Date]]))),
   orders_Q4[[#This Row],[return_received]] - orders_Q4[[#This Row],[Del Date]],0)</f>
        <v>28</v>
      </c>
      <c r="AH317" t="str">
        <f>TEXT(orders_Q4[[#This Row],[Order Date]],"mmm-yyyy")</f>
        <v>Dec-2024</v>
      </c>
      <c r="AI317" s="1" t="str">
        <f>TEXT(orders_Q4[[#This Row],[Order Date]],"yyyy") &amp; "-" &amp; WEEKNUM(orders_Q4[[#This Row],[Order Date]])</f>
        <v>2024-52</v>
      </c>
      <c r="AJ317" t="str">
        <f>IF(orders_Q4[[#This Row],[Payment]]="COD","COD","Prepaid")</f>
        <v>Prepaid</v>
      </c>
    </row>
    <row r="318" spans="1:36" x14ac:dyDescent="0.3">
      <c r="A318" t="s">
        <v>1359</v>
      </c>
      <c r="B318" s="1">
        <v>45649</v>
      </c>
      <c r="C318" t="s">
        <v>1360</v>
      </c>
      <c r="D318" t="s">
        <v>25</v>
      </c>
      <c r="E318" t="s">
        <v>1361</v>
      </c>
      <c r="F318" t="s">
        <v>53</v>
      </c>
      <c r="G318" t="s">
        <v>1362</v>
      </c>
      <c r="H318">
        <v>2499</v>
      </c>
      <c r="I318">
        <v>1</v>
      </c>
      <c r="J318">
        <v>2499</v>
      </c>
      <c r="L318">
        <v>0</v>
      </c>
      <c r="M318" t="s">
        <v>29</v>
      </c>
      <c r="N318" t="s">
        <v>44</v>
      </c>
      <c r="O318" t="s">
        <v>118</v>
      </c>
      <c r="P318" t="s">
        <v>119</v>
      </c>
      <c r="Q318" t="s">
        <v>45</v>
      </c>
      <c r="R318" s="1">
        <v>45673</v>
      </c>
      <c r="S318" t="s">
        <v>33</v>
      </c>
      <c r="T318" t="s">
        <v>34</v>
      </c>
      <c r="W318" t="s">
        <v>35</v>
      </c>
      <c r="X318" t="str">
        <f>IF(OR(orders_Q4[[#This Row],[Qty]]&gt;5,orders_Q4[[#This Row],[Qty]]&lt;0),"Invalid Quantity","OK")</f>
        <v>OK</v>
      </c>
      <c r="Y318" t="b">
        <f>OR(orders_Q4[[#This Row],[Unit Price]]&gt;20000,orders_Q4[[#This Row],[Unit Price]]&lt;0,orders_Q4[[#This Row],[Unit Price]]=0)</f>
        <v>0</v>
      </c>
      <c r="Z31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18">
        <f>orders_Q4[[#This Row],[Unit Price]] * orders_Q4[[#This Row],[Qty]] * (1 - orders_Q4[[#This Row],[Disc %]]/100)</f>
        <v>2499</v>
      </c>
      <c r="AB318" t="str">
        <f>IF(ABS(orders_Q4[[#This Row],[Total]] - orders_Q4[[#This Row],[Calculated_order_total]]) &gt; 1, "Mismatch", "OK")</f>
        <v>OK</v>
      </c>
      <c r="AC318">
        <f>COUNTIF(C:C,orders_Q4[[#This Row],[Customer ID]])</f>
        <v>1</v>
      </c>
      <c r="AD318" t="str">
        <f>IF(AND(orders_Q4[[#This Row],[Type]]="New",orders_Q4[[#This Row],[Customer_id_count]]&gt;1),"Existing customer","OK")</f>
        <v>OK</v>
      </c>
      <c r="AE318">
        <f>orders_Q4[[#This Row],[Del Date]]-orders_Q4[[#This Row],[Order Date]]</f>
        <v>24</v>
      </c>
      <c r="AF318" t="str">
        <f>IF(OR(orders_Q4[[#This Row],[Delivery_time]]&gt;30,orders_Q4[[#This Row],[Delivery_time]]&lt;0),"Invalid_delivery_time","OK")</f>
        <v>OK</v>
      </c>
      <c r="AG318" s="20">
        <f>IF(
   AND(NOT(ISBLANK(orders_Q4[[#This Row],[return_received]])), NOT(ISBLANK(orders_Q4[[#This Row],[Del Date]]))),
   orders_Q4[[#This Row],[return_received]] - orders_Q4[[#This Row],[Del Date]],0)</f>
        <v>0</v>
      </c>
      <c r="AH318" t="str">
        <f>TEXT(orders_Q4[[#This Row],[Order Date]],"mmm-yyyy")</f>
        <v>Dec-2024</v>
      </c>
      <c r="AI318" s="1" t="str">
        <f>TEXT(orders_Q4[[#This Row],[Order Date]],"yyyy") &amp; "-" &amp; WEEKNUM(orders_Q4[[#This Row],[Order Date]])</f>
        <v>2024-52</v>
      </c>
      <c r="AJ318" t="str">
        <f>IF(orders_Q4[[#This Row],[Payment]]="COD","COD","Prepaid")</f>
        <v>Prepaid</v>
      </c>
    </row>
    <row r="319" spans="1:36" x14ac:dyDescent="0.3">
      <c r="A319" t="s">
        <v>1363</v>
      </c>
      <c r="B319" s="1">
        <v>45650</v>
      </c>
      <c r="C319" t="s">
        <v>1364</v>
      </c>
      <c r="D319" t="s">
        <v>25</v>
      </c>
      <c r="E319" t="s">
        <v>1365</v>
      </c>
      <c r="F319" t="s">
        <v>61</v>
      </c>
      <c r="G319" t="s">
        <v>1366</v>
      </c>
      <c r="H319">
        <v>6499</v>
      </c>
      <c r="I319">
        <v>1</v>
      </c>
      <c r="J319">
        <v>6499</v>
      </c>
      <c r="L319">
        <v>0</v>
      </c>
      <c r="M319" t="s">
        <v>55</v>
      </c>
      <c r="N319" t="s">
        <v>65</v>
      </c>
      <c r="O319" t="s">
        <v>137</v>
      </c>
      <c r="P319" t="s">
        <v>113</v>
      </c>
      <c r="Q319" t="s">
        <v>45</v>
      </c>
      <c r="R319" s="1">
        <v>45674</v>
      </c>
      <c r="S319" t="s">
        <v>33</v>
      </c>
      <c r="T319" t="s">
        <v>46</v>
      </c>
      <c r="U319" t="s">
        <v>79</v>
      </c>
      <c r="V319" s="1">
        <v>45702</v>
      </c>
      <c r="W319" t="s">
        <v>48</v>
      </c>
      <c r="X319" t="str">
        <f>IF(OR(orders_Q4[[#This Row],[Qty]]&gt;5,orders_Q4[[#This Row],[Qty]]&lt;0),"Invalid Quantity","OK")</f>
        <v>OK</v>
      </c>
      <c r="Y319" t="b">
        <f>OR(orders_Q4[[#This Row],[Unit Price]]&gt;20000,orders_Q4[[#This Row],[Unit Price]]&lt;0,orders_Q4[[#This Row],[Unit Price]]=0)</f>
        <v>0</v>
      </c>
      <c r="Z31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19">
        <f>orders_Q4[[#This Row],[Unit Price]] * orders_Q4[[#This Row],[Qty]] * (1 - orders_Q4[[#This Row],[Disc %]]/100)</f>
        <v>6499</v>
      </c>
      <c r="AB319" t="str">
        <f>IF(ABS(orders_Q4[[#This Row],[Total]] - orders_Q4[[#This Row],[Calculated_order_total]]) &gt; 1, "Mismatch", "OK")</f>
        <v>OK</v>
      </c>
      <c r="AC319">
        <f>COUNTIF(C:C,orders_Q4[[#This Row],[Customer ID]])</f>
        <v>1</v>
      </c>
      <c r="AD319" t="str">
        <f>IF(AND(orders_Q4[[#This Row],[Type]]="New",orders_Q4[[#This Row],[Customer_id_count]]&gt;1),"Existing customer","OK")</f>
        <v>OK</v>
      </c>
      <c r="AE319">
        <f>orders_Q4[[#This Row],[Del Date]]-orders_Q4[[#This Row],[Order Date]]</f>
        <v>24</v>
      </c>
      <c r="AF319" t="str">
        <f>IF(OR(orders_Q4[[#This Row],[Delivery_time]]&gt;30,orders_Q4[[#This Row],[Delivery_time]]&lt;0),"Invalid_delivery_time","OK")</f>
        <v>OK</v>
      </c>
      <c r="AG319" s="20">
        <f>IF(
   AND(NOT(ISBLANK(orders_Q4[[#This Row],[return_received]])), NOT(ISBLANK(orders_Q4[[#This Row],[Del Date]]))),
   orders_Q4[[#This Row],[return_received]] - orders_Q4[[#This Row],[Del Date]],0)</f>
        <v>28</v>
      </c>
      <c r="AH319" t="str">
        <f>TEXT(orders_Q4[[#This Row],[Order Date]],"mmm-yyyy")</f>
        <v>Dec-2024</v>
      </c>
      <c r="AI319" s="1" t="str">
        <f>TEXT(orders_Q4[[#This Row],[Order Date]],"yyyy") &amp; "-" &amp; WEEKNUM(orders_Q4[[#This Row],[Order Date]])</f>
        <v>2024-52</v>
      </c>
      <c r="AJ319" t="str">
        <f>IF(orders_Q4[[#This Row],[Payment]]="COD","COD","Prepaid")</f>
        <v>COD</v>
      </c>
    </row>
    <row r="320" spans="1:36" x14ac:dyDescent="0.3">
      <c r="A320" t="s">
        <v>1367</v>
      </c>
      <c r="B320" s="1">
        <v>45650</v>
      </c>
      <c r="C320" t="s">
        <v>1368</v>
      </c>
      <c r="D320" t="s">
        <v>38</v>
      </c>
      <c r="E320" t="s">
        <v>1369</v>
      </c>
      <c r="F320" t="s">
        <v>71</v>
      </c>
      <c r="G320" t="s">
        <v>1370</v>
      </c>
      <c r="H320">
        <v>499</v>
      </c>
      <c r="I320">
        <v>3</v>
      </c>
      <c r="J320">
        <v>1497</v>
      </c>
      <c r="K320" s="2">
        <v>46376</v>
      </c>
      <c r="L320">
        <v>20</v>
      </c>
      <c r="M320" t="s">
        <v>111</v>
      </c>
      <c r="N320" t="s">
        <v>30</v>
      </c>
      <c r="O320" t="s">
        <v>143</v>
      </c>
      <c r="P320" t="s">
        <v>144</v>
      </c>
      <c r="Q320" t="s">
        <v>45</v>
      </c>
      <c r="R320" s="1">
        <v>45673</v>
      </c>
      <c r="S320" t="s">
        <v>33</v>
      </c>
      <c r="T320" t="s">
        <v>34</v>
      </c>
      <c r="W320" t="s">
        <v>35</v>
      </c>
      <c r="X320" t="str">
        <f>IF(OR(orders_Q4[[#This Row],[Qty]]&gt;5,orders_Q4[[#This Row],[Qty]]&lt;0),"Invalid Quantity","OK")</f>
        <v>OK</v>
      </c>
      <c r="Y320" t="b">
        <f>OR(orders_Q4[[#This Row],[Unit Price]]&gt;20000,orders_Q4[[#This Row],[Unit Price]]&lt;0,orders_Q4[[#This Row],[Unit Price]]=0)</f>
        <v>0</v>
      </c>
      <c r="Z32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20">
        <f>orders_Q4[[#This Row],[Unit Price]] * orders_Q4[[#This Row],[Qty]] * (1 - orders_Q4[[#This Row],[Disc %]]/100)</f>
        <v>1197.6000000000001</v>
      </c>
      <c r="AB320" t="str">
        <f>IF(ABS(orders_Q4[[#This Row],[Total]] - orders_Q4[[#This Row],[Calculated_order_total]]) &gt; 1, "Mismatch", "OK")</f>
        <v>Mismatch</v>
      </c>
      <c r="AC320">
        <f>COUNTIF(C:C,orders_Q4[[#This Row],[Customer ID]])</f>
        <v>1</v>
      </c>
      <c r="AD320" t="str">
        <f>IF(AND(orders_Q4[[#This Row],[Type]]="New",orders_Q4[[#This Row],[Customer_id_count]]&gt;1),"Existing customer","OK")</f>
        <v>OK</v>
      </c>
      <c r="AE320">
        <f>orders_Q4[[#This Row],[Del Date]]-orders_Q4[[#This Row],[Order Date]]</f>
        <v>23</v>
      </c>
      <c r="AF320" t="str">
        <f>IF(OR(orders_Q4[[#This Row],[Delivery_time]]&gt;30,orders_Q4[[#This Row],[Delivery_time]]&lt;0),"Invalid_delivery_time","OK")</f>
        <v>OK</v>
      </c>
      <c r="AG320" s="20">
        <f>IF(
   AND(NOT(ISBLANK(orders_Q4[[#This Row],[return_received]])), NOT(ISBLANK(orders_Q4[[#This Row],[Del Date]]))),
   orders_Q4[[#This Row],[return_received]] - orders_Q4[[#This Row],[Del Date]],0)</f>
        <v>0</v>
      </c>
      <c r="AH320" t="str">
        <f>TEXT(orders_Q4[[#This Row],[Order Date]],"mmm-yyyy")</f>
        <v>Dec-2024</v>
      </c>
      <c r="AI320" s="1" t="str">
        <f>TEXT(orders_Q4[[#This Row],[Order Date]],"yyyy") &amp; "-" &amp; WEEKNUM(orders_Q4[[#This Row],[Order Date]])</f>
        <v>2024-52</v>
      </c>
      <c r="AJ320" t="str">
        <f>IF(orders_Q4[[#This Row],[Payment]]="COD","COD","Prepaid")</f>
        <v>Prepaid</v>
      </c>
    </row>
    <row r="321" spans="1:36" x14ac:dyDescent="0.3">
      <c r="A321" t="s">
        <v>1371</v>
      </c>
      <c r="B321" s="1">
        <v>45650</v>
      </c>
      <c r="C321" t="s">
        <v>1372</v>
      </c>
      <c r="D321" t="s">
        <v>25</v>
      </c>
      <c r="E321" t="s">
        <v>1373</v>
      </c>
      <c r="F321" t="s">
        <v>27</v>
      </c>
      <c r="G321" t="s">
        <v>1374</v>
      </c>
      <c r="H321">
        <v>1799</v>
      </c>
      <c r="I321">
        <v>1</v>
      </c>
      <c r="J321">
        <v>1799</v>
      </c>
      <c r="L321">
        <v>0</v>
      </c>
      <c r="M321" t="s">
        <v>64</v>
      </c>
      <c r="N321" t="s">
        <v>44</v>
      </c>
      <c r="O321" t="s">
        <v>150</v>
      </c>
      <c r="P321" t="s">
        <v>151</v>
      </c>
      <c r="Q321" t="s">
        <v>31</v>
      </c>
      <c r="R321" s="1">
        <v>45674</v>
      </c>
      <c r="S321" t="s">
        <v>33</v>
      </c>
      <c r="T321" t="s">
        <v>46</v>
      </c>
      <c r="U321" t="s">
        <v>68</v>
      </c>
      <c r="V321" s="1">
        <v>45701</v>
      </c>
      <c r="W321" t="s">
        <v>48</v>
      </c>
      <c r="X321" t="str">
        <f>IF(OR(orders_Q4[[#This Row],[Qty]]&gt;5,orders_Q4[[#This Row],[Qty]]&lt;0),"Invalid Quantity","OK")</f>
        <v>OK</v>
      </c>
      <c r="Y321" t="b">
        <f>OR(orders_Q4[[#This Row],[Unit Price]]&gt;20000,orders_Q4[[#This Row],[Unit Price]]&lt;0,orders_Q4[[#This Row],[Unit Price]]=0)</f>
        <v>0</v>
      </c>
      <c r="Z32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21">
        <f>orders_Q4[[#This Row],[Unit Price]] * orders_Q4[[#This Row],[Qty]] * (1 - orders_Q4[[#This Row],[Disc %]]/100)</f>
        <v>1799</v>
      </c>
      <c r="AB321" t="str">
        <f>IF(ABS(orders_Q4[[#This Row],[Total]] - orders_Q4[[#This Row],[Calculated_order_total]]) &gt; 1, "Mismatch", "OK")</f>
        <v>OK</v>
      </c>
      <c r="AC321">
        <f>COUNTIF(C:C,orders_Q4[[#This Row],[Customer ID]])</f>
        <v>1</v>
      </c>
      <c r="AD321" t="str">
        <f>IF(AND(orders_Q4[[#This Row],[Type]]="New",orders_Q4[[#This Row],[Customer_id_count]]&gt;1),"Existing customer","OK")</f>
        <v>OK</v>
      </c>
      <c r="AE321">
        <f>orders_Q4[[#This Row],[Del Date]]-orders_Q4[[#This Row],[Order Date]]</f>
        <v>24</v>
      </c>
      <c r="AF321" t="str">
        <f>IF(OR(orders_Q4[[#This Row],[Delivery_time]]&gt;30,orders_Q4[[#This Row],[Delivery_time]]&lt;0),"Invalid_delivery_time","OK")</f>
        <v>OK</v>
      </c>
      <c r="AG321" s="20">
        <f>IF(
   AND(NOT(ISBLANK(orders_Q4[[#This Row],[return_received]])), NOT(ISBLANK(orders_Q4[[#This Row],[Del Date]]))),
   orders_Q4[[#This Row],[return_received]] - orders_Q4[[#This Row],[Del Date]],0)</f>
        <v>27</v>
      </c>
      <c r="AH321" t="str">
        <f>TEXT(orders_Q4[[#This Row],[Order Date]],"mmm-yyyy")</f>
        <v>Dec-2024</v>
      </c>
      <c r="AI321" s="1" t="str">
        <f>TEXT(orders_Q4[[#This Row],[Order Date]],"yyyy") &amp; "-" &amp; WEEKNUM(orders_Q4[[#This Row],[Order Date]])</f>
        <v>2024-52</v>
      </c>
      <c r="AJ321" t="str">
        <f>IF(orders_Q4[[#This Row],[Payment]]="COD","COD","Prepaid")</f>
        <v>Prepaid</v>
      </c>
    </row>
    <row r="322" spans="1:36" x14ac:dyDescent="0.3">
      <c r="A322" t="s">
        <v>1375</v>
      </c>
      <c r="B322" s="1">
        <v>45650</v>
      </c>
      <c r="C322" t="s">
        <v>1376</v>
      </c>
      <c r="D322" t="s">
        <v>25</v>
      </c>
      <c r="E322" t="s">
        <v>1377</v>
      </c>
      <c r="F322" t="s">
        <v>40</v>
      </c>
      <c r="G322" t="s">
        <v>1378</v>
      </c>
      <c r="H322">
        <v>4299</v>
      </c>
      <c r="I322">
        <v>1</v>
      </c>
      <c r="J322">
        <v>4299</v>
      </c>
      <c r="L322">
        <v>0</v>
      </c>
      <c r="M322" t="s">
        <v>43</v>
      </c>
      <c r="N322" t="s">
        <v>65</v>
      </c>
      <c r="O322" t="s">
        <v>156</v>
      </c>
      <c r="P322" t="s">
        <v>97</v>
      </c>
      <c r="Q322" t="s">
        <v>31</v>
      </c>
      <c r="R322" s="1">
        <v>45675</v>
      </c>
      <c r="S322" t="s">
        <v>33</v>
      </c>
      <c r="T322" t="s">
        <v>46</v>
      </c>
      <c r="U322" t="s">
        <v>47</v>
      </c>
      <c r="V322" s="1">
        <v>45703</v>
      </c>
      <c r="W322" t="s">
        <v>48</v>
      </c>
      <c r="X322" t="str">
        <f>IF(OR(orders_Q4[[#This Row],[Qty]]&gt;5,orders_Q4[[#This Row],[Qty]]&lt;0),"Invalid Quantity","OK")</f>
        <v>OK</v>
      </c>
      <c r="Y322" t="b">
        <f>OR(orders_Q4[[#This Row],[Unit Price]]&gt;20000,orders_Q4[[#This Row],[Unit Price]]&lt;0,orders_Q4[[#This Row],[Unit Price]]=0)</f>
        <v>0</v>
      </c>
      <c r="Z32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22">
        <f>orders_Q4[[#This Row],[Unit Price]] * orders_Q4[[#This Row],[Qty]] * (1 - orders_Q4[[#This Row],[Disc %]]/100)</f>
        <v>4299</v>
      </c>
      <c r="AB322" t="str">
        <f>IF(ABS(orders_Q4[[#This Row],[Total]] - orders_Q4[[#This Row],[Calculated_order_total]]) &gt; 1, "Mismatch", "OK")</f>
        <v>OK</v>
      </c>
      <c r="AC322">
        <f>COUNTIF(C:C,orders_Q4[[#This Row],[Customer ID]])</f>
        <v>1</v>
      </c>
      <c r="AD322" t="str">
        <f>IF(AND(orders_Q4[[#This Row],[Type]]="New",orders_Q4[[#This Row],[Customer_id_count]]&gt;1),"Existing customer","OK")</f>
        <v>OK</v>
      </c>
      <c r="AE322">
        <f>orders_Q4[[#This Row],[Del Date]]-orders_Q4[[#This Row],[Order Date]]</f>
        <v>25</v>
      </c>
      <c r="AF322" t="str">
        <f>IF(OR(orders_Q4[[#This Row],[Delivery_time]]&gt;30,orders_Q4[[#This Row],[Delivery_time]]&lt;0),"Invalid_delivery_time","OK")</f>
        <v>OK</v>
      </c>
      <c r="AG322" s="20">
        <f>IF(
   AND(NOT(ISBLANK(orders_Q4[[#This Row],[return_received]])), NOT(ISBLANK(orders_Q4[[#This Row],[Del Date]]))),
   orders_Q4[[#This Row],[return_received]] - orders_Q4[[#This Row],[Del Date]],0)</f>
        <v>28</v>
      </c>
      <c r="AH322" t="str">
        <f>TEXT(orders_Q4[[#This Row],[Order Date]],"mmm-yyyy")</f>
        <v>Dec-2024</v>
      </c>
      <c r="AI322" s="1" t="str">
        <f>TEXT(orders_Q4[[#This Row],[Order Date]],"yyyy") &amp; "-" &amp; WEEKNUM(orders_Q4[[#This Row],[Order Date]])</f>
        <v>2024-52</v>
      </c>
      <c r="AJ322" t="str">
        <f>IF(orders_Q4[[#This Row],[Payment]]="COD","COD","Prepaid")</f>
        <v>Prepaid</v>
      </c>
    </row>
    <row r="323" spans="1:36" x14ac:dyDescent="0.3">
      <c r="A323" t="s">
        <v>1379</v>
      </c>
      <c r="B323" s="1">
        <v>45651</v>
      </c>
      <c r="C323" t="s">
        <v>1380</v>
      </c>
      <c r="D323" t="s">
        <v>25</v>
      </c>
      <c r="E323" t="s">
        <v>1381</v>
      </c>
      <c r="F323" t="s">
        <v>53</v>
      </c>
      <c r="G323" t="s">
        <v>1382</v>
      </c>
      <c r="H323">
        <v>1899</v>
      </c>
      <c r="I323">
        <v>1</v>
      </c>
      <c r="J323">
        <v>1899</v>
      </c>
      <c r="K323" s="2">
        <v>46376</v>
      </c>
      <c r="L323">
        <v>20</v>
      </c>
      <c r="M323" t="s">
        <v>29</v>
      </c>
      <c r="N323" t="s">
        <v>30</v>
      </c>
      <c r="O323" t="s">
        <v>161</v>
      </c>
      <c r="P323" t="s">
        <v>162</v>
      </c>
      <c r="Q323" t="s">
        <v>45</v>
      </c>
      <c r="R323" s="1">
        <v>45675</v>
      </c>
      <c r="S323" t="s">
        <v>33</v>
      </c>
      <c r="T323" t="s">
        <v>34</v>
      </c>
      <c r="W323" t="s">
        <v>35</v>
      </c>
      <c r="X323" t="str">
        <f>IF(OR(orders_Q4[[#This Row],[Qty]]&gt;5,orders_Q4[[#This Row],[Qty]]&lt;0),"Invalid Quantity","OK")</f>
        <v>OK</v>
      </c>
      <c r="Y323" t="b">
        <f>OR(orders_Q4[[#This Row],[Unit Price]]&gt;20000,orders_Q4[[#This Row],[Unit Price]]&lt;0,orders_Q4[[#This Row],[Unit Price]]=0)</f>
        <v>0</v>
      </c>
      <c r="Z32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23">
        <f>orders_Q4[[#This Row],[Unit Price]] * orders_Q4[[#This Row],[Qty]] * (1 - orders_Q4[[#This Row],[Disc %]]/100)</f>
        <v>1519.2</v>
      </c>
      <c r="AB323" t="str">
        <f>IF(ABS(orders_Q4[[#This Row],[Total]] - orders_Q4[[#This Row],[Calculated_order_total]]) &gt; 1, "Mismatch", "OK")</f>
        <v>Mismatch</v>
      </c>
      <c r="AC323">
        <f>COUNTIF(C:C,orders_Q4[[#This Row],[Customer ID]])</f>
        <v>1</v>
      </c>
      <c r="AD323" t="str">
        <f>IF(AND(orders_Q4[[#This Row],[Type]]="New",orders_Q4[[#This Row],[Customer_id_count]]&gt;1),"Existing customer","OK")</f>
        <v>OK</v>
      </c>
      <c r="AE323">
        <f>orders_Q4[[#This Row],[Del Date]]-orders_Q4[[#This Row],[Order Date]]</f>
        <v>24</v>
      </c>
      <c r="AF323" t="str">
        <f>IF(OR(orders_Q4[[#This Row],[Delivery_time]]&gt;30,orders_Q4[[#This Row],[Delivery_time]]&lt;0),"Invalid_delivery_time","OK")</f>
        <v>OK</v>
      </c>
      <c r="AG323" s="20">
        <f>IF(
   AND(NOT(ISBLANK(orders_Q4[[#This Row],[return_received]])), NOT(ISBLANK(orders_Q4[[#This Row],[Del Date]]))),
   orders_Q4[[#This Row],[return_received]] - orders_Q4[[#This Row],[Del Date]],0)</f>
        <v>0</v>
      </c>
      <c r="AH323" t="str">
        <f>TEXT(orders_Q4[[#This Row],[Order Date]],"mmm-yyyy")</f>
        <v>Dec-2024</v>
      </c>
      <c r="AI323" s="1" t="str">
        <f>TEXT(orders_Q4[[#This Row],[Order Date]],"yyyy") &amp; "-" &amp; WEEKNUM(orders_Q4[[#This Row],[Order Date]])</f>
        <v>2024-52</v>
      </c>
      <c r="AJ323" t="str">
        <f>IF(orders_Q4[[#This Row],[Payment]]="COD","COD","Prepaid")</f>
        <v>Prepaid</v>
      </c>
    </row>
    <row r="324" spans="1:36" x14ac:dyDescent="0.3">
      <c r="A324" t="s">
        <v>1383</v>
      </c>
      <c r="B324" s="1">
        <v>45651</v>
      </c>
      <c r="C324" t="s">
        <v>1384</v>
      </c>
      <c r="D324" t="s">
        <v>25</v>
      </c>
      <c r="E324" t="s">
        <v>1385</v>
      </c>
      <c r="F324" t="s">
        <v>61</v>
      </c>
      <c r="G324" t="s">
        <v>1386</v>
      </c>
      <c r="H324">
        <v>4999</v>
      </c>
      <c r="I324">
        <v>1</v>
      </c>
      <c r="J324">
        <v>4999</v>
      </c>
      <c r="L324">
        <v>0</v>
      </c>
      <c r="M324" t="s">
        <v>55</v>
      </c>
      <c r="N324" t="s">
        <v>44</v>
      </c>
      <c r="O324" t="s">
        <v>167</v>
      </c>
      <c r="P324" t="s">
        <v>151</v>
      </c>
      <c r="Q324" t="s">
        <v>31</v>
      </c>
      <c r="R324" s="1">
        <v>45676</v>
      </c>
      <c r="S324" t="s">
        <v>33</v>
      </c>
      <c r="T324" t="s">
        <v>46</v>
      </c>
      <c r="U324" t="s">
        <v>104</v>
      </c>
      <c r="V324" s="1">
        <v>45704</v>
      </c>
      <c r="W324" t="s">
        <v>48</v>
      </c>
      <c r="X324" t="str">
        <f>IF(OR(orders_Q4[[#This Row],[Qty]]&gt;5,orders_Q4[[#This Row],[Qty]]&lt;0),"Invalid Quantity","OK")</f>
        <v>OK</v>
      </c>
      <c r="Y324" t="b">
        <f>OR(orders_Q4[[#This Row],[Unit Price]]&gt;20000,orders_Q4[[#This Row],[Unit Price]]&lt;0,orders_Q4[[#This Row],[Unit Price]]=0)</f>
        <v>0</v>
      </c>
      <c r="Z32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24">
        <f>orders_Q4[[#This Row],[Unit Price]] * orders_Q4[[#This Row],[Qty]] * (1 - orders_Q4[[#This Row],[Disc %]]/100)</f>
        <v>4999</v>
      </c>
      <c r="AB324" t="str">
        <f>IF(ABS(orders_Q4[[#This Row],[Total]] - orders_Q4[[#This Row],[Calculated_order_total]]) &gt; 1, "Mismatch", "OK")</f>
        <v>OK</v>
      </c>
      <c r="AC324">
        <f>COUNTIF(C:C,orders_Q4[[#This Row],[Customer ID]])</f>
        <v>1</v>
      </c>
      <c r="AD324" t="str">
        <f>IF(AND(orders_Q4[[#This Row],[Type]]="New",orders_Q4[[#This Row],[Customer_id_count]]&gt;1),"Existing customer","OK")</f>
        <v>OK</v>
      </c>
      <c r="AE324">
        <f>orders_Q4[[#This Row],[Del Date]]-orders_Q4[[#This Row],[Order Date]]</f>
        <v>25</v>
      </c>
      <c r="AF324" t="str">
        <f>IF(OR(orders_Q4[[#This Row],[Delivery_time]]&gt;30,orders_Q4[[#This Row],[Delivery_time]]&lt;0),"Invalid_delivery_time","OK")</f>
        <v>OK</v>
      </c>
      <c r="AG324" s="20">
        <f>IF(
   AND(NOT(ISBLANK(orders_Q4[[#This Row],[return_received]])), NOT(ISBLANK(orders_Q4[[#This Row],[Del Date]]))),
   orders_Q4[[#This Row],[return_received]] - orders_Q4[[#This Row],[Del Date]],0)</f>
        <v>28</v>
      </c>
      <c r="AH324" t="str">
        <f>TEXT(orders_Q4[[#This Row],[Order Date]],"mmm-yyyy")</f>
        <v>Dec-2024</v>
      </c>
      <c r="AI324" s="1" t="str">
        <f>TEXT(orders_Q4[[#This Row],[Order Date]],"yyyy") &amp; "-" &amp; WEEKNUM(orders_Q4[[#This Row],[Order Date]])</f>
        <v>2024-52</v>
      </c>
      <c r="AJ324" t="str">
        <f>IF(orders_Q4[[#This Row],[Payment]]="COD","COD","Prepaid")</f>
        <v>COD</v>
      </c>
    </row>
    <row r="325" spans="1:36" x14ac:dyDescent="0.3">
      <c r="A325" t="s">
        <v>1387</v>
      </c>
      <c r="B325" s="1">
        <v>45651</v>
      </c>
      <c r="C325" t="s">
        <v>1388</v>
      </c>
      <c r="D325" t="s">
        <v>38</v>
      </c>
      <c r="E325" t="s">
        <v>1389</v>
      </c>
      <c r="F325" t="s">
        <v>71</v>
      </c>
      <c r="G325" t="s">
        <v>1390</v>
      </c>
      <c r="H325">
        <v>1399</v>
      </c>
      <c r="I325">
        <v>1</v>
      </c>
      <c r="J325">
        <v>1399</v>
      </c>
      <c r="L325">
        <v>0</v>
      </c>
      <c r="M325" t="s">
        <v>111</v>
      </c>
      <c r="N325" t="s">
        <v>65</v>
      </c>
      <c r="O325" t="s">
        <v>172</v>
      </c>
      <c r="P325" t="s">
        <v>32</v>
      </c>
      <c r="Q325" t="s">
        <v>31</v>
      </c>
      <c r="R325" s="1">
        <v>45675</v>
      </c>
      <c r="S325" t="s">
        <v>33</v>
      </c>
      <c r="T325" t="s">
        <v>34</v>
      </c>
      <c r="W325" t="s">
        <v>35</v>
      </c>
      <c r="X325" t="str">
        <f>IF(OR(orders_Q4[[#This Row],[Qty]]&gt;5,orders_Q4[[#This Row],[Qty]]&lt;0),"Invalid Quantity","OK")</f>
        <v>OK</v>
      </c>
      <c r="Y325" t="b">
        <f>OR(orders_Q4[[#This Row],[Unit Price]]&gt;20000,orders_Q4[[#This Row],[Unit Price]]&lt;0,orders_Q4[[#This Row],[Unit Price]]=0)</f>
        <v>0</v>
      </c>
      <c r="Z32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25">
        <f>orders_Q4[[#This Row],[Unit Price]] * orders_Q4[[#This Row],[Qty]] * (1 - orders_Q4[[#This Row],[Disc %]]/100)</f>
        <v>1399</v>
      </c>
      <c r="AB325" t="str">
        <f>IF(ABS(orders_Q4[[#This Row],[Total]] - orders_Q4[[#This Row],[Calculated_order_total]]) &gt; 1, "Mismatch", "OK")</f>
        <v>OK</v>
      </c>
      <c r="AC325">
        <f>COUNTIF(C:C,orders_Q4[[#This Row],[Customer ID]])</f>
        <v>1</v>
      </c>
      <c r="AD325" t="str">
        <f>IF(AND(orders_Q4[[#This Row],[Type]]="New",orders_Q4[[#This Row],[Customer_id_count]]&gt;1),"Existing customer","OK")</f>
        <v>OK</v>
      </c>
      <c r="AE325">
        <f>orders_Q4[[#This Row],[Del Date]]-orders_Q4[[#This Row],[Order Date]]</f>
        <v>24</v>
      </c>
      <c r="AF325" t="str">
        <f>IF(OR(orders_Q4[[#This Row],[Delivery_time]]&gt;30,orders_Q4[[#This Row],[Delivery_time]]&lt;0),"Invalid_delivery_time","OK")</f>
        <v>OK</v>
      </c>
      <c r="AG325" s="20">
        <f>IF(
   AND(NOT(ISBLANK(orders_Q4[[#This Row],[return_received]])), NOT(ISBLANK(orders_Q4[[#This Row],[Del Date]]))),
   orders_Q4[[#This Row],[return_received]] - orders_Q4[[#This Row],[Del Date]],0)</f>
        <v>0</v>
      </c>
      <c r="AH325" t="str">
        <f>TEXT(orders_Q4[[#This Row],[Order Date]],"mmm-yyyy")</f>
        <v>Dec-2024</v>
      </c>
      <c r="AI325" s="1" t="str">
        <f>TEXT(orders_Q4[[#This Row],[Order Date]],"yyyy") &amp; "-" &amp; WEEKNUM(orders_Q4[[#This Row],[Order Date]])</f>
        <v>2024-52</v>
      </c>
      <c r="AJ325" t="str">
        <f>IF(orders_Q4[[#This Row],[Payment]]="COD","COD","Prepaid")</f>
        <v>Prepaid</v>
      </c>
    </row>
    <row r="326" spans="1:36" x14ac:dyDescent="0.3">
      <c r="A326" t="s">
        <v>1391</v>
      </c>
      <c r="B326" s="1">
        <v>45651</v>
      </c>
      <c r="C326" t="s">
        <v>1392</v>
      </c>
      <c r="D326" t="s">
        <v>25</v>
      </c>
      <c r="E326" t="s">
        <v>1393</v>
      </c>
      <c r="F326" t="s">
        <v>27</v>
      </c>
      <c r="G326" t="s">
        <v>1394</v>
      </c>
      <c r="H326">
        <v>2099</v>
      </c>
      <c r="I326">
        <v>1</v>
      </c>
      <c r="J326">
        <v>2099</v>
      </c>
      <c r="K326" s="2">
        <v>46376</v>
      </c>
      <c r="L326">
        <v>20</v>
      </c>
      <c r="M326" t="s">
        <v>64</v>
      </c>
      <c r="N326" t="s">
        <v>30</v>
      </c>
      <c r="O326" t="s">
        <v>177</v>
      </c>
      <c r="P326" t="s">
        <v>67</v>
      </c>
      <c r="Q326" t="s">
        <v>56</v>
      </c>
      <c r="R326" s="1">
        <v>45676</v>
      </c>
      <c r="S326" t="s">
        <v>33</v>
      </c>
      <c r="T326" t="s">
        <v>46</v>
      </c>
      <c r="U326" t="s">
        <v>138</v>
      </c>
      <c r="V326" s="1">
        <v>45703</v>
      </c>
      <c r="W326" t="s">
        <v>48</v>
      </c>
      <c r="X326" t="str">
        <f>IF(OR(orders_Q4[[#This Row],[Qty]]&gt;5,orders_Q4[[#This Row],[Qty]]&lt;0),"Invalid Quantity","OK")</f>
        <v>OK</v>
      </c>
      <c r="Y326" t="b">
        <f>OR(orders_Q4[[#This Row],[Unit Price]]&gt;20000,orders_Q4[[#This Row],[Unit Price]]&lt;0,orders_Q4[[#This Row],[Unit Price]]=0)</f>
        <v>0</v>
      </c>
      <c r="Z32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26">
        <f>orders_Q4[[#This Row],[Unit Price]] * orders_Q4[[#This Row],[Qty]] * (1 - orders_Q4[[#This Row],[Disc %]]/100)</f>
        <v>1679.2</v>
      </c>
      <c r="AB326" t="str">
        <f>IF(ABS(orders_Q4[[#This Row],[Total]] - orders_Q4[[#This Row],[Calculated_order_total]]) &gt; 1, "Mismatch", "OK")</f>
        <v>Mismatch</v>
      </c>
      <c r="AC326">
        <f>COUNTIF(C:C,orders_Q4[[#This Row],[Customer ID]])</f>
        <v>1</v>
      </c>
      <c r="AD326" t="str">
        <f>IF(AND(orders_Q4[[#This Row],[Type]]="New",orders_Q4[[#This Row],[Customer_id_count]]&gt;1),"Existing customer","OK")</f>
        <v>OK</v>
      </c>
      <c r="AE326">
        <f>orders_Q4[[#This Row],[Del Date]]-orders_Q4[[#This Row],[Order Date]]</f>
        <v>25</v>
      </c>
      <c r="AF326" t="str">
        <f>IF(OR(orders_Q4[[#This Row],[Delivery_time]]&gt;30,orders_Q4[[#This Row],[Delivery_time]]&lt;0),"Invalid_delivery_time","OK")</f>
        <v>OK</v>
      </c>
      <c r="AG326" s="20">
        <f>IF(
   AND(NOT(ISBLANK(orders_Q4[[#This Row],[return_received]])), NOT(ISBLANK(orders_Q4[[#This Row],[Del Date]]))),
   orders_Q4[[#This Row],[return_received]] - orders_Q4[[#This Row],[Del Date]],0)</f>
        <v>27</v>
      </c>
      <c r="AH326" t="str">
        <f>TEXT(orders_Q4[[#This Row],[Order Date]],"mmm-yyyy")</f>
        <v>Dec-2024</v>
      </c>
      <c r="AI326" s="1" t="str">
        <f>TEXT(orders_Q4[[#This Row],[Order Date]],"yyyy") &amp; "-" &amp; WEEKNUM(orders_Q4[[#This Row],[Order Date]])</f>
        <v>2024-52</v>
      </c>
      <c r="AJ326" t="str">
        <f>IF(orders_Q4[[#This Row],[Payment]]="COD","COD","Prepaid")</f>
        <v>Prepaid</v>
      </c>
    </row>
    <row r="327" spans="1:36" x14ac:dyDescent="0.3">
      <c r="A327" t="s">
        <v>1395</v>
      </c>
      <c r="B327" s="1">
        <v>45652</v>
      </c>
      <c r="C327" t="s">
        <v>1396</v>
      </c>
      <c r="D327" t="s">
        <v>25</v>
      </c>
      <c r="E327" t="s">
        <v>1397</v>
      </c>
      <c r="F327" t="s">
        <v>40</v>
      </c>
      <c r="G327" t="s">
        <v>1398</v>
      </c>
      <c r="H327">
        <v>2999</v>
      </c>
      <c r="I327">
        <v>1</v>
      </c>
      <c r="J327">
        <v>2999</v>
      </c>
      <c r="L327">
        <v>0</v>
      </c>
      <c r="M327" t="s">
        <v>43</v>
      </c>
      <c r="N327" t="s">
        <v>44</v>
      </c>
      <c r="O327" t="s">
        <v>182</v>
      </c>
      <c r="P327" t="s">
        <v>183</v>
      </c>
      <c r="Q327" t="s">
        <v>56</v>
      </c>
      <c r="R327" s="1">
        <v>45677</v>
      </c>
      <c r="S327" t="s">
        <v>33</v>
      </c>
      <c r="T327" t="s">
        <v>46</v>
      </c>
      <c r="U327" t="s">
        <v>47</v>
      </c>
      <c r="V327" s="1">
        <v>45705</v>
      </c>
      <c r="W327" t="s">
        <v>48</v>
      </c>
      <c r="X327" t="str">
        <f>IF(OR(orders_Q4[[#This Row],[Qty]]&gt;5,orders_Q4[[#This Row],[Qty]]&lt;0),"Invalid Quantity","OK")</f>
        <v>OK</v>
      </c>
      <c r="Y327" t="b">
        <f>OR(orders_Q4[[#This Row],[Unit Price]]&gt;20000,orders_Q4[[#This Row],[Unit Price]]&lt;0,orders_Q4[[#This Row],[Unit Price]]=0)</f>
        <v>0</v>
      </c>
      <c r="Z32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27">
        <f>orders_Q4[[#This Row],[Unit Price]] * orders_Q4[[#This Row],[Qty]] * (1 - orders_Q4[[#This Row],[Disc %]]/100)</f>
        <v>2999</v>
      </c>
      <c r="AB327" t="str">
        <f>IF(ABS(orders_Q4[[#This Row],[Total]] - orders_Q4[[#This Row],[Calculated_order_total]]) &gt; 1, "Mismatch", "OK")</f>
        <v>OK</v>
      </c>
      <c r="AC327">
        <f>COUNTIF(C:C,orders_Q4[[#This Row],[Customer ID]])</f>
        <v>1</v>
      </c>
      <c r="AD327" t="str">
        <f>IF(AND(orders_Q4[[#This Row],[Type]]="New",orders_Q4[[#This Row],[Customer_id_count]]&gt;1),"Existing customer","OK")</f>
        <v>OK</v>
      </c>
      <c r="AE327">
        <f>orders_Q4[[#This Row],[Del Date]]-orders_Q4[[#This Row],[Order Date]]</f>
        <v>25</v>
      </c>
      <c r="AF327" t="str">
        <f>IF(OR(orders_Q4[[#This Row],[Delivery_time]]&gt;30,orders_Q4[[#This Row],[Delivery_time]]&lt;0),"Invalid_delivery_time","OK")</f>
        <v>OK</v>
      </c>
      <c r="AG327" s="20">
        <f>IF(
   AND(NOT(ISBLANK(orders_Q4[[#This Row],[return_received]])), NOT(ISBLANK(orders_Q4[[#This Row],[Del Date]]))),
   orders_Q4[[#This Row],[return_received]] - orders_Q4[[#This Row],[Del Date]],0)</f>
        <v>28</v>
      </c>
      <c r="AH327" t="str">
        <f>TEXT(orders_Q4[[#This Row],[Order Date]],"mmm-yyyy")</f>
        <v>Dec-2024</v>
      </c>
      <c r="AI327" s="1" t="str">
        <f>TEXT(orders_Q4[[#This Row],[Order Date]],"yyyy") &amp; "-" &amp; WEEKNUM(orders_Q4[[#This Row],[Order Date]])</f>
        <v>2024-52</v>
      </c>
      <c r="AJ327" t="str">
        <f>IF(orders_Q4[[#This Row],[Payment]]="COD","COD","Prepaid")</f>
        <v>Prepaid</v>
      </c>
    </row>
    <row r="328" spans="1:36" x14ac:dyDescent="0.3">
      <c r="A328" t="s">
        <v>1399</v>
      </c>
      <c r="B328" s="1">
        <v>45652</v>
      </c>
      <c r="C328" t="s">
        <v>1400</v>
      </c>
      <c r="D328" t="s">
        <v>25</v>
      </c>
      <c r="E328" t="s">
        <v>1401</v>
      </c>
      <c r="F328" t="s">
        <v>53</v>
      </c>
      <c r="G328" t="s">
        <v>1402</v>
      </c>
      <c r="H328">
        <v>2199</v>
      </c>
      <c r="I328">
        <v>1</v>
      </c>
      <c r="J328">
        <v>2199</v>
      </c>
      <c r="L328">
        <v>0</v>
      </c>
      <c r="M328" t="s">
        <v>29</v>
      </c>
      <c r="N328" t="s">
        <v>65</v>
      </c>
      <c r="O328" t="s">
        <v>188</v>
      </c>
      <c r="P328" t="s">
        <v>189</v>
      </c>
      <c r="Q328" t="s">
        <v>56</v>
      </c>
      <c r="R328" s="1">
        <v>45677</v>
      </c>
      <c r="S328" t="s">
        <v>33</v>
      </c>
      <c r="T328" t="s">
        <v>34</v>
      </c>
      <c r="W328" t="s">
        <v>35</v>
      </c>
      <c r="X328" t="str">
        <f>IF(OR(orders_Q4[[#This Row],[Qty]]&gt;5,orders_Q4[[#This Row],[Qty]]&lt;0),"Invalid Quantity","OK")</f>
        <v>OK</v>
      </c>
      <c r="Y328" t="b">
        <f>OR(orders_Q4[[#This Row],[Unit Price]]&gt;20000,orders_Q4[[#This Row],[Unit Price]]&lt;0,orders_Q4[[#This Row],[Unit Price]]=0)</f>
        <v>0</v>
      </c>
      <c r="Z32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28">
        <f>orders_Q4[[#This Row],[Unit Price]] * orders_Q4[[#This Row],[Qty]] * (1 - orders_Q4[[#This Row],[Disc %]]/100)</f>
        <v>2199</v>
      </c>
      <c r="AB328" t="str">
        <f>IF(ABS(orders_Q4[[#This Row],[Total]] - orders_Q4[[#This Row],[Calculated_order_total]]) &gt; 1, "Mismatch", "OK")</f>
        <v>OK</v>
      </c>
      <c r="AC328">
        <f>COUNTIF(C:C,orders_Q4[[#This Row],[Customer ID]])</f>
        <v>1</v>
      </c>
      <c r="AD328" t="str">
        <f>IF(AND(orders_Q4[[#This Row],[Type]]="New",orders_Q4[[#This Row],[Customer_id_count]]&gt;1),"Existing customer","OK")</f>
        <v>OK</v>
      </c>
      <c r="AE328">
        <f>orders_Q4[[#This Row],[Del Date]]-orders_Q4[[#This Row],[Order Date]]</f>
        <v>25</v>
      </c>
      <c r="AF328" t="str">
        <f>IF(OR(orders_Q4[[#This Row],[Delivery_time]]&gt;30,orders_Q4[[#This Row],[Delivery_time]]&lt;0),"Invalid_delivery_time","OK")</f>
        <v>OK</v>
      </c>
      <c r="AG328" s="20">
        <f>IF(
   AND(NOT(ISBLANK(orders_Q4[[#This Row],[return_received]])), NOT(ISBLANK(orders_Q4[[#This Row],[Del Date]]))),
   orders_Q4[[#This Row],[return_received]] - orders_Q4[[#This Row],[Del Date]],0)</f>
        <v>0</v>
      </c>
      <c r="AH328" t="str">
        <f>TEXT(orders_Q4[[#This Row],[Order Date]],"mmm-yyyy")</f>
        <v>Dec-2024</v>
      </c>
      <c r="AI328" s="1" t="str">
        <f>TEXT(orders_Q4[[#This Row],[Order Date]],"yyyy") &amp; "-" &amp; WEEKNUM(orders_Q4[[#This Row],[Order Date]])</f>
        <v>2024-52</v>
      </c>
      <c r="AJ328" t="str">
        <f>IF(orders_Q4[[#This Row],[Payment]]="COD","COD","Prepaid")</f>
        <v>Prepaid</v>
      </c>
    </row>
    <row r="329" spans="1:36" x14ac:dyDescent="0.3">
      <c r="A329" t="s">
        <v>1403</v>
      </c>
      <c r="B329" s="1">
        <v>45652</v>
      </c>
      <c r="C329" t="s">
        <v>1404</v>
      </c>
      <c r="D329" t="s">
        <v>25</v>
      </c>
      <c r="E329" t="s">
        <v>1405</v>
      </c>
      <c r="F329" t="s">
        <v>61</v>
      </c>
      <c r="G329" t="s">
        <v>1406</v>
      </c>
      <c r="H329">
        <v>5999</v>
      </c>
      <c r="I329">
        <v>1</v>
      </c>
      <c r="J329">
        <v>5999</v>
      </c>
      <c r="K329" s="2">
        <v>46376</v>
      </c>
      <c r="L329">
        <v>20</v>
      </c>
      <c r="M329" t="s">
        <v>55</v>
      </c>
      <c r="N329" t="s">
        <v>30</v>
      </c>
      <c r="O329" t="s">
        <v>194</v>
      </c>
      <c r="P329" t="s">
        <v>183</v>
      </c>
      <c r="Q329" t="s">
        <v>56</v>
      </c>
      <c r="R329" s="1">
        <v>45678</v>
      </c>
      <c r="S329" t="s">
        <v>33</v>
      </c>
      <c r="T329" t="s">
        <v>46</v>
      </c>
      <c r="U329" t="s">
        <v>79</v>
      </c>
      <c r="V329" s="1">
        <v>45706</v>
      </c>
      <c r="W329" t="s">
        <v>48</v>
      </c>
      <c r="X329" t="str">
        <f>IF(OR(orders_Q4[[#This Row],[Qty]]&gt;5,orders_Q4[[#This Row],[Qty]]&lt;0),"Invalid Quantity","OK")</f>
        <v>OK</v>
      </c>
      <c r="Y329" t="b">
        <f>OR(orders_Q4[[#This Row],[Unit Price]]&gt;20000,orders_Q4[[#This Row],[Unit Price]]&lt;0,orders_Q4[[#This Row],[Unit Price]]=0)</f>
        <v>0</v>
      </c>
      <c r="Z32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29">
        <f>orders_Q4[[#This Row],[Unit Price]] * orders_Q4[[#This Row],[Qty]] * (1 - orders_Q4[[#This Row],[Disc %]]/100)</f>
        <v>4799.2</v>
      </c>
      <c r="AB329" t="str">
        <f>IF(ABS(orders_Q4[[#This Row],[Total]] - orders_Q4[[#This Row],[Calculated_order_total]]) &gt; 1, "Mismatch", "OK")</f>
        <v>Mismatch</v>
      </c>
      <c r="AC329">
        <f>COUNTIF(C:C,orders_Q4[[#This Row],[Customer ID]])</f>
        <v>1</v>
      </c>
      <c r="AD329" t="str">
        <f>IF(AND(orders_Q4[[#This Row],[Type]]="New",orders_Q4[[#This Row],[Customer_id_count]]&gt;1),"Existing customer","OK")</f>
        <v>OK</v>
      </c>
      <c r="AE329">
        <f>orders_Q4[[#This Row],[Del Date]]-orders_Q4[[#This Row],[Order Date]]</f>
        <v>26</v>
      </c>
      <c r="AF329" t="str">
        <f>IF(OR(orders_Q4[[#This Row],[Delivery_time]]&gt;30,orders_Q4[[#This Row],[Delivery_time]]&lt;0),"Invalid_delivery_time","OK")</f>
        <v>OK</v>
      </c>
      <c r="AG329" s="20">
        <f>IF(
   AND(NOT(ISBLANK(orders_Q4[[#This Row],[return_received]])), NOT(ISBLANK(orders_Q4[[#This Row],[Del Date]]))),
   orders_Q4[[#This Row],[return_received]] - orders_Q4[[#This Row],[Del Date]],0)</f>
        <v>28</v>
      </c>
      <c r="AH329" t="str">
        <f>TEXT(orders_Q4[[#This Row],[Order Date]],"mmm-yyyy")</f>
        <v>Dec-2024</v>
      </c>
      <c r="AI329" s="1" t="str">
        <f>TEXT(orders_Q4[[#This Row],[Order Date]],"yyyy") &amp; "-" &amp; WEEKNUM(orders_Q4[[#This Row],[Order Date]])</f>
        <v>2024-52</v>
      </c>
      <c r="AJ329" t="str">
        <f>IF(orders_Q4[[#This Row],[Payment]]="COD","COD","Prepaid")</f>
        <v>COD</v>
      </c>
    </row>
    <row r="330" spans="1:36" x14ac:dyDescent="0.3">
      <c r="A330" t="s">
        <v>1407</v>
      </c>
      <c r="B330" s="1">
        <v>45652</v>
      </c>
      <c r="C330" t="s">
        <v>1408</v>
      </c>
      <c r="D330" t="s">
        <v>38</v>
      </c>
      <c r="E330" t="s">
        <v>1409</v>
      </c>
      <c r="F330" t="s">
        <v>71</v>
      </c>
      <c r="G330" t="s">
        <v>1410</v>
      </c>
      <c r="H330">
        <v>1299</v>
      </c>
      <c r="I330">
        <v>1</v>
      </c>
      <c r="J330">
        <v>1299</v>
      </c>
      <c r="L330">
        <v>0</v>
      </c>
      <c r="M330" t="s">
        <v>111</v>
      </c>
      <c r="N330" t="s">
        <v>44</v>
      </c>
      <c r="O330" t="s">
        <v>199</v>
      </c>
      <c r="P330" t="s">
        <v>57</v>
      </c>
      <c r="Q330" t="s">
        <v>56</v>
      </c>
      <c r="R330" s="1">
        <v>45677</v>
      </c>
      <c r="S330" t="s">
        <v>33</v>
      </c>
      <c r="T330" t="s">
        <v>46</v>
      </c>
      <c r="U330" t="s">
        <v>68</v>
      </c>
      <c r="V330" s="1">
        <v>45704</v>
      </c>
      <c r="W330" t="s">
        <v>48</v>
      </c>
      <c r="X330" t="str">
        <f>IF(OR(orders_Q4[[#This Row],[Qty]]&gt;5,orders_Q4[[#This Row],[Qty]]&lt;0),"Invalid Quantity","OK")</f>
        <v>OK</v>
      </c>
      <c r="Y330" t="b">
        <f>OR(orders_Q4[[#This Row],[Unit Price]]&gt;20000,orders_Q4[[#This Row],[Unit Price]]&lt;0,orders_Q4[[#This Row],[Unit Price]]=0)</f>
        <v>0</v>
      </c>
      <c r="Z33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30">
        <f>orders_Q4[[#This Row],[Unit Price]] * orders_Q4[[#This Row],[Qty]] * (1 - orders_Q4[[#This Row],[Disc %]]/100)</f>
        <v>1299</v>
      </c>
      <c r="AB330" t="str">
        <f>IF(ABS(orders_Q4[[#This Row],[Total]] - orders_Q4[[#This Row],[Calculated_order_total]]) &gt; 1, "Mismatch", "OK")</f>
        <v>OK</v>
      </c>
      <c r="AC330">
        <f>COUNTIF(C:C,orders_Q4[[#This Row],[Customer ID]])</f>
        <v>1</v>
      </c>
      <c r="AD330" t="str">
        <f>IF(AND(orders_Q4[[#This Row],[Type]]="New",orders_Q4[[#This Row],[Customer_id_count]]&gt;1),"Existing customer","OK")</f>
        <v>OK</v>
      </c>
      <c r="AE330">
        <f>orders_Q4[[#This Row],[Del Date]]-orders_Q4[[#This Row],[Order Date]]</f>
        <v>25</v>
      </c>
      <c r="AF330" t="str">
        <f>IF(OR(orders_Q4[[#This Row],[Delivery_time]]&gt;30,orders_Q4[[#This Row],[Delivery_time]]&lt;0),"Invalid_delivery_time","OK")</f>
        <v>OK</v>
      </c>
      <c r="AG330" s="20">
        <f>IF(
   AND(NOT(ISBLANK(orders_Q4[[#This Row],[return_received]])), NOT(ISBLANK(orders_Q4[[#This Row],[Del Date]]))),
   orders_Q4[[#This Row],[return_received]] - orders_Q4[[#This Row],[Del Date]],0)</f>
        <v>27</v>
      </c>
      <c r="AH330" t="str">
        <f>TEXT(orders_Q4[[#This Row],[Order Date]],"mmm-yyyy")</f>
        <v>Dec-2024</v>
      </c>
      <c r="AI330" s="1" t="str">
        <f>TEXT(orders_Q4[[#This Row],[Order Date]],"yyyy") &amp; "-" &amp; WEEKNUM(orders_Q4[[#This Row],[Order Date]])</f>
        <v>2024-52</v>
      </c>
      <c r="AJ330" t="str">
        <f>IF(orders_Q4[[#This Row],[Payment]]="COD","COD","Prepaid")</f>
        <v>Prepaid</v>
      </c>
    </row>
    <row r="331" spans="1:36" x14ac:dyDescent="0.3">
      <c r="A331" t="s">
        <v>1411</v>
      </c>
      <c r="B331" s="1">
        <v>45653</v>
      </c>
      <c r="C331" t="s">
        <v>1412</v>
      </c>
      <c r="D331" t="s">
        <v>25</v>
      </c>
      <c r="E331" t="s">
        <v>1413</v>
      </c>
      <c r="F331" t="s">
        <v>27</v>
      </c>
      <c r="G331" t="s">
        <v>1414</v>
      </c>
      <c r="H331">
        <v>999</v>
      </c>
      <c r="I331">
        <v>2</v>
      </c>
      <c r="J331">
        <v>1998</v>
      </c>
      <c r="L331">
        <v>0</v>
      </c>
      <c r="M331" t="s">
        <v>64</v>
      </c>
      <c r="N331" t="s">
        <v>65</v>
      </c>
      <c r="O331" t="s">
        <v>204</v>
      </c>
      <c r="P331" t="s">
        <v>97</v>
      </c>
      <c r="Q331" t="s">
        <v>31</v>
      </c>
      <c r="R331" s="1">
        <v>45678</v>
      </c>
      <c r="S331" t="s">
        <v>33</v>
      </c>
      <c r="T331" t="s">
        <v>34</v>
      </c>
      <c r="W331" t="s">
        <v>35</v>
      </c>
      <c r="X331" t="str">
        <f>IF(OR(orders_Q4[[#This Row],[Qty]]&gt;5,orders_Q4[[#This Row],[Qty]]&lt;0),"Invalid Quantity","OK")</f>
        <v>OK</v>
      </c>
      <c r="Y331" t="b">
        <f>OR(orders_Q4[[#This Row],[Unit Price]]&gt;20000,orders_Q4[[#This Row],[Unit Price]]&lt;0,orders_Q4[[#This Row],[Unit Price]]=0)</f>
        <v>0</v>
      </c>
      <c r="Z33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31">
        <f>orders_Q4[[#This Row],[Unit Price]] * orders_Q4[[#This Row],[Qty]] * (1 - orders_Q4[[#This Row],[Disc %]]/100)</f>
        <v>1998</v>
      </c>
      <c r="AB331" t="str">
        <f>IF(ABS(orders_Q4[[#This Row],[Total]] - orders_Q4[[#This Row],[Calculated_order_total]]) &gt; 1, "Mismatch", "OK")</f>
        <v>OK</v>
      </c>
      <c r="AC331">
        <f>COUNTIF(C:C,orders_Q4[[#This Row],[Customer ID]])</f>
        <v>1</v>
      </c>
      <c r="AD331" t="str">
        <f>IF(AND(orders_Q4[[#This Row],[Type]]="New",orders_Q4[[#This Row],[Customer_id_count]]&gt;1),"Existing customer","OK")</f>
        <v>OK</v>
      </c>
      <c r="AE331">
        <f>orders_Q4[[#This Row],[Del Date]]-orders_Q4[[#This Row],[Order Date]]</f>
        <v>25</v>
      </c>
      <c r="AF331" t="str">
        <f>IF(OR(orders_Q4[[#This Row],[Delivery_time]]&gt;30,orders_Q4[[#This Row],[Delivery_time]]&lt;0),"Invalid_delivery_time","OK")</f>
        <v>OK</v>
      </c>
      <c r="AG331" s="20">
        <f>IF(
   AND(NOT(ISBLANK(orders_Q4[[#This Row],[return_received]])), NOT(ISBLANK(orders_Q4[[#This Row],[Del Date]]))),
   orders_Q4[[#This Row],[return_received]] - orders_Q4[[#This Row],[Del Date]],0)</f>
        <v>0</v>
      </c>
      <c r="AH331" t="str">
        <f>TEXT(orders_Q4[[#This Row],[Order Date]],"mmm-yyyy")</f>
        <v>Dec-2024</v>
      </c>
      <c r="AI331" s="1" t="str">
        <f>TEXT(orders_Q4[[#This Row],[Order Date]],"yyyy") &amp; "-" &amp; WEEKNUM(orders_Q4[[#This Row],[Order Date]])</f>
        <v>2024-52</v>
      </c>
      <c r="AJ331" t="str">
        <f>IF(orders_Q4[[#This Row],[Payment]]="COD","COD","Prepaid")</f>
        <v>Prepaid</v>
      </c>
    </row>
    <row r="332" spans="1:36" x14ac:dyDescent="0.3">
      <c r="A332" t="s">
        <v>1415</v>
      </c>
      <c r="B332" s="1">
        <v>45653</v>
      </c>
      <c r="C332" t="s">
        <v>1416</v>
      </c>
      <c r="D332" t="s">
        <v>25</v>
      </c>
      <c r="E332" t="s">
        <v>1417</v>
      </c>
      <c r="F332" t="s">
        <v>40</v>
      </c>
      <c r="G332" t="s">
        <v>1418</v>
      </c>
      <c r="H332">
        <v>3499</v>
      </c>
      <c r="I332">
        <v>1</v>
      </c>
      <c r="J332">
        <v>3499</v>
      </c>
      <c r="K332" s="2">
        <v>46376</v>
      </c>
      <c r="L332">
        <v>20</v>
      </c>
      <c r="M332" t="s">
        <v>43</v>
      </c>
      <c r="N332" t="s">
        <v>30</v>
      </c>
      <c r="O332" t="s">
        <v>209</v>
      </c>
      <c r="P332" t="s">
        <v>97</v>
      </c>
      <c r="Q332" t="s">
        <v>31</v>
      </c>
      <c r="R332" s="1">
        <v>45679</v>
      </c>
      <c r="S332" t="s">
        <v>33</v>
      </c>
      <c r="T332" t="s">
        <v>46</v>
      </c>
      <c r="U332" t="s">
        <v>47</v>
      </c>
      <c r="V332" s="1">
        <v>45707</v>
      </c>
      <c r="W332" t="s">
        <v>48</v>
      </c>
      <c r="X332" t="str">
        <f>IF(OR(orders_Q4[[#This Row],[Qty]]&gt;5,orders_Q4[[#This Row],[Qty]]&lt;0),"Invalid Quantity","OK")</f>
        <v>OK</v>
      </c>
      <c r="Y332" t="b">
        <f>OR(orders_Q4[[#This Row],[Unit Price]]&gt;20000,orders_Q4[[#This Row],[Unit Price]]&lt;0,orders_Q4[[#This Row],[Unit Price]]=0)</f>
        <v>0</v>
      </c>
      <c r="Z33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32">
        <f>orders_Q4[[#This Row],[Unit Price]] * orders_Q4[[#This Row],[Qty]] * (1 - orders_Q4[[#This Row],[Disc %]]/100)</f>
        <v>2799.2000000000003</v>
      </c>
      <c r="AB332" t="str">
        <f>IF(ABS(orders_Q4[[#This Row],[Total]] - orders_Q4[[#This Row],[Calculated_order_total]]) &gt; 1, "Mismatch", "OK")</f>
        <v>Mismatch</v>
      </c>
      <c r="AC332">
        <f>COUNTIF(C:C,orders_Q4[[#This Row],[Customer ID]])</f>
        <v>1</v>
      </c>
      <c r="AD332" t="str">
        <f>IF(AND(orders_Q4[[#This Row],[Type]]="New",orders_Q4[[#This Row],[Customer_id_count]]&gt;1),"Existing customer","OK")</f>
        <v>OK</v>
      </c>
      <c r="AE332">
        <f>orders_Q4[[#This Row],[Del Date]]-orders_Q4[[#This Row],[Order Date]]</f>
        <v>26</v>
      </c>
      <c r="AF332" t="str">
        <f>IF(OR(orders_Q4[[#This Row],[Delivery_time]]&gt;30,orders_Q4[[#This Row],[Delivery_time]]&lt;0),"Invalid_delivery_time","OK")</f>
        <v>OK</v>
      </c>
      <c r="AG332" s="20">
        <f>IF(
   AND(NOT(ISBLANK(orders_Q4[[#This Row],[return_received]])), NOT(ISBLANK(orders_Q4[[#This Row],[Del Date]]))),
   orders_Q4[[#This Row],[return_received]] - orders_Q4[[#This Row],[Del Date]],0)</f>
        <v>28</v>
      </c>
      <c r="AH332" t="str">
        <f>TEXT(orders_Q4[[#This Row],[Order Date]],"mmm-yyyy")</f>
        <v>Dec-2024</v>
      </c>
      <c r="AI332" s="1" t="str">
        <f>TEXT(orders_Q4[[#This Row],[Order Date]],"yyyy") &amp; "-" &amp; WEEKNUM(orders_Q4[[#This Row],[Order Date]])</f>
        <v>2024-52</v>
      </c>
      <c r="AJ332" t="str">
        <f>IF(orders_Q4[[#This Row],[Payment]]="COD","COD","Prepaid")</f>
        <v>Prepaid</v>
      </c>
    </row>
    <row r="333" spans="1:36" x14ac:dyDescent="0.3">
      <c r="A333" t="s">
        <v>1419</v>
      </c>
      <c r="B333" s="1">
        <v>45653</v>
      </c>
      <c r="C333" t="s">
        <v>1420</v>
      </c>
      <c r="D333" t="s">
        <v>25</v>
      </c>
      <c r="E333" t="s">
        <v>1421</v>
      </c>
      <c r="F333" t="s">
        <v>53</v>
      </c>
      <c r="G333" t="s">
        <v>1422</v>
      </c>
      <c r="H333">
        <v>1799</v>
      </c>
      <c r="I333">
        <v>1</v>
      </c>
      <c r="J333">
        <v>1799</v>
      </c>
      <c r="L333">
        <v>0</v>
      </c>
      <c r="M333" t="s">
        <v>29</v>
      </c>
      <c r="N333" t="s">
        <v>44</v>
      </c>
      <c r="O333" t="s">
        <v>214</v>
      </c>
      <c r="P333" t="s">
        <v>113</v>
      </c>
      <c r="Q333" t="s">
        <v>45</v>
      </c>
      <c r="R333" s="1">
        <v>45679</v>
      </c>
      <c r="S333" t="s">
        <v>33</v>
      </c>
      <c r="T333" t="s">
        <v>34</v>
      </c>
      <c r="W333" t="s">
        <v>35</v>
      </c>
      <c r="X333" t="str">
        <f>IF(OR(orders_Q4[[#This Row],[Qty]]&gt;5,orders_Q4[[#This Row],[Qty]]&lt;0),"Invalid Quantity","OK")</f>
        <v>OK</v>
      </c>
      <c r="Y333" t="b">
        <f>OR(orders_Q4[[#This Row],[Unit Price]]&gt;20000,orders_Q4[[#This Row],[Unit Price]]&lt;0,orders_Q4[[#This Row],[Unit Price]]=0)</f>
        <v>0</v>
      </c>
      <c r="Z33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33">
        <f>orders_Q4[[#This Row],[Unit Price]] * orders_Q4[[#This Row],[Qty]] * (1 - orders_Q4[[#This Row],[Disc %]]/100)</f>
        <v>1799</v>
      </c>
      <c r="AB333" t="str">
        <f>IF(ABS(orders_Q4[[#This Row],[Total]] - orders_Q4[[#This Row],[Calculated_order_total]]) &gt; 1, "Mismatch", "OK")</f>
        <v>OK</v>
      </c>
      <c r="AC333">
        <f>COUNTIF(C:C,orders_Q4[[#This Row],[Customer ID]])</f>
        <v>1</v>
      </c>
      <c r="AD333" t="str">
        <f>IF(AND(orders_Q4[[#This Row],[Type]]="New",orders_Q4[[#This Row],[Customer_id_count]]&gt;1),"Existing customer","OK")</f>
        <v>OK</v>
      </c>
      <c r="AE333">
        <f>orders_Q4[[#This Row],[Del Date]]-orders_Q4[[#This Row],[Order Date]]</f>
        <v>26</v>
      </c>
      <c r="AF333" t="str">
        <f>IF(OR(orders_Q4[[#This Row],[Delivery_time]]&gt;30,orders_Q4[[#This Row],[Delivery_time]]&lt;0),"Invalid_delivery_time","OK")</f>
        <v>OK</v>
      </c>
      <c r="AG333" s="20">
        <f>IF(
   AND(NOT(ISBLANK(orders_Q4[[#This Row],[return_received]])), NOT(ISBLANK(orders_Q4[[#This Row],[Del Date]]))),
   orders_Q4[[#This Row],[return_received]] - orders_Q4[[#This Row],[Del Date]],0)</f>
        <v>0</v>
      </c>
      <c r="AH333" t="str">
        <f>TEXT(orders_Q4[[#This Row],[Order Date]],"mmm-yyyy")</f>
        <v>Dec-2024</v>
      </c>
      <c r="AI333" s="1" t="str">
        <f>TEXT(orders_Q4[[#This Row],[Order Date]],"yyyy") &amp; "-" &amp; WEEKNUM(orders_Q4[[#This Row],[Order Date]])</f>
        <v>2024-52</v>
      </c>
      <c r="AJ333" t="str">
        <f>IF(orders_Q4[[#This Row],[Payment]]="COD","COD","Prepaid")</f>
        <v>Prepaid</v>
      </c>
    </row>
    <row r="334" spans="1:36" x14ac:dyDescent="0.3">
      <c r="A334" t="s">
        <v>1423</v>
      </c>
      <c r="B334" s="1">
        <v>45653</v>
      </c>
      <c r="C334" t="s">
        <v>1424</v>
      </c>
      <c r="D334" t="s">
        <v>25</v>
      </c>
      <c r="E334" t="s">
        <v>1425</v>
      </c>
      <c r="F334" t="s">
        <v>61</v>
      </c>
      <c r="G334" t="s">
        <v>1426</v>
      </c>
      <c r="H334">
        <v>4599</v>
      </c>
      <c r="I334">
        <v>1</v>
      </c>
      <c r="J334">
        <v>4599</v>
      </c>
      <c r="L334">
        <v>0</v>
      </c>
      <c r="M334" t="s">
        <v>55</v>
      </c>
      <c r="N334" t="s">
        <v>65</v>
      </c>
      <c r="O334" t="s">
        <v>31</v>
      </c>
      <c r="P334" t="s">
        <v>32</v>
      </c>
      <c r="Q334" t="s">
        <v>31</v>
      </c>
      <c r="R334" s="1">
        <v>45680</v>
      </c>
      <c r="S334" t="s">
        <v>33</v>
      </c>
      <c r="T334" t="s">
        <v>46</v>
      </c>
      <c r="U334" t="s">
        <v>104</v>
      </c>
      <c r="V334" s="1">
        <v>45708</v>
      </c>
      <c r="W334" t="s">
        <v>48</v>
      </c>
      <c r="X334" t="str">
        <f>IF(OR(orders_Q4[[#This Row],[Qty]]&gt;5,orders_Q4[[#This Row],[Qty]]&lt;0),"Invalid Quantity","OK")</f>
        <v>OK</v>
      </c>
      <c r="Y334" t="b">
        <f>OR(orders_Q4[[#This Row],[Unit Price]]&gt;20000,orders_Q4[[#This Row],[Unit Price]]&lt;0,orders_Q4[[#This Row],[Unit Price]]=0)</f>
        <v>0</v>
      </c>
      <c r="Z33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34">
        <f>orders_Q4[[#This Row],[Unit Price]] * orders_Q4[[#This Row],[Qty]] * (1 - orders_Q4[[#This Row],[Disc %]]/100)</f>
        <v>4599</v>
      </c>
      <c r="AB334" t="str">
        <f>IF(ABS(orders_Q4[[#This Row],[Total]] - orders_Q4[[#This Row],[Calculated_order_total]]) &gt; 1, "Mismatch", "OK")</f>
        <v>OK</v>
      </c>
      <c r="AC334">
        <f>COUNTIF(C:C,orders_Q4[[#This Row],[Customer ID]])</f>
        <v>1</v>
      </c>
      <c r="AD334" t="str">
        <f>IF(AND(orders_Q4[[#This Row],[Type]]="New",orders_Q4[[#This Row],[Customer_id_count]]&gt;1),"Existing customer","OK")</f>
        <v>OK</v>
      </c>
      <c r="AE334">
        <f>orders_Q4[[#This Row],[Del Date]]-orders_Q4[[#This Row],[Order Date]]</f>
        <v>27</v>
      </c>
      <c r="AF334" t="str">
        <f>IF(OR(orders_Q4[[#This Row],[Delivery_time]]&gt;30,orders_Q4[[#This Row],[Delivery_time]]&lt;0),"Invalid_delivery_time","OK")</f>
        <v>OK</v>
      </c>
      <c r="AG334" s="20">
        <f>IF(
   AND(NOT(ISBLANK(orders_Q4[[#This Row],[return_received]])), NOT(ISBLANK(orders_Q4[[#This Row],[Del Date]]))),
   orders_Q4[[#This Row],[return_received]] - orders_Q4[[#This Row],[Del Date]],0)</f>
        <v>28</v>
      </c>
      <c r="AH334" t="str">
        <f>TEXT(orders_Q4[[#This Row],[Order Date]],"mmm-yyyy")</f>
        <v>Dec-2024</v>
      </c>
      <c r="AI334" s="1" t="str">
        <f>TEXT(orders_Q4[[#This Row],[Order Date]],"yyyy") &amp; "-" &amp; WEEKNUM(orders_Q4[[#This Row],[Order Date]])</f>
        <v>2024-52</v>
      </c>
      <c r="AJ334" t="str">
        <f>IF(orders_Q4[[#This Row],[Payment]]="COD","COD","Prepaid")</f>
        <v>COD</v>
      </c>
    </row>
    <row r="335" spans="1:36" x14ac:dyDescent="0.3">
      <c r="A335" t="s">
        <v>1427</v>
      </c>
      <c r="B335" s="1">
        <v>45654</v>
      </c>
      <c r="C335" t="s">
        <v>1428</v>
      </c>
      <c r="D335" t="s">
        <v>38</v>
      </c>
      <c r="E335" t="s">
        <v>1429</v>
      </c>
      <c r="F335" t="s">
        <v>71</v>
      </c>
      <c r="G335" t="s">
        <v>1430</v>
      </c>
      <c r="H335">
        <v>799</v>
      </c>
      <c r="I335">
        <v>1</v>
      </c>
      <c r="J335">
        <v>799</v>
      </c>
      <c r="K335" s="2">
        <v>46376</v>
      </c>
      <c r="L335">
        <v>20</v>
      </c>
      <c r="M335" t="s">
        <v>111</v>
      </c>
      <c r="N335" t="s">
        <v>30</v>
      </c>
      <c r="O335" t="s">
        <v>45</v>
      </c>
      <c r="P335" t="s">
        <v>45</v>
      </c>
      <c r="Q335" t="s">
        <v>45</v>
      </c>
      <c r="R335" s="1">
        <v>45679</v>
      </c>
      <c r="S335" t="s">
        <v>33</v>
      </c>
      <c r="T335" t="s">
        <v>34</v>
      </c>
      <c r="W335" t="s">
        <v>35</v>
      </c>
      <c r="X335" t="str">
        <f>IF(OR(orders_Q4[[#This Row],[Qty]]&gt;5,orders_Q4[[#This Row],[Qty]]&lt;0),"Invalid Quantity","OK")</f>
        <v>OK</v>
      </c>
      <c r="Y335" t="b">
        <f>OR(orders_Q4[[#This Row],[Unit Price]]&gt;20000,orders_Q4[[#This Row],[Unit Price]]&lt;0,orders_Q4[[#This Row],[Unit Price]]=0)</f>
        <v>0</v>
      </c>
      <c r="Z33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35">
        <f>orders_Q4[[#This Row],[Unit Price]] * orders_Q4[[#This Row],[Qty]] * (1 - orders_Q4[[#This Row],[Disc %]]/100)</f>
        <v>639.20000000000005</v>
      </c>
      <c r="AB335" t="str">
        <f>IF(ABS(orders_Q4[[#This Row],[Total]] - orders_Q4[[#This Row],[Calculated_order_total]]) &gt; 1, "Mismatch", "OK")</f>
        <v>Mismatch</v>
      </c>
      <c r="AC335">
        <f>COUNTIF(C:C,orders_Q4[[#This Row],[Customer ID]])</f>
        <v>1</v>
      </c>
      <c r="AD335" t="str">
        <f>IF(AND(orders_Q4[[#This Row],[Type]]="New",orders_Q4[[#This Row],[Customer_id_count]]&gt;1),"Existing customer","OK")</f>
        <v>OK</v>
      </c>
      <c r="AE335">
        <f>orders_Q4[[#This Row],[Del Date]]-orders_Q4[[#This Row],[Order Date]]</f>
        <v>25</v>
      </c>
      <c r="AF335" t="str">
        <f>IF(OR(orders_Q4[[#This Row],[Delivery_time]]&gt;30,orders_Q4[[#This Row],[Delivery_time]]&lt;0),"Invalid_delivery_time","OK")</f>
        <v>OK</v>
      </c>
      <c r="AG335" s="20">
        <f>IF(
   AND(NOT(ISBLANK(orders_Q4[[#This Row],[return_received]])), NOT(ISBLANK(orders_Q4[[#This Row],[Del Date]]))),
   orders_Q4[[#This Row],[return_received]] - orders_Q4[[#This Row],[Del Date]],0)</f>
        <v>0</v>
      </c>
      <c r="AH335" t="str">
        <f>TEXT(orders_Q4[[#This Row],[Order Date]],"mmm-yyyy")</f>
        <v>Dec-2024</v>
      </c>
      <c r="AI335" s="1" t="str">
        <f>TEXT(orders_Q4[[#This Row],[Order Date]],"yyyy") &amp; "-" &amp; WEEKNUM(orders_Q4[[#This Row],[Order Date]])</f>
        <v>2024-52</v>
      </c>
      <c r="AJ335" t="str">
        <f>IF(orders_Q4[[#This Row],[Payment]]="COD","COD","Prepaid")</f>
        <v>Prepaid</v>
      </c>
    </row>
    <row r="336" spans="1:36" x14ac:dyDescent="0.3">
      <c r="A336" t="s">
        <v>1431</v>
      </c>
      <c r="B336" s="1">
        <v>45654</v>
      </c>
      <c r="C336" t="s">
        <v>1432</v>
      </c>
      <c r="D336" t="s">
        <v>25</v>
      </c>
      <c r="E336" t="s">
        <v>1433</v>
      </c>
      <c r="F336" t="s">
        <v>27</v>
      </c>
      <c r="G336" t="s">
        <v>1434</v>
      </c>
      <c r="H336">
        <v>1899</v>
      </c>
      <c r="I336">
        <v>1</v>
      </c>
      <c r="J336">
        <v>1899</v>
      </c>
      <c r="L336">
        <v>0</v>
      </c>
      <c r="M336" t="s">
        <v>64</v>
      </c>
      <c r="N336" t="s">
        <v>44</v>
      </c>
      <c r="O336" t="s">
        <v>90</v>
      </c>
      <c r="P336" t="s">
        <v>91</v>
      </c>
      <c r="Q336" t="s">
        <v>45</v>
      </c>
      <c r="R336" s="1">
        <v>45680</v>
      </c>
      <c r="S336" t="s">
        <v>33</v>
      </c>
      <c r="T336" t="s">
        <v>46</v>
      </c>
      <c r="U336" t="s">
        <v>138</v>
      </c>
      <c r="V336" s="1">
        <v>45707</v>
      </c>
      <c r="W336" t="s">
        <v>48</v>
      </c>
      <c r="X336" t="str">
        <f>IF(OR(orders_Q4[[#This Row],[Qty]]&gt;5,orders_Q4[[#This Row],[Qty]]&lt;0),"Invalid Quantity","OK")</f>
        <v>OK</v>
      </c>
      <c r="Y336" t="b">
        <f>OR(orders_Q4[[#This Row],[Unit Price]]&gt;20000,orders_Q4[[#This Row],[Unit Price]]&lt;0,orders_Q4[[#This Row],[Unit Price]]=0)</f>
        <v>0</v>
      </c>
      <c r="Z33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36">
        <f>orders_Q4[[#This Row],[Unit Price]] * orders_Q4[[#This Row],[Qty]] * (1 - orders_Q4[[#This Row],[Disc %]]/100)</f>
        <v>1899</v>
      </c>
      <c r="AB336" t="str">
        <f>IF(ABS(orders_Q4[[#This Row],[Total]] - orders_Q4[[#This Row],[Calculated_order_total]]) &gt; 1, "Mismatch", "OK")</f>
        <v>OK</v>
      </c>
      <c r="AC336">
        <f>COUNTIF(C:C,orders_Q4[[#This Row],[Customer ID]])</f>
        <v>1</v>
      </c>
      <c r="AD336" t="str">
        <f>IF(AND(orders_Q4[[#This Row],[Type]]="New",orders_Q4[[#This Row],[Customer_id_count]]&gt;1),"Existing customer","OK")</f>
        <v>OK</v>
      </c>
      <c r="AE336">
        <f>orders_Q4[[#This Row],[Del Date]]-orders_Q4[[#This Row],[Order Date]]</f>
        <v>26</v>
      </c>
      <c r="AF336" t="str">
        <f>IF(OR(orders_Q4[[#This Row],[Delivery_time]]&gt;30,orders_Q4[[#This Row],[Delivery_time]]&lt;0),"Invalid_delivery_time","OK")</f>
        <v>OK</v>
      </c>
      <c r="AG336" s="20">
        <f>IF(
   AND(NOT(ISBLANK(orders_Q4[[#This Row],[return_received]])), NOT(ISBLANK(orders_Q4[[#This Row],[Del Date]]))),
   orders_Q4[[#This Row],[return_received]] - orders_Q4[[#This Row],[Del Date]],0)</f>
        <v>27</v>
      </c>
      <c r="AH336" t="str">
        <f>TEXT(orders_Q4[[#This Row],[Order Date]],"mmm-yyyy")</f>
        <v>Dec-2024</v>
      </c>
      <c r="AI336" s="1" t="str">
        <f>TEXT(orders_Q4[[#This Row],[Order Date]],"yyyy") &amp; "-" &amp; WEEKNUM(orders_Q4[[#This Row],[Order Date]])</f>
        <v>2024-52</v>
      </c>
      <c r="AJ336" t="str">
        <f>IF(orders_Q4[[#This Row],[Payment]]="COD","COD","Prepaid")</f>
        <v>Prepaid</v>
      </c>
    </row>
    <row r="337" spans="1:36" x14ac:dyDescent="0.3">
      <c r="A337" t="s">
        <v>1435</v>
      </c>
      <c r="B337" s="1">
        <v>45654</v>
      </c>
      <c r="C337" t="s">
        <v>1436</v>
      </c>
      <c r="D337" t="s">
        <v>25</v>
      </c>
      <c r="E337" t="s">
        <v>1437</v>
      </c>
      <c r="F337" t="s">
        <v>40</v>
      </c>
      <c r="G337" t="s">
        <v>1438</v>
      </c>
      <c r="H337">
        <v>4099</v>
      </c>
      <c r="I337">
        <v>1</v>
      </c>
      <c r="J337">
        <v>4099</v>
      </c>
      <c r="L337">
        <v>0</v>
      </c>
      <c r="M337" t="s">
        <v>43</v>
      </c>
      <c r="N337" t="s">
        <v>65</v>
      </c>
      <c r="O337" t="s">
        <v>66</v>
      </c>
      <c r="P337" t="s">
        <v>67</v>
      </c>
      <c r="Q337" t="s">
        <v>56</v>
      </c>
      <c r="R337" s="1">
        <v>45681</v>
      </c>
      <c r="S337" t="s">
        <v>33</v>
      </c>
      <c r="T337" t="s">
        <v>46</v>
      </c>
      <c r="U337" t="s">
        <v>47</v>
      </c>
      <c r="V337" s="1">
        <v>45709</v>
      </c>
      <c r="W337" t="s">
        <v>48</v>
      </c>
      <c r="X337" t="str">
        <f>IF(OR(orders_Q4[[#This Row],[Qty]]&gt;5,orders_Q4[[#This Row],[Qty]]&lt;0),"Invalid Quantity","OK")</f>
        <v>OK</v>
      </c>
      <c r="Y337" t="b">
        <f>OR(orders_Q4[[#This Row],[Unit Price]]&gt;20000,orders_Q4[[#This Row],[Unit Price]]&lt;0,orders_Q4[[#This Row],[Unit Price]]=0)</f>
        <v>0</v>
      </c>
      <c r="Z33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37">
        <f>orders_Q4[[#This Row],[Unit Price]] * orders_Q4[[#This Row],[Qty]] * (1 - orders_Q4[[#This Row],[Disc %]]/100)</f>
        <v>4099</v>
      </c>
      <c r="AB337" t="str">
        <f>IF(ABS(orders_Q4[[#This Row],[Total]] - orders_Q4[[#This Row],[Calculated_order_total]]) &gt; 1, "Mismatch", "OK")</f>
        <v>OK</v>
      </c>
      <c r="AC337">
        <f>COUNTIF(C:C,orders_Q4[[#This Row],[Customer ID]])</f>
        <v>1</v>
      </c>
      <c r="AD337" t="str">
        <f>IF(AND(orders_Q4[[#This Row],[Type]]="New",orders_Q4[[#This Row],[Customer_id_count]]&gt;1),"Existing customer","OK")</f>
        <v>OK</v>
      </c>
      <c r="AE337">
        <f>orders_Q4[[#This Row],[Del Date]]-orders_Q4[[#This Row],[Order Date]]</f>
        <v>27</v>
      </c>
      <c r="AF337" t="str">
        <f>IF(OR(orders_Q4[[#This Row],[Delivery_time]]&gt;30,orders_Q4[[#This Row],[Delivery_time]]&lt;0),"Invalid_delivery_time","OK")</f>
        <v>OK</v>
      </c>
      <c r="AG337" s="20">
        <f>IF(
   AND(NOT(ISBLANK(orders_Q4[[#This Row],[return_received]])), NOT(ISBLANK(orders_Q4[[#This Row],[Del Date]]))),
   orders_Q4[[#This Row],[return_received]] - orders_Q4[[#This Row],[Del Date]],0)</f>
        <v>28</v>
      </c>
      <c r="AH337" t="str">
        <f>TEXT(orders_Q4[[#This Row],[Order Date]],"mmm-yyyy")</f>
        <v>Dec-2024</v>
      </c>
      <c r="AI337" s="1" t="str">
        <f>TEXT(orders_Q4[[#This Row],[Order Date]],"yyyy") &amp; "-" &amp; WEEKNUM(orders_Q4[[#This Row],[Order Date]])</f>
        <v>2024-52</v>
      </c>
      <c r="AJ337" t="str">
        <f>IF(orders_Q4[[#This Row],[Payment]]="COD","COD","Prepaid")</f>
        <v>Prepaid</v>
      </c>
    </row>
    <row r="338" spans="1:36" x14ac:dyDescent="0.3">
      <c r="A338" t="s">
        <v>1439</v>
      </c>
      <c r="B338" s="1">
        <v>45654</v>
      </c>
      <c r="C338" t="s">
        <v>1440</v>
      </c>
      <c r="D338" t="s">
        <v>25</v>
      </c>
      <c r="E338" t="s">
        <v>1441</v>
      </c>
      <c r="F338" t="s">
        <v>53</v>
      </c>
      <c r="G338" t="s">
        <v>1442</v>
      </c>
      <c r="H338">
        <v>2299</v>
      </c>
      <c r="I338">
        <v>1</v>
      </c>
      <c r="J338">
        <v>2299</v>
      </c>
      <c r="K338" s="2">
        <v>46376</v>
      </c>
      <c r="L338">
        <v>20</v>
      </c>
      <c r="M338" t="s">
        <v>29</v>
      </c>
      <c r="N338" t="s">
        <v>30</v>
      </c>
      <c r="O338" t="s">
        <v>77</v>
      </c>
      <c r="P338" t="s">
        <v>78</v>
      </c>
      <c r="Q338" t="s">
        <v>56</v>
      </c>
      <c r="R338" s="1">
        <v>45681</v>
      </c>
      <c r="S338" t="s">
        <v>33</v>
      </c>
      <c r="T338" t="s">
        <v>34</v>
      </c>
      <c r="W338" t="s">
        <v>35</v>
      </c>
      <c r="X338" t="str">
        <f>IF(OR(orders_Q4[[#This Row],[Qty]]&gt;5,orders_Q4[[#This Row],[Qty]]&lt;0),"Invalid Quantity","OK")</f>
        <v>OK</v>
      </c>
      <c r="Y338" t="b">
        <f>OR(orders_Q4[[#This Row],[Unit Price]]&gt;20000,orders_Q4[[#This Row],[Unit Price]]&lt;0,orders_Q4[[#This Row],[Unit Price]]=0)</f>
        <v>0</v>
      </c>
      <c r="Z338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38">
        <f>orders_Q4[[#This Row],[Unit Price]] * orders_Q4[[#This Row],[Qty]] * (1 - orders_Q4[[#This Row],[Disc %]]/100)</f>
        <v>1839.2</v>
      </c>
      <c r="AB338" t="str">
        <f>IF(ABS(orders_Q4[[#This Row],[Total]] - orders_Q4[[#This Row],[Calculated_order_total]]) &gt; 1, "Mismatch", "OK")</f>
        <v>Mismatch</v>
      </c>
      <c r="AC338">
        <f>COUNTIF(C:C,orders_Q4[[#This Row],[Customer ID]])</f>
        <v>1</v>
      </c>
      <c r="AD338" t="str">
        <f>IF(AND(orders_Q4[[#This Row],[Type]]="New",orders_Q4[[#This Row],[Customer_id_count]]&gt;1),"Existing customer","OK")</f>
        <v>OK</v>
      </c>
      <c r="AE338">
        <f>orders_Q4[[#This Row],[Del Date]]-orders_Q4[[#This Row],[Order Date]]</f>
        <v>27</v>
      </c>
      <c r="AF338" t="str">
        <f>IF(OR(orders_Q4[[#This Row],[Delivery_time]]&gt;30,orders_Q4[[#This Row],[Delivery_time]]&lt;0),"Invalid_delivery_time","OK")</f>
        <v>OK</v>
      </c>
      <c r="AG338" s="20">
        <f>IF(
   AND(NOT(ISBLANK(orders_Q4[[#This Row],[return_received]])), NOT(ISBLANK(orders_Q4[[#This Row],[Del Date]]))),
   orders_Q4[[#This Row],[return_received]] - orders_Q4[[#This Row],[Del Date]],0)</f>
        <v>0</v>
      </c>
      <c r="AH338" t="str">
        <f>TEXT(orders_Q4[[#This Row],[Order Date]],"mmm-yyyy")</f>
        <v>Dec-2024</v>
      </c>
      <c r="AI338" s="1" t="str">
        <f>TEXT(orders_Q4[[#This Row],[Order Date]],"yyyy") &amp; "-" &amp; WEEKNUM(orders_Q4[[#This Row],[Order Date]])</f>
        <v>2024-52</v>
      </c>
      <c r="AJ338" t="str">
        <f>IF(orders_Q4[[#This Row],[Payment]]="COD","COD","Prepaid")</f>
        <v>Prepaid</v>
      </c>
    </row>
    <row r="339" spans="1:36" x14ac:dyDescent="0.3">
      <c r="A339" t="s">
        <v>1443</v>
      </c>
      <c r="B339" s="1">
        <v>45655</v>
      </c>
      <c r="C339" t="s">
        <v>1444</v>
      </c>
      <c r="D339" t="s">
        <v>25</v>
      </c>
      <c r="E339" t="s">
        <v>1445</v>
      </c>
      <c r="F339" t="s">
        <v>61</v>
      </c>
      <c r="G339" t="s">
        <v>1446</v>
      </c>
      <c r="H339">
        <v>5799</v>
      </c>
      <c r="I339">
        <v>1</v>
      </c>
      <c r="J339">
        <v>5799</v>
      </c>
      <c r="L339">
        <v>0</v>
      </c>
      <c r="M339" t="s">
        <v>55</v>
      </c>
      <c r="N339" t="s">
        <v>44</v>
      </c>
      <c r="O339" t="s">
        <v>84</v>
      </c>
      <c r="P339" t="s">
        <v>32</v>
      </c>
      <c r="Q339" t="s">
        <v>31</v>
      </c>
      <c r="R339" s="1">
        <v>45682</v>
      </c>
      <c r="S339" t="s">
        <v>33</v>
      </c>
      <c r="T339" t="s">
        <v>46</v>
      </c>
      <c r="U339" t="s">
        <v>79</v>
      </c>
      <c r="V339" s="1">
        <v>45710</v>
      </c>
      <c r="W339" t="s">
        <v>48</v>
      </c>
      <c r="X339" t="str">
        <f>IF(OR(orders_Q4[[#This Row],[Qty]]&gt;5,orders_Q4[[#This Row],[Qty]]&lt;0),"Invalid Quantity","OK")</f>
        <v>OK</v>
      </c>
      <c r="Y339" t="b">
        <f>OR(orders_Q4[[#This Row],[Unit Price]]&gt;20000,orders_Q4[[#This Row],[Unit Price]]&lt;0,orders_Q4[[#This Row],[Unit Price]]=0)</f>
        <v>0</v>
      </c>
      <c r="Z339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39">
        <f>orders_Q4[[#This Row],[Unit Price]] * orders_Q4[[#This Row],[Qty]] * (1 - orders_Q4[[#This Row],[Disc %]]/100)</f>
        <v>5799</v>
      </c>
      <c r="AB339" t="str">
        <f>IF(ABS(orders_Q4[[#This Row],[Total]] - orders_Q4[[#This Row],[Calculated_order_total]]) &gt; 1, "Mismatch", "OK")</f>
        <v>OK</v>
      </c>
      <c r="AC339">
        <f>COUNTIF(C:C,orders_Q4[[#This Row],[Customer ID]])</f>
        <v>1</v>
      </c>
      <c r="AD339" t="str">
        <f>IF(AND(orders_Q4[[#This Row],[Type]]="New",orders_Q4[[#This Row],[Customer_id_count]]&gt;1),"Existing customer","OK")</f>
        <v>OK</v>
      </c>
      <c r="AE339">
        <f>orders_Q4[[#This Row],[Del Date]]-orders_Q4[[#This Row],[Order Date]]</f>
        <v>27</v>
      </c>
      <c r="AF339" t="str">
        <f>IF(OR(orders_Q4[[#This Row],[Delivery_time]]&gt;30,orders_Q4[[#This Row],[Delivery_time]]&lt;0),"Invalid_delivery_time","OK")</f>
        <v>OK</v>
      </c>
      <c r="AG339" s="20">
        <f>IF(
   AND(NOT(ISBLANK(orders_Q4[[#This Row],[return_received]])), NOT(ISBLANK(orders_Q4[[#This Row],[Del Date]]))),
   orders_Q4[[#This Row],[return_received]] - orders_Q4[[#This Row],[Del Date]],0)</f>
        <v>28</v>
      </c>
      <c r="AH339" t="str">
        <f>TEXT(orders_Q4[[#This Row],[Order Date]],"mmm-yyyy")</f>
        <v>Dec-2024</v>
      </c>
      <c r="AI339" s="1" t="str">
        <f>TEXT(orders_Q4[[#This Row],[Order Date]],"yyyy") &amp; "-" &amp; WEEKNUM(orders_Q4[[#This Row],[Order Date]])</f>
        <v>2024-53</v>
      </c>
      <c r="AJ339" t="str">
        <f>IF(orders_Q4[[#This Row],[Payment]]="COD","COD","Prepaid")</f>
        <v>COD</v>
      </c>
    </row>
    <row r="340" spans="1:36" x14ac:dyDescent="0.3">
      <c r="A340" t="s">
        <v>1447</v>
      </c>
      <c r="B340" s="1">
        <v>45655</v>
      </c>
      <c r="C340" t="s">
        <v>1448</v>
      </c>
      <c r="D340" t="s">
        <v>38</v>
      </c>
      <c r="E340" t="s">
        <v>1449</v>
      </c>
      <c r="F340" t="s">
        <v>71</v>
      </c>
      <c r="G340" t="s">
        <v>1450</v>
      </c>
      <c r="H340">
        <v>699</v>
      </c>
      <c r="I340">
        <v>2</v>
      </c>
      <c r="J340">
        <v>1398</v>
      </c>
      <c r="L340">
        <v>0</v>
      </c>
      <c r="M340" t="s">
        <v>111</v>
      </c>
      <c r="N340" t="s">
        <v>65</v>
      </c>
      <c r="O340" t="s">
        <v>96</v>
      </c>
      <c r="P340" t="s">
        <v>97</v>
      </c>
      <c r="Q340" t="s">
        <v>31</v>
      </c>
      <c r="R340" s="1">
        <v>45681</v>
      </c>
      <c r="S340" t="s">
        <v>33</v>
      </c>
      <c r="T340" t="s">
        <v>46</v>
      </c>
      <c r="U340" t="s">
        <v>68</v>
      </c>
      <c r="V340" s="1">
        <v>45708</v>
      </c>
      <c r="W340" t="s">
        <v>48</v>
      </c>
      <c r="X340" t="str">
        <f>IF(OR(orders_Q4[[#This Row],[Qty]]&gt;5,orders_Q4[[#This Row],[Qty]]&lt;0),"Invalid Quantity","OK")</f>
        <v>OK</v>
      </c>
      <c r="Y340" t="b">
        <f>OR(orders_Q4[[#This Row],[Unit Price]]&gt;20000,orders_Q4[[#This Row],[Unit Price]]&lt;0,orders_Q4[[#This Row],[Unit Price]]=0)</f>
        <v>0</v>
      </c>
      <c r="Z340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40">
        <f>orders_Q4[[#This Row],[Unit Price]] * orders_Q4[[#This Row],[Qty]] * (1 - orders_Q4[[#This Row],[Disc %]]/100)</f>
        <v>1398</v>
      </c>
      <c r="AB340" t="str">
        <f>IF(ABS(orders_Q4[[#This Row],[Total]] - orders_Q4[[#This Row],[Calculated_order_total]]) &gt; 1, "Mismatch", "OK")</f>
        <v>OK</v>
      </c>
      <c r="AC340">
        <f>COUNTIF(C:C,orders_Q4[[#This Row],[Customer ID]])</f>
        <v>1</v>
      </c>
      <c r="AD340" t="str">
        <f>IF(AND(orders_Q4[[#This Row],[Type]]="New",orders_Q4[[#This Row],[Customer_id_count]]&gt;1),"Existing customer","OK")</f>
        <v>OK</v>
      </c>
      <c r="AE340">
        <f>orders_Q4[[#This Row],[Del Date]]-orders_Q4[[#This Row],[Order Date]]</f>
        <v>26</v>
      </c>
      <c r="AF340" t="str">
        <f>IF(OR(orders_Q4[[#This Row],[Delivery_time]]&gt;30,orders_Q4[[#This Row],[Delivery_time]]&lt;0),"Invalid_delivery_time","OK")</f>
        <v>OK</v>
      </c>
      <c r="AG340" s="20">
        <f>IF(
   AND(NOT(ISBLANK(orders_Q4[[#This Row],[return_received]])), NOT(ISBLANK(orders_Q4[[#This Row],[Del Date]]))),
   orders_Q4[[#This Row],[return_received]] - orders_Q4[[#This Row],[Del Date]],0)</f>
        <v>27</v>
      </c>
      <c r="AH340" t="str">
        <f>TEXT(orders_Q4[[#This Row],[Order Date]],"mmm-yyyy")</f>
        <v>Dec-2024</v>
      </c>
      <c r="AI340" s="1" t="str">
        <f>TEXT(orders_Q4[[#This Row],[Order Date]],"yyyy") &amp; "-" &amp; WEEKNUM(orders_Q4[[#This Row],[Order Date]])</f>
        <v>2024-53</v>
      </c>
      <c r="AJ340" t="str">
        <f>IF(orders_Q4[[#This Row],[Payment]]="COD","COD","Prepaid")</f>
        <v>Prepaid</v>
      </c>
    </row>
    <row r="341" spans="1:36" x14ac:dyDescent="0.3">
      <c r="A341" t="s">
        <v>1451</v>
      </c>
      <c r="B341" s="1">
        <v>45655</v>
      </c>
      <c r="C341" t="s">
        <v>1452</v>
      </c>
      <c r="D341" t="s">
        <v>25</v>
      </c>
      <c r="E341" t="s">
        <v>1453</v>
      </c>
      <c r="F341" t="s">
        <v>27</v>
      </c>
      <c r="G341" t="s">
        <v>1454</v>
      </c>
      <c r="H341">
        <v>1999</v>
      </c>
      <c r="I341">
        <v>1</v>
      </c>
      <c r="J341">
        <v>1999</v>
      </c>
      <c r="K341" s="2">
        <v>46376</v>
      </c>
      <c r="L341">
        <v>20</v>
      </c>
      <c r="M341" t="s">
        <v>64</v>
      </c>
      <c r="N341" t="s">
        <v>30</v>
      </c>
      <c r="O341" t="s">
        <v>102</v>
      </c>
      <c r="P341" t="s">
        <v>103</v>
      </c>
      <c r="Q341" t="s">
        <v>45</v>
      </c>
      <c r="R341" s="1">
        <v>45682</v>
      </c>
      <c r="S341" t="s">
        <v>33</v>
      </c>
      <c r="T341" t="s">
        <v>34</v>
      </c>
      <c r="W341" t="s">
        <v>35</v>
      </c>
      <c r="X341" t="str">
        <f>IF(OR(orders_Q4[[#This Row],[Qty]]&gt;5,orders_Q4[[#This Row],[Qty]]&lt;0),"Invalid Quantity","OK")</f>
        <v>OK</v>
      </c>
      <c r="Y341" t="b">
        <f>OR(orders_Q4[[#This Row],[Unit Price]]&gt;20000,orders_Q4[[#This Row],[Unit Price]]&lt;0,orders_Q4[[#This Row],[Unit Price]]=0)</f>
        <v>0</v>
      </c>
      <c r="Z341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41">
        <f>orders_Q4[[#This Row],[Unit Price]] * orders_Q4[[#This Row],[Qty]] * (1 - orders_Q4[[#This Row],[Disc %]]/100)</f>
        <v>1599.2</v>
      </c>
      <c r="AB341" t="str">
        <f>IF(ABS(orders_Q4[[#This Row],[Total]] - orders_Q4[[#This Row],[Calculated_order_total]]) &gt; 1, "Mismatch", "OK")</f>
        <v>Mismatch</v>
      </c>
      <c r="AC341">
        <f>COUNTIF(C:C,orders_Q4[[#This Row],[Customer ID]])</f>
        <v>2</v>
      </c>
      <c r="AD341" t="str">
        <f>IF(AND(orders_Q4[[#This Row],[Type]]="New",orders_Q4[[#This Row],[Customer_id_count]]&gt;1),"Existing customer","OK")</f>
        <v>Existing customer</v>
      </c>
      <c r="AE341">
        <f>orders_Q4[[#This Row],[Del Date]]-orders_Q4[[#This Row],[Order Date]]</f>
        <v>27</v>
      </c>
      <c r="AF341" t="str">
        <f>IF(OR(orders_Q4[[#This Row],[Delivery_time]]&gt;30,orders_Q4[[#This Row],[Delivery_time]]&lt;0),"Invalid_delivery_time","OK")</f>
        <v>OK</v>
      </c>
      <c r="AG341" s="20">
        <f>IF(
   AND(NOT(ISBLANK(orders_Q4[[#This Row],[return_received]])), NOT(ISBLANK(orders_Q4[[#This Row],[Del Date]]))),
   orders_Q4[[#This Row],[return_received]] - orders_Q4[[#This Row],[Del Date]],0)</f>
        <v>0</v>
      </c>
      <c r="AH341" t="str">
        <f>TEXT(orders_Q4[[#This Row],[Order Date]],"mmm-yyyy")</f>
        <v>Dec-2024</v>
      </c>
      <c r="AI341" s="1" t="str">
        <f>TEXT(orders_Q4[[#This Row],[Order Date]],"yyyy") &amp; "-" &amp; WEEKNUM(orders_Q4[[#This Row],[Order Date]])</f>
        <v>2024-53</v>
      </c>
      <c r="AJ341" t="str">
        <f>IF(orders_Q4[[#This Row],[Payment]]="COD","COD","Prepaid")</f>
        <v>Prepaid</v>
      </c>
    </row>
    <row r="342" spans="1:36" x14ac:dyDescent="0.3">
      <c r="A342" t="s">
        <v>1455</v>
      </c>
      <c r="B342" s="1">
        <v>45655</v>
      </c>
      <c r="C342" t="s">
        <v>1452</v>
      </c>
      <c r="D342" t="s">
        <v>25</v>
      </c>
      <c r="E342" t="s">
        <v>1456</v>
      </c>
      <c r="F342" t="s">
        <v>40</v>
      </c>
      <c r="G342" t="s">
        <v>1457</v>
      </c>
      <c r="H342">
        <v>3899</v>
      </c>
      <c r="I342">
        <v>1</v>
      </c>
      <c r="J342">
        <v>3899</v>
      </c>
      <c r="L342">
        <v>0</v>
      </c>
      <c r="M342" t="s">
        <v>43</v>
      </c>
      <c r="N342" t="s">
        <v>44</v>
      </c>
      <c r="O342" t="s">
        <v>112</v>
      </c>
      <c r="P342" t="s">
        <v>113</v>
      </c>
      <c r="Q342" t="s">
        <v>45</v>
      </c>
      <c r="R342" s="1">
        <v>45683</v>
      </c>
      <c r="S342" t="s">
        <v>33</v>
      </c>
      <c r="T342" t="s">
        <v>46</v>
      </c>
      <c r="U342" t="s">
        <v>47</v>
      </c>
      <c r="V342" s="1">
        <v>45711</v>
      </c>
      <c r="W342" t="s">
        <v>48</v>
      </c>
      <c r="X342" t="str">
        <f>IF(OR(orders_Q4[[#This Row],[Qty]]&gt;5,orders_Q4[[#This Row],[Qty]]&lt;0),"Invalid Quantity","OK")</f>
        <v>OK</v>
      </c>
      <c r="Y342" t="b">
        <f>OR(orders_Q4[[#This Row],[Unit Price]]&gt;20000,orders_Q4[[#This Row],[Unit Price]]&lt;0,orders_Q4[[#This Row],[Unit Price]]=0)</f>
        <v>0</v>
      </c>
      <c r="Z342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42">
        <f>orders_Q4[[#This Row],[Unit Price]] * orders_Q4[[#This Row],[Qty]] * (1 - orders_Q4[[#This Row],[Disc %]]/100)</f>
        <v>3899</v>
      </c>
      <c r="AB342" t="str">
        <f>IF(ABS(orders_Q4[[#This Row],[Total]] - orders_Q4[[#This Row],[Calculated_order_total]]) &gt; 1, "Mismatch", "OK")</f>
        <v>OK</v>
      </c>
      <c r="AC342">
        <f>COUNTIF(C:C,orders_Q4[[#This Row],[Customer ID]])</f>
        <v>2</v>
      </c>
      <c r="AD342" t="str">
        <f>IF(AND(orders_Q4[[#This Row],[Type]]="New",orders_Q4[[#This Row],[Customer_id_count]]&gt;1),"Existing customer","OK")</f>
        <v>Existing customer</v>
      </c>
      <c r="AE342">
        <f>orders_Q4[[#This Row],[Del Date]]-orders_Q4[[#This Row],[Order Date]]</f>
        <v>28</v>
      </c>
      <c r="AF342" t="str">
        <f>IF(OR(orders_Q4[[#This Row],[Delivery_time]]&gt;30,orders_Q4[[#This Row],[Delivery_time]]&lt;0),"Invalid_delivery_time","OK")</f>
        <v>OK</v>
      </c>
      <c r="AG342" s="20">
        <f>IF(
   AND(NOT(ISBLANK(orders_Q4[[#This Row],[return_received]])), NOT(ISBLANK(orders_Q4[[#This Row],[Del Date]]))),
   orders_Q4[[#This Row],[return_received]] - orders_Q4[[#This Row],[Del Date]],0)</f>
        <v>28</v>
      </c>
      <c r="AH342" t="str">
        <f>TEXT(orders_Q4[[#This Row],[Order Date]],"mmm-yyyy")</f>
        <v>Dec-2024</v>
      </c>
      <c r="AI342" s="1" t="str">
        <f>TEXT(orders_Q4[[#This Row],[Order Date]],"yyyy") &amp; "-" &amp; WEEKNUM(orders_Q4[[#This Row],[Order Date]])</f>
        <v>2024-53</v>
      </c>
      <c r="AJ342" t="str">
        <f>IF(orders_Q4[[#This Row],[Payment]]="COD","COD","Prepaid")</f>
        <v>Prepaid</v>
      </c>
    </row>
    <row r="343" spans="1:36" x14ac:dyDescent="0.3">
      <c r="A343" t="s">
        <v>1458</v>
      </c>
      <c r="B343" s="1">
        <v>45656</v>
      </c>
      <c r="C343" t="s">
        <v>1459</v>
      </c>
      <c r="D343" t="s">
        <v>25</v>
      </c>
      <c r="E343" t="s">
        <v>1460</v>
      </c>
      <c r="F343" t="s">
        <v>53</v>
      </c>
      <c r="G343" t="s">
        <v>1461</v>
      </c>
      <c r="H343">
        <v>2099</v>
      </c>
      <c r="I343">
        <v>1</v>
      </c>
      <c r="J343">
        <v>2099</v>
      </c>
      <c r="L343">
        <v>0</v>
      </c>
      <c r="M343" t="s">
        <v>29</v>
      </c>
      <c r="N343" t="s">
        <v>65</v>
      </c>
      <c r="O343" t="s">
        <v>56</v>
      </c>
      <c r="P343" t="s">
        <v>57</v>
      </c>
      <c r="Q343" t="s">
        <v>56</v>
      </c>
      <c r="R343" s="1">
        <v>45683</v>
      </c>
      <c r="S343" t="s">
        <v>33</v>
      </c>
      <c r="T343" t="s">
        <v>34</v>
      </c>
      <c r="W343" t="s">
        <v>35</v>
      </c>
      <c r="X343" t="str">
        <f>IF(OR(orders_Q4[[#This Row],[Qty]]&gt;5,orders_Q4[[#This Row],[Qty]]&lt;0),"Invalid Quantity","OK")</f>
        <v>OK</v>
      </c>
      <c r="Y343" t="b">
        <f>OR(orders_Q4[[#This Row],[Unit Price]]&gt;20000,orders_Q4[[#This Row],[Unit Price]]&lt;0,orders_Q4[[#This Row],[Unit Price]]=0)</f>
        <v>0</v>
      </c>
      <c r="Z343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43">
        <f>orders_Q4[[#This Row],[Unit Price]] * orders_Q4[[#This Row],[Qty]] * (1 - orders_Q4[[#This Row],[Disc %]]/100)</f>
        <v>2099</v>
      </c>
      <c r="AB343" t="str">
        <f>IF(ABS(orders_Q4[[#This Row],[Total]] - orders_Q4[[#This Row],[Calculated_order_total]]) &gt; 1, "Mismatch", "OK")</f>
        <v>OK</v>
      </c>
      <c r="AC343">
        <f>COUNTIF(C:C,orders_Q4[[#This Row],[Customer ID]])</f>
        <v>1</v>
      </c>
      <c r="AD343" t="str">
        <f>IF(AND(orders_Q4[[#This Row],[Type]]="New",orders_Q4[[#This Row],[Customer_id_count]]&gt;1),"Existing customer","OK")</f>
        <v>OK</v>
      </c>
      <c r="AE343">
        <f>orders_Q4[[#This Row],[Del Date]]-orders_Q4[[#This Row],[Order Date]]</f>
        <v>27</v>
      </c>
      <c r="AF343" t="str">
        <f>IF(OR(orders_Q4[[#This Row],[Delivery_time]]&gt;30,orders_Q4[[#This Row],[Delivery_time]]&lt;0),"Invalid_delivery_time","OK")</f>
        <v>OK</v>
      </c>
      <c r="AG343" s="20">
        <f>IF(
   AND(NOT(ISBLANK(orders_Q4[[#This Row],[return_received]])), NOT(ISBLANK(orders_Q4[[#This Row],[Del Date]]))),
   orders_Q4[[#This Row],[return_received]] - orders_Q4[[#This Row],[Del Date]],0)</f>
        <v>0</v>
      </c>
      <c r="AH343" t="str">
        <f>TEXT(orders_Q4[[#This Row],[Order Date]],"mmm-yyyy")</f>
        <v>Dec-2024</v>
      </c>
      <c r="AI343" s="1" t="str">
        <f>TEXT(orders_Q4[[#This Row],[Order Date]],"yyyy") &amp; "-" &amp; WEEKNUM(orders_Q4[[#This Row],[Order Date]])</f>
        <v>2024-53</v>
      </c>
      <c r="AJ343" t="str">
        <f>IF(orders_Q4[[#This Row],[Payment]]="COD","COD","Prepaid")</f>
        <v>Prepaid</v>
      </c>
    </row>
    <row r="344" spans="1:36" x14ac:dyDescent="0.3">
      <c r="A344" t="s">
        <v>1462</v>
      </c>
      <c r="B344" s="1">
        <v>45656</v>
      </c>
      <c r="C344" t="s">
        <v>1463</v>
      </c>
      <c r="D344" t="s">
        <v>25</v>
      </c>
      <c r="E344" t="s">
        <v>1464</v>
      </c>
      <c r="F344" t="s">
        <v>61</v>
      </c>
      <c r="G344" t="s">
        <v>1465</v>
      </c>
      <c r="H344">
        <v>4899</v>
      </c>
      <c r="I344">
        <v>1</v>
      </c>
      <c r="J344">
        <v>4899</v>
      </c>
      <c r="K344" s="2">
        <v>46376</v>
      </c>
      <c r="L344">
        <v>20</v>
      </c>
      <c r="M344" t="s">
        <v>55</v>
      </c>
      <c r="N344" t="s">
        <v>30</v>
      </c>
      <c r="O344" t="s">
        <v>31</v>
      </c>
      <c r="P344" t="s">
        <v>32</v>
      </c>
      <c r="Q344" t="s">
        <v>31</v>
      </c>
      <c r="R344" s="1">
        <v>45684</v>
      </c>
      <c r="S344" t="s">
        <v>33</v>
      </c>
      <c r="T344" t="s">
        <v>46</v>
      </c>
      <c r="U344" t="s">
        <v>104</v>
      </c>
      <c r="V344" s="1">
        <v>45712</v>
      </c>
      <c r="W344" t="s">
        <v>48</v>
      </c>
      <c r="X344" t="str">
        <f>IF(OR(orders_Q4[[#This Row],[Qty]]&gt;5,orders_Q4[[#This Row],[Qty]]&lt;0),"Invalid Quantity","OK")</f>
        <v>OK</v>
      </c>
      <c r="Y344" t="b">
        <f>OR(orders_Q4[[#This Row],[Unit Price]]&gt;20000,orders_Q4[[#This Row],[Unit Price]]&lt;0,orders_Q4[[#This Row],[Unit Price]]=0)</f>
        <v>0</v>
      </c>
      <c r="Z344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44">
        <f>orders_Q4[[#This Row],[Unit Price]] * orders_Q4[[#This Row],[Qty]] * (1 - orders_Q4[[#This Row],[Disc %]]/100)</f>
        <v>3919.2000000000003</v>
      </c>
      <c r="AB344" t="str">
        <f>IF(ABS(orders_Q4[[#This Row],[Total]] - orders_Q4[[#This Row],[Calculated_order_total]]) &gt; 1, "Mismatch", "OK")</f>
        <v>Mismatch</v>
      </c>
      <c r="AC344">
        <f>COUNTIF(C:C,orders_Q4[[#This Row],[Customer ID]])</f>
        <v>1</v>
      </c>
      <c r="AD344" t="str">
        <f>IF(AND(orders_Q4[[#This Row],[Type]]="New",orders_Q4[[#This Row],[Customer_id_count]]&gt;1),"Existing customer","OK")</f>
        <v>OK</v>
      </c>
      <c r="AE344">
        <f>orders_Q4[[#This Row],[Del Date]]-orders_Q4[[#This Row],[Order Date]]</f>
        <v>28</v>
      </c>
      <c r="AF344" t="str">
        <f>IF(OR(orders_Q4[[#This Row],[Delivery_time]]&gt;30,orders_Q4[[#This Row],[Delivery_time]]&lt;0),"Invalid_delivery_time","OK")</f>
        <v>OK</v>
      </c>
      <c r="AG344" s="20">
        <f>IF(
   AND(NOT(ISBLANK(orders_Q4[[#This Row],[return_received]])), NOT(ISBLANK(orders_Q4[[#This Row],[Del Date]]))),
   orders_Q4[[#This Row],[return_received]] - orders_Q4[[#This Row],[Del Date]],0)</f>
        <v>28</v>
      </c>
      <c r="AH344" t="str">
        <f>TEXT(orders_Q4[[#This Row],[Order Date]],"mmm-yyyy")</f>
        <v>Dec-2024</v>
      </c>
      <c r="AI344" s="1" t="str">
        <f>TEXT(orders_Q4[[#This Row],[Order Date]],"yyyy") &amp; "-" &amp; WEEKNUM(orders_Q4[[#This Row],[Order Date]])</f>
        <v>2024-53</v>
      </c>
      <c r="AJ344" t="str">
        <f>IF(orders_Q4[[#This Row],[Payment]]="COD","COD","Prepaid")</f>
        <v>COD</v>
      </c>
    </row>
    <row r="345" spans="1:36" x14ac:dyDescent="0.3">
      <c r="A345" t="s">
        <v>1466</v>
      </c>
      <c r="B345" s="1">
        <v>45656</v>
      </c>
      <c r="C345" t="s">
        <v>1467</v>
      </c>
      <c r="D345" t="s">
        <v>38</v>
      </c>
      <c r="E345" t="s">
        <v>1468</v>
      </c>
      <c r="F345" t="s">
        <v>71</v>
      </c>
      <c r="G345" t="s">
        <v>1469</v>
      </c>
      <c r="H345">
        <v>599</v>
      </c>
      <c r="I345">
        <v>3</v>
      </c>
      <c r="J345">
        <v>1797</v>
      </c>
      <c r="L345">
        <v>0</v>
      </c>
      <c r="M345" t="s">
        <v>111</v>
      </c>
      <c r="N345" t="s">
        <v>44</v>
      </c>
      <c r="O345" t="s">
        <v>45</v>
      </c>
      <c r="P345" t="s">
        <v>45</v>
      </c>
      <c r="Q345" t="s">
        <v>45</v>
      </c>
      <c r="R345" s="1">
        <v>45683</v>
      </c>
      <c r="S345" t="s">
        <v>33</v>
      </c>
      <c r="T345" t="s">
        <v>34</v>
      </c>
      <c r="W345" t="s">
        <v>35</v>
      </c>
      <c r="X345" t="str">
        <f>IF(OR(orders_Q4[[#This Row],[Qty]]&gt;5,orders_Q4[[#This Row],[Qty]]&lt;0),"Invalid Quantity","OK")</f>
        <v>OK</v>
      </c>
      <c r="Y345" t="b">
        <f>OR(orders_Q4[[#This Row],[Unit Price]]&gt;20000,orders_Q4[[#This Row],[Unit Price]]&lt;0,orders_Q4[[#This Row],[Unit Price]]=0)</f>
        <v>0</v>
      </c>
      <c r="Z345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45">
        <f>orders_Q4[[#This Row],[Unit Price]] * orders_Q4[[#This Row],[Qty]] * (1 - orders_Q4[[#This Row],[Disc %]]/100)</f>
        <v>1797</v>
      </c>
      <c r="AB345" t="str">
        <f>IF(ABS(orders_Q4[[#This Row],[Total]] - orders_Q4[[#This Row],[Calculated_order_total]]) &gt; 1, "Mismatch", "OK")</f>
        <v>OK</v>
      </c>
      <c r="AC345">
        <f>COUNTIF(C:C,orders_Q4[[#This Row],[Customer ID]])</f>
        <v>1</v>
      </c>
      <c r="AD345" t="str">
        <f>IF(AND(orders_Q4[[#This Row],[Type]]="New",orders_Q4[[#This Row],[Customer_id_count]]&gt;1),"Existing customer","OK")</f>
        <v>OK</v>
      </c>
      <c r="AE345">
        <f>orders_Q4[[#This Row],[Del Date]]-orders_Q4[[#This Row],[Order Date]]</f>
        <v>27</v>
      </c>
      <c r="AF345" t="str">
        <f>IF(OR(orders_Q4[[#This Row],[Delivery_time]]&gt;30,orders_Q4[[#This Row],[Delivery_time]]&lt;0),"Invalid_delivery_time","OK")</f>
        <v>OK</v>
      </c>
      <c r="AG345" s="20">
        <f>IF(
   AND(NOT(ISBLANK(orders_Q4[[#This Row],[return_received]])), NOT(ISBLANK(orders_Q4[[#This Row],[Del Date]]))),
   orders_Q4[[#This Row],[return_received]] - orders_Q4[[#This Row],[Del Date]],0)</f>
        <v>0</v>
      </c>
      <c r="AH345" t="str">
        <f>TEXT(orders_Q4[[#This Row],[Order Date]],"mmm-yyyy")</f>
        <v>Dec-2024</v>
      </c>
      <c r="AI345" s="1" t="str">
        <f>TEXT(orders_Q4[[#This Row],[Order Date]],"yyyy") &amp; "-" &amp; WEEKNUM(orders_Q4[[#This Row],[Order Date]])</f>
        <v>2024-53</v>
      </c>
      <c r="AJ345" t="str">
        <f>IF(orders_Q4[[#This Row],[Payment]]="COD","COD","Prepaid")</f>
        <v>Prepaid</v>
      </c>
    </row>
    <row r="346" spans="1:36" x14ac:dyDescent="0.3">
      <c r="A346" t="s">
        <v>1470</v>
      </c>
      <c r="B346" s="1">
        <v>45656</v>
      </c>
      <c r="C346" t="s">
        <v>1471</v>
      </c>
      <c r="D346" t="s">
        <v>25</v>
      </c>
      <c r="E346" t="s">
        <v>1472</v>
      </c>
      <c r="F346" t="s">
        <v>27</v>
      </c>
      <c r="G346" t="s">
        <v>1473</v>
      </c>
      <c r="H346">
        <v>2199</v>
      </c>
      <c r="I346">
        <v>1</v>
      </c>
      <c r="J346">
        <v>2199</v>
      </c>
      <c r="L346">
        <v>0</v>
      </c>
      <c r="M346" t="s">
        <v>64</v>
      </c>
      <c r="N346" t="s">
        <v>65</v>
      </c>
      <c r="O346" t="s">
        <v>118</v>
      </c>
      <c r="P346" t="s">
        <v>119</v>
      </c>
      <c r="Q346" t="s">
        <v>45</v>
      </c>
      <c r="R346" s="1">
        <v>45684</v>
      </c>
      <c r="S346" t="s">
        <v>33</v>
      </c>
      <c r="T346" t="s">
        <v>46</v>
      </c>
      <c r="U346" t="s">
        <v>138</v>
      </c>
      <c r="V346" s="1">
        <v>45711</v>
      </c>
      <c r="W346" t="s">
        <v>48</v>
      </c>
      <c r="X346" t="str">
        <f>IF(OR(orders_Q4[[#This Row],[Qty]]&gt;5,orders_Q4[[#This Row],[Qty]]&lt;0),"Invalid Quantity","OK")</f>
        <v>OK</v>
      </c>
      <c r="Y346" t="b">
        <f>OR(orders_Q4[[#This Row],[Unit Price]]&gt;20000,orders_Q4[[#This Row],[Unit Price]]&lt;0,orders_Q4[[#This Row],[Unit Price]]=0)</f>
        <v>0</v>
      </c>
      <c r="Z346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No_Discount</v>
      </c>
      <c r="AA346">
        <f>orders_Q4[[#This Row],[Unit Price]] * orders_Q4[[#This Row],[Qty]] * (1 - orders_Q4[[#This Row],[Disc %]]/100)</f>
        <v>2199</v>
      </c>
      <c r="AB346" t="str">
        <f>IF(ABS(orders_Q4[[#This Row],[Total]] - orders_Q4[[#This Row],[Calculated_order_total]]) &gt; 1, "Mismatch", "OK")</f>
        <v>OK</v>
      </c>
      <c r="AC346">
        <f>COUNTIF(C:C,orders_Q4[[#This Row],[Customer ID]])</f>
        <v>1</v>
      </c>
      <c r="AD346" t="str">
        <f>IF(AND(orders_Q4[[#This Row],[Type]]="New",orders_Q4[[#This Row],[Customer_id_count]]&gt;1),"Existing customer","OK")</f>
        <v>OK</v>
      </c>
      <c r="AE346">
        <f>orders_Q4[[#This Row],[Del Date]]-orders_Q4[[#This Row],[Order Date]]</f>
        <v>28</v>
      </c>
      <c r="AF346" t="str">
        <f>IF(OR(orders_Q4[[#This Row],[Delivery_time]]&gt;30,orders_Q4[[#This Row],[Delivery_time]]&lt;0),"Invalid_delivery_time","OK")</f>
        <v>OK</v>
      </c>
      <c r="AG346" s="20">
        <f>IF(
   AND(NOT(ISBLANK(orders_Q4[[#This Row],[return_received]])), NOT(ISBLANK(orders_Q4[[#This Row],[Del Date]]))),
   orders_Q4[[#This Row],[return_received]] - orders_Q4[[#This Row],[Del Date]],0)</f>
        <v>27</v>
      </c>
      <c r="AH346" t="str">
        <f>TEXT(orders_Q4[[#This Row],[Order Date]],"mmm-yyyy")</f>
        <v>Dec-2024</v>
      </c>
      <c r="AI346" s="1" t="str">
        <f>TEXT(orders_Q4[[#This Row],[Order Date]],"yyyy") &amp; "-" &amp; WEEKNUM(orders_Q4[[#This Row],[Order Date]])</f>
        <v>2024-53</v>
      </c>
      <c r="AJ346" t="str">
        <f>IF(orders_Q4[[#This Row],[Payment]]="COD","COD","Prepaid")</f>
        <v>Prepaid</v>
      </c>
    </row>
    <row r="347" spans="1:36" x14ac:dyDescent="0.3">
      <c r="A347" t="s">
        <v>1474</v>
      </c>
      <c r="B347" s="1">
        <v>45657</v>
      </c>
      <c r="C347" t="s">
        <v>1475</v>
      </c>
      <c r="D347" t="s">
        <v>25</v>
      </c>
      <c r="E347" t="s">
        <v>1476</v>
      </c>
      <c r="F347" t="s">
        <v>40</v>
      </c>
      <c r="G347" t="s">
        <v>1159</v>
      </c>
      <c r="H347">
        <v>4499</v>
      </c>
      <c r="I347">
        <v>1</v>
      </c>
      <c r="J347">
        <v>4499</v>
      </c>
      <c r="K347" s="2">
        <v>46376</v>
      </c>
      <c r="L347">
        <v>20</v>
      </c>
      <c r="M347" t="s">
        <v>43</v>
      </c>
      <c r="N347" t="s">
        <v>30</v>
      </c>
      <c r="O347" t="s">
        <v>137</v>
      </c>
      <c r="P347" t="s">
        <v>113</v>
      </c>
      <c r="Q347" t="s">
        <v>45</v>
      </c>
      <c r="R347" s="1">
        <v>45685</v>
      </c>
      <c r="S347" t="s">
        <v>33</v>
      </c>
      <c r="T347" t="s">
        <v>46</v>
      </c>
      <c r="U347" t="s">
        <v>47</v>
      </c>
      <c r="V347" s="1">
        <v>45713</v>
      </c>
      <c r="W347" t="s">
        <v>48</v>
      </c>
      <c r="X347" t="str">
        <f>IF(OR(orders_Q4[[#This Row],[Qty]]&gt;5,orders_Q4[[#This Row],[Qty]]&lt;0),"Invalid Quantity","OK")</f>
        <v>OK</v>
      </c>
      <c r="Y347" t="b">
        <f>OR(orders_Q4[[#This Row],[Unit Price]]&gt;20000,orders_Q4[[#This Row],[Unit Price]]&lt;0,orders_Q4[[#This Row],[Unit Price]]=0)</f>
        <v>0</v>
      </c>
      <c r="Z347" t="str">
        <f>IF(
 orders_Q4[[#This Row],[Disc %]]&gt;0,
  IF(
    ABS(orders_Q4[[#This Row],[Total]] - (orders_Q4[[#This Row],[Unit Price]]*orders_Q4[[#This Row],[Qty]]*(1-orders_Q4[[#This Row],[Disc %]]/100)))&gt;1,
    "Discount_Not_Applied",
    "OK"
  ),
  "No_Discount")</f>
        <v>Discount_Not_Applied</v>
      </c>
      <c r="AA347">
        <f>orders_Q4[[#This Row],[Unit Price]] * orders_Q4[[#This Row],[Qty]] * (1 - orders_Q4[[#This Row],[Disc %]]/100)</f>
        <v>3599.2000000000003</v>
      </c>
      <c r="AB347" t="str">
        <f>IF(ABS(orders_Q4[[#This Row],[Total]] - orders_Q4[[#This Row],[Calculated_order_total]]) &gt; 1, "Mismatch", "OK")</f>
        <v>Mismatch</v>
      </c>
      <c r="AC347">
        <f>COUNTIF(C:C,orders_Q4[[#This Row],[Customer ID]])</f>
        <v>1</v>
      </c>
      <c r="AD347" t="str">
        <f>IF(AND(orders_Q4[[#This Row],[Type]]="New",orders_Q4[[#This Row],[Customer_id_count]]&gt;1),"Existing customer","OK")</f>
        <v>OK</v>
      </c>
      <c r="AE347">
        <f>orders_Q4[[#This Row],[Del Date]]-orders_Q4[[#This Row],[Order Date]]</f>
        <v>28</v>
      </c>
      <c r="AF347" t="str">
        <f>IF(OR(orders_Q4[[#This Row],[Delivery_time]]&gt;30,orders_Q4[[#This Row],[Delivery_time]]&lt;0),"Invalid_delivery_time","OK")</f>
        <v>OK</v>
      </c>
      <c r="AG347" s="20">
        <f>IF(
   AND(NOT(ISBLANK(orders_Q4[[#This Row],[return_received]])), NOT(ISBLANK(orders_Q4[[#This Row],[Del Date]]))),
   orders_Q4[[#This Row],[return_received]] - orders_Q4[[#This Row],[Del Date]],0)</f>
        <v>28</v>
      </c>
      <c r="AH347" t="str">
        <f>TEXT(orders_Q4[[#This Row],[Order Date]],"mmm-yyyy")</f>
        <v>Dec-2024</v>
      </c>
      <c r="AI347" s="1" t="str">
        <f>TEXT(orders_Q4[[#This Row],[Order Date]],"yyyy") &amp; "-" &amp; WEEKNUM(orders_Q4[[#This Row],[Order Date]])</f>
        <v>2024-53</v>
      </c>
      <c r="AJ347" t="str">
        <f>IF(orders_Q4[[#This Row],[Payment]]="COD","COD","Prepaid")</f>
        <v>Prepaid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65D2-4EC1-4CA7-8DDE-168CA9C0547D}">
  <dimension ref="A1:F17"/>
  <sheetViews>
    <sheetView topLeftCell="A6" zoomScale="68" workbookViewId="0">
      <selection activeCell="K14" sqref="K14"/>
    </sheetView>
  </sheetViews>
  <sheetFormatPr defaultRowHeight="14.4" x14ac:dyDescent="0.3"/>
  <cols>
    <col min="2" max="2" width="32" customWidth="1"/>
    <col min="3" max="3" width="23.33203125" bestFit="1" customWidth="1"/>
    <col min="4" max="4" width="60.109375" customWidth="1"/>
    <col min="5" max="5" width="26.109375" customWidth="1"/>
    <col min="6" max="6" width="33" customWidth="1"/>
    <col min="7" max="7" width="27.21875" customWidth="1"/>
  </cols>
  <sheetData>
    <row r="1" spans="1:6" s="3" customFormat="1" x14ac:dyDescent="0.3">
      <c r="A1" s="3" t="s">
        <v>34</v>
      </c>
      <c r="B1" s="3" t="s">
        <v>1477</v>
      </c>
      <c r="C1" s="3" t="s">
        <v>1492</v>
      </c>
      <c r="D1" s="3" t="s">
        <v>1493</v>
      </c>
      <c r="E1" s="3" t="s">
        <v>1494</v>
      </c>
      <c r="F1" s="3" t="s">
        <v>20</v>
      </c>
    </row>
    <row r="2" spans="1:6" s="3" customFormat="1" ht="28.8" x14ac:dyDescent="0.3">
      <c r="A2" s="5">
        <v>1</v>
      </c>
      <c r="B2" s="5" t="s">
        <v>17834</v>
      </c>
      <c r="C2" s="5" t="s">
        <v>17835</v>
      </c>
      <c r="D2" s="5" t="s">
        <v>17895</v>
      </c>
      <c r="E2" s="5" t="s">
        <v>17836</v>
      </c>
      <c r="F2" s="5" t="s">
        <v>17837</v>
      </c>
    </row>
    <row r="3" spans="1:6" s="3" customFormat="1" ht="43.2" x14ac:dyDescent="0.3">
      <c r="A3" s="5">
        <v>2</v>
      </c>
      <c r="B3" s="5" t="s">
        <v>17838</v>
      </c>
      <c r="C3" s="5" t="s">
        <v>17843</v>
      </c>
      <c r="D3" s="5" t="s">
        <v>17839</v>
      </c>
      <c r="E3" s="5" t="s">
        <v>17840</v>
      </c>
      <c r="F3" s="5" t="s">
        <v>17841</v>
      </c>
    </row>
    <row r="4" spans="1:6" s="3" customFormat="1" ht="43.2" x14ac:dyDescent="0.3">
      <c r="A4" s="5"/>
      <c r="B4" s="5"/>
      <c r="C4" s="5" t="s">
        <v>17842</v>
      </c>
      <c r="D4" s="5" t="s">
        <v>17846</v>
      </c>
      <c r="E4" s="5" t="s">
        <v>17840</v>
      </c>
      <c r="F4" s="5" t="s">
        <v>17845</v>
      </c>
    </row>
    <row r="5" spans="1:6" s="3" customFormat="1" ht="43.2" x14ac:dyDescent="0.3">
      <c r="A5" s="5"/>
      <c r="B5" s="5"/>
      <c r="C5" s="5" t="s">
        <v>17853</v>
      </c>
      <c r="D5" s="5" t="s">
        <v>17854</v>
      </c>
      <c r="E5" s="5" t="s">
        <v>17850</v>
      </c>
      <c r="F5" s="4" t="s">
        <v>17855</v>
      </c>
    </row>
    <row r="6" spans="1:6" s="3" customFormat="1" ht="28.8" x14ac:dyDescent="0.3">
      <c r="A6" s="5"/>
      <c r="B6" s="5"/>
      <c r="C6" s="5" t="s">
        <v>17847</v>
      </c>
      <c r="D6" s="5" t="s">
        <v>17851</v>
      </c>
      <c r="E6" s="5" t="s">
        <v>17850</v>
      </c>
      <c r="F6" s="5" t="s">
        <v>17852</v>
      </c>
    </row>
    <row r="7" spans="1:6" s="3" customFormat="1" x14ac:dyDescent="0.3">
      <c r="A7" s="5">
        <v>2</v>
      </c>
      <c r="B7" s="5" t="s">
        <v>17856</v>
      </c>
      <c r="C7" s="5" t="s">
        <v>17857</v>
      </c>
      <c r="D7" t="s">
        <v>17858</v>
      </c>
      <c r="E7" s="5" t="s">
        <v>17850</v>
      </c>
      <c r="F7" s="5" t="s">
        <v>17859</v>
      </c>
    </row>
    <row r="8" spans="1:6" ht="57.6" x14ac:dyDescent="0.3">
      <c r="A8">
        <v>3</v>
      </c>
      <c r="B8" t="s">
        <v>1495</v>
      </c>
      <c r="C8" t="s">
        <v>1496</v>
      </c>
      <c r="D8" s="4" t="s">
        <v>1498</v>
      </c>
      <c r="E8" s="4" t="s">
        <v>1499</v>
      </c>
      <c r="F8" s="4" t="s">
        <v>1497</v>
      </c>
    </row>
    <row r="9" spans="1:6" ht="43.2" x14ac:dyDescent="0.3">
      <c r="C9" s="4" t="s">
        <v>17860</v>
      </c>
      <c r="D9" s="4" t="s">
        <v>1500</v>
      </c>
      <c r="E9" s="4" t="s">
        <v>1501</v>
      </c>
      <c r="F9" s="4" t="s">
        <v>17844</v>
      </c>
    </row>
    <row r="10" spans="1:6" ht="57.6" x14ac:dyDescent="0.3">
      <c r="A10">
        <v>4</v>
      </c>
      <c r="B10" t="s">
        <v>17862</v>
      </c>
      <c r="C10" s="4" t="s">
        <v>17863</v>
      </c>
      <c r="D10" t="s">
        <v>17870</v>
      </c>
      <c r="E10" s="5" t="s">
        <v>17898</v>
      </c>
      <c r="F10" s="4" t="s">
        <v>17864</v>
      </c>
    </row>
    <row r="11" spans="1:6" ht="57.6" x14ac:dyDescent="0.3">
      <c r="C11" t="s">
        <v>17866</v>
      </c>
      <c r="D11" t="s">
        <v>17867</v>
      </c>
      <c r="E11" s="5" t="s">
        <v>17850</v>
      </c>
      <c r="F11" s="4" t="s">
        <v>17868</v>
      </c>
    </row>
    <row r="12" spans="1:6" ht="28.8" x14ac:dyDescent="0.3">
      <c r="C12" t="s">
        <v>17869</v>
      </c>
      <c r="D12" s="4" t="s">
        <v>17871</v>
      </c>
      <c r="E12" s="5" t="s">
        <v>17850</v>
      </c>
      <c r="F12" s="4" t="s">
        <v>17872</v>
      </c>
    </row>
    <row r="13" spans="1:6" ht="57.6" x14ac:dyDescent="0.3">
      <c r="A13">
        <v>5</v>
      </c>
      <c r="B13" t="s">
        <v>17880</v>
      </c>
      <c r="C13" s="4" t="s">
        <v>17874</v>
      </c>
      <c r="D13" t="s">
        <v>17875</v>
      </c>
      <c r="E13" s="5" t="s">
        <v>17876</v>
      </c>
      <c r="F13" s="4" t="s">
        <v>17877</v>
      </c>
    </row>
    <row r="14" spans="1:6" ht="28.8" x14ac:dyDescent="0.3">
      <c r="A14">
        <v>6</v>
      </c>
      <c r="B14" t="s">
        <v>17881</v>
      </c>
      <c r="C14" t="s">
        <v>17882</v>
      </c>
      <c r="D14" t="s">
        <v>17883</v>
      </c>
      <c r="E14" s="5" t="s">
        <v>17850</v>
      </c>
      <c r="F14" s="4" t="s">
        <v>17884</v>
      </c>
    </row>
    <row r="15" spans="1:6" ht="28.8" x14ac:dyDescent="0.3">
      <c r="A15">
        <v>7</v>
      </c>
      <c r="B15" s="4" t="s">
        <v>17886</v>
      </c>
      <c r="C15" s="4" t="s">
        <v>17887</v>
      </c>
      <c r="D15" t="s">
        <v>17888</v>
      </c>
      <c r="E15" s="5" t="s">
        <v>17850</v>
      </c>
      <c r="F15" s="4" t="s">
        <v>17885</v>
      </c>
    </row>
    <row r="16" spans="1:6" ht="28.8" x14ac:dyDescent="0.3">
      <c r="A16">
        <v>8</v>
      </c>
      <c r="B16" t="s">
        <v>17889</v>
      </c>
      <c r="C16" t="s">
        <v>17890</v>
      </c>
      <c r="D16" s="4" t="s">
        <v>17891</v>
      </c>
      <c r="E16" s="5" t="s">
        <v>17850</v>
      </c>
      <c r="F16" s="4" t="s">
        <v>17892</v>
      </c>
    </row>
    <row r="17" spans="1:6" ht="28.8" x14ac:dyDescent="0.3">
      <c r="A17">
        <v>9</v>
      </c>
      <c r="B17" s="4" t="s">
        <v>17897</v>
      </c>
      <c r="C17" s="4" t="s">
        <v>17896</v>
      </c>
      <c r="D17" s="4" t="s">
        <v>17893</v>
      </c>
      <c r="E17" s="5" t="s">
        <v>17850</v>
      </c>
      <c r="F17" s="4" t="s">
        <v>17894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444A-0AD3-4B26-9028-11F6D324AACF}">
  <dimension ref="A1:G15"/>
  <sheetViews>
    <sheetView topLeftCell="A7" zoomScale="83" workbookViewId="0">
      <selection activeCell="G15" sqref="G15"/>
    </sheetView>
  </sheetViews>
  <sheetFormatPr defaultRowHeight="14.4" x14ac:dyDescent="0.3"/>
  <cols>
    <col min="1" max="1" width="10.44140625" customWidth="1"/>
    <col min="2" max="2" width="26.109375" bestFit="1" customWidth="1"/>
    <col min="3" max="3" width="28.5546875" bestFit="1" customWidth="1"/>
    <col min="4" max="4" width="61.77734375" customWidth="1"/>
    <col min="5" max="6" width="24" customWidth="1"/>
    <col min="7" max="7" width="40.44140625" customWidth="1"/>
  </cols>
  <sheetData>
    <row r="1" spans="1:7" x14ac:dyDescent="0.3">
      <c r="A1" s="9" t="s">
        <v>17899</v>
      </c>
      <c r="B1" s="9" t="s">
        <v>17900</v>
      </c>
      <c r="C1" s="9" t="s">
        <v>17901</v>
      </c>
      <c r="D1" s="9" t="s">
        <v>17955</v>
      </c>
      <c r="E1" s="9" t="s">
        <v>17902</v>
      </c>
      <c r="F1" s="9" t="s">
        <v>17903</v>
      </c>
      <c r="G1" s="9" t="s">
        <v>17904</v>
      </c>
    </row>
    <row r="2" spans="1:7" ht="28.8" x14ac:dyDescent="0.3">
      <c r="A2" s="5" t="s">
        <v>17905</v>
      </c>
      <c r="B2" s="5" t="s">
        <v>17906</v>
      </c>
      <c r="C2" s="5" t="s">
        <v>17907</v>
      </c>
      <c r="D2" s="5" t="s">
        <v>17930</v>
      </c>
      <c r="E2" s="5" t="s">
        <v>17908</v>
      </c>
      <c r="F2" s="5" t="s">
        <v>17909</v>
      </c>
      <c r="G2" s="5" t="s">
        <v>17910</v>
      </c>
    </row>
    <row r="3" spans="1:7" x14ac:dyDescent="0.3">
      <c r="A3" t="s">
        <v>17911</v>
      </c>
      <c r="B3" t="s">
        <v>17912</v>
      </c>
      <c r="C3" t="s">
        <v>17913</v>
      </c>
      <c r="D3" t="s">
        <v>17927</v>
      </c>
      <c r="E3" t="s">
        <v>17914</v>
      </c>
      <c r="F3" s="5" t="s">
        <v>17909</v>
      </c>
      <c r="G3" s="5" t="s">
        <v>17910</v>
      </c>
    </row>
    <row r="4" spans="1:7" ht="28.8" x14ac:dyDescent="0.3">
      <c r="A4" t="s">
        <v>17915</v>
      </c>
      <c r="B4" t="s">
        <v>17928</v>
      </c>
      <c r="C4" t="s">
        <v>17929</v>
      </c>
      <c r="D4" s="4" t="s">
        <v>17931</v>
      </c>
      <c r="E4" t="s">
        <v>17932</v>
      </c>
      <c r="F4" s="5" t="s">
        <v>17933</v>
      </c>
      <c r="G4" s="13" t="s">
        <v>17962</v>
      </c>
    </row>
    <row r="5" spans="1:7" x14ac:dyDescent="0.3">
      <c r="A5" t="s">
        <v>17916</v>
      </c>
      <c r="B5" t="s">
        <v>17934</v>
      </c>
      <c r="C5" t="s">
        <v>17935</v>
      </c>
      <c r="D5" t="s">
        <v>17936</v>
      </c>
      <c r="E5" t="s">
        <v>17914</v>
      </c>
      <c r="F5" s="5" t="s">
        <v>17909</v>
      </c>
      <c r="G5" s="5" t="s">
        <v>17910</v>
      </c>
    </row>
    <row r="6" spans="1:7" x14ac:dyDescent="0.3">
      <c r="A6" t="s">
        <v>17917</v>
      </c>
      <c r="B6" t="s">
        <v>17937</v>
      </c>
      <c r="C6" t="s">
        <v>17938</v>
      </c>
      <c r="D6" s="4" t="s">
        <v>17939</v>
      </c>
      <c r="E6" t="s">
        <v>17914</v>
      </c>
      <c r="F6" s="5" t="s">
        <v>17909</v>
      </c>
      <c r="G6" s="5" t="s">
        <v>17910</v>
      </c>
    </row>
    <row r="7" spans="1:7" x14ac:dyDescent="0.3">
      <c r="A7" t="s">
        <v>17918</v>
      </c>
      <c r="B7" t="s">
        <v>17940</v>
      </c>
      <c r="C7" t="s">
        <v>17941</v>
      </c>
      <c r="D7" s="4" t="s">
        <v>17939</v>
      </c>
      <c r="E7" t="s">
        <v>17914</v>
      </c>
      <c r="F7" s="5" t="s">
        <v>17909</v>
      </c>
      <c r="G7" s="5" t="s">
        <v>17910</v>
      </c>
    </row>
    <row r="8" spans="1:7" ht="28.8" x14ac:dyDescent="0.3">
      <c r="A8" t="s">
        <v>17919</v>
      </c>
      <c r="B8" t="s">
        <v>17942</v>
      </c>
      <c r="C8" t="s">
        <v>17943</v>
      </c>
      <c r="D8" s="4" t="s">
        <v>17944</v>
      </c>
      <c r="E8" t="s">
        <v>17914</v>
      </c>
      <c r="F8" s="5" t="s">
        <v>17909</v>
      </c>
      <c r="G8" s="5" t="s">
        <v>17910</v>
      </c>
    </row>
    <row r="9" spans="1:7" ht="28.8" x14ac:dyDescent="0.3">
      <c r="A9" t="s">
        <v>17920</v>
      </c>
      <c r="B9" t="s">
        <v>17951</v>
      </c>
      <c r="C9" t="s">
        <v>17945</v>
      </c>
      <c r="D9" s="4" t="s">
        <v>17946</v>
      </c>
      <c r="E9" t="s">
        <v>17914</v>
      </c>
      <c r="F9" s="5" t="s">
        <v>17909</v>
      </c>
      <c r="G9" s="5" t="s">
        <v>17910</v>
      </c>
    </row>
    <row r="10" spans="1:7" x14ac:dyDescent="0.3">
      <c r="A10" t="s">
        <v>17921</v>
      </c>
      <c r="B10" t="s">
        <v>17947</v>
      </c>
      <c r="C10" t="s">
        <v>17948</v>
      </c>
      <c r="D10" s="4" t="s">
        <v>17939</v>
      </c>
      <c r="E10" t="s">
        <v>17914</v>
      </c>
      <c r="F10" s="5" t="s">
        <v>17909</v>
      </c>
      <c r="G10" s="5" t="s">
        <v>17910</v>
      </c>
    </row>
    <row r="11" spans="1:7" ht="43.2" x14ac:dyDescent="0.3">
      <c r="A11" t="s">
        <v>17922</v>
      </c>
      <c r="B11" t="s">
        <v>17952</v>
      </c>
      <c r="C11" t="s">
        <v>17950</v>
      </c>
      <c r="D11" s="4" t="s">
        <v>17949</v>
      </c>
      <c r="E11" t="s">
        <v>17914</v>
      </c>
      <c r="F11" s="5" t="s">
        <v>17909</v>
      </c>
      <c r="G11" s="5" t="s">
        <v>17910</v>
      </c>
    </row>
    <row r="12" spans="1:7" ht="28.8" x14ac:dyDescent="0.3">
      <c r="A12" t="s">
        <v>17923</v>
      </c>
      <c r="B12" t="s">
        <v>17953</v>
      </c>
      <c r="C12" t="s">
        <v>17950</v>
      </c>
      <c r="D12" s="4" t="s">
        <v>17954</v>
      </c>
      <c r="E12" t="s">
        <v>17914</v>
      </c>
      <c r="F12" s="5" t="s">
        <v>17909</v>
      </c>
      <c r="G12" s="5" t="s">
        <v>17910</v>
      </c>
    </row>
    <row r="13" spans="1:7" ht="28.8" x14ac:dyDescent="0.3">
      <c r="A13" t="s">
        <v>17924</v>
      </c>
      <c r="B13" t="s">
        <v>17958</v>
      </c>
      <c r="C13" s="4" t="s">
        <v>17963</v>
      </c>
      <c r="D13" t="s">
        <v>17959</v>
      </c>
      <c r="E13" t="s">
        <v>17932</v>
      </c>
      <c r="F13" s="5" t="s">
        <v>17960</v>
      </c>
      <c r="G13" s="12" t="s">
        <v>17961</v>
      </c>
    </row>
    <row r="14" spans="1:7" ht="43.2" x14ac:dyDescent="0.3">
      <c r="A14" t="s">
        <v>17925</v>
      </c>
      <c r="B14" t="s">
        <v>17965</v>
      </c>
      <c r="C14" s="4" t="s">
        <v>17966</v>
      </c>
      <c r="D14" s="4" t="s">
        <v>17967</v>
      </c>
      <c r="E14" t="s">
        <v>17914</v>
      </c>
      <c r="F14" s="5" t="s">
        <v>17909</v>
      </c>
      <c r="G14" s="5" t="s">
        <v>17968</v>
      </c>
    </row>
    <row r="15" spans="1:7" ht="86.4" x14ac:dyDescent="0.3">
      <c r="A15" t="s">
        <v>17926</v>
      </c>
      <c r="B15" t="s">
        <v>17969</v>
      </c>
      <c r="C15" s="4" t="s">
        <v>17970</v>
      </c>
      <c r="D15" s="4" t="s">
        <v>17971</v>
      </c>
      <c r="E15" t="s">
        <v>17914</v>
      </c>
      <c r="F15" s="5" t="s">
        <v>17909</v>
      </c>
      <c r="G15" s="5" t="s">
        <v>17910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AC4D-CFD2-48DF-A693-FEFF9C1DBA44}">
  <dimension ref="A1:AK42"/>
  <sheetViews>
    <sheetView zoomScale="59" workbookViewId="0">
      <selection activeCell="B1" sqref="B1:C1"/>
    </sheetView>
  </sheetViews>
  <sheetFormatPr defaultRowHeight="14.4" x14ac:dyDescent="0.3"/>
  <cols>
    <col min="1" max="1" width="32.33203125" customWidth="1"/>
    <col min="2" max="2" width="24" customWidth="1"/>
    <col min="3" max="3" width="20.77734375" customWidth="1"/>
    <col min="4" max="4" width="34.21875" customWidth="1"/>
    <col min="5" max="5" width="11.109375" bestFit="1" customWidth="1"/>
    <col min="6" max="6" width="30.5546875" customWidth="1"/>
    <col min="7" max="7" width="10" bestFit="1" customWidth="1"/>
    <col min="8" max="8" width="12.5546875" bestFit="1" customWidth="1"/>
    <col min="9" max="9" width="20.5546875" customWidth="1"/>
    <col min="10" max="10" width="33" customWidth="1"/>
    <col min="11" max="184" width="10" bestFit="1" customWidth="1"/>
    <col min="185" max="185" width="10.77734375" bestFit="1" customWidth="1"/>
    <col min="186" max="346" width="15.5546875" bestFit="1" customWidth="1"/>
    <col min="347" max="347" width="10.77734375" bestFit="1" customWidth="1"/>
  </cols>
  <sheetData>
    <row r="1" spans="1:37" x14ac:dyDescent="0.3">
      <c r="D1" s="23" t="s">
        <v>18007</v>
      </c>
      <c r="E1" t="s">
        <v>33</v>
      </c>
    </row>
    <row r="2" spans="1:37" x14ac:dyDescent="0.3">
      <c r="D2" s="23" t="s">
        <v>18006</v>
      </c>
      <c r="E2" t="s">
        <v>46</v>
      </c>
    </row>
    <row r="3" spans="1:37" x14ac:dyDescent="0.3">
      <c r="A3" s="74" t="s">
        <v>18013</v>
      </c>
      <c r="B3" s="74"/>
      <c r="D3" s="72" t="s">
        <v>18063</v>
      </c>
      <c r="E3" s="72"/>
      <c r="F3" s="72"/>
      <c r="I3" s="72" t="s">
        <v>18062</v>
      </c>
      <c r="J3" s="72"/>
      <c r="AJ3" s="25">
        <v>20</v>
      </c>
      <c r="AK3" s="25">
        <v>9</v>
      </c>
    </row>
    <row r="4" spans="1:37" x14ac:dyDescent="0.3">
      <c r="A4" s="73" t="s">
        <v>17973</v>
      </c>
      <c r="B4" s="73" t="s">
        <v>17974</v>
      </c>
      <c r="D4" s="23" t="s">
        <v>18004</v>
      </c>
      <c r="E4" t="s">
        <v>17987</v>
      </c>
      <c r="F4" s="30" t="s">
        <v>18005</v>
      </c>
      <c r="I4" s="23" t="s">
        <v>18008</v>
      </c>
      <c r="J4" t="s">
        <v>18012</v>
      </c>
      <c r="AJ4" s="25">
        <v>27</v>
      </c>
      <c r="AK4" s="25">
        <v>12</v>
      </c>
    </row>
    <row r="5" spans="1:37" x14ac:dyDescent="0.3">
      <c r="A5" s="3" t="s">
        <v>17976</v>
      </c>
      <c r="B5">
        <f>COUNTA(_xlfn.UNIQUE(orders_Q4[Order ID]))</f>
        <v>346</v>
      </c>
      <c r="D5" s="24" t="s">
        <v>17990</v>
      </c>
      <c r="E5" s="25">
        <v>9</v>
      </c>
      <c r="F5" s="27">
        <f>AK3/AJ3</f>
        <v>0.45</v>
      </c>
      <c r="I5" s="24" t="s">
        <v>17990</v>
      </c>
      <c r="J5" s="26">
        <v>5.6521739130434785</v>
      </c>
      <c r="AJ5" s="25">
        <v>26</v>
      </c>
      <c r="AK5" s="25">
        <v>12</v>
      </c>
    </row>
    <row r="6" spans="1:37" x14ac:dyDescent="0.3">
      <c r="A6" s="3" t="s">
        <v>17975</v>
      </c>
      <c r="B6">
        <f>SUM(orders_Q4[Qty])</f>
        <v>409</v>
      </c>
      <c r="D6" s="24" t="s">
        <v>17991</v>
      </c>
      <c r="E6" s="25">
        <v>12</v>
      </c>
      <c r="F6" s="27">
        <f>AK4/AJ4</f>
        <v>0.44444444444444442</v>
      </c>
      <c r="I6" s="24" t="s">
        <v>17991</v>
      </c>
      <c r="J6" s="26">
        <v>4.4827586206896548</v>
      </c>
      <c r="AJ6" s="25">
        <v>25</v>
      </c>
      <c r="AK6" s="25">
        <v>11</v>
      </c>
    </row>
    <row r="7" spans="1:37" x14ac:dyDescent="0.3">
      <c r="A7" s="3" t="s">
        <v>17977</v>
      </c>
      <c r="B7" s="28">
        <f>SUM(orders_Q4[Calculated_order_total])</f>
        <v>899609.34999999951</v>
      </c>
      <c r="D7" s="24" t="s">
        <v>17992</v>
      </c>
      <c r="E7" s="25">
        <v>12</v>
      </c>
      <c r="F7" s="27">
        <f>AK5/AJ5</f>
        <v>0.46153846153846156</v>
      </c>
      <c r="I7" s="24" t="s">
        <v>17992</v>
      </c>
      <c r="J7" s="26">
        <v>5</v>
      </c>
      <c r="AJ7" s="25">
        <v>30</v>
      </c>
      <c r="AK7" s="25">
        <v>22</v>
      </c>
    </row>
    <row r="8" spans="1:37" x14ac:dyDescent="0.3">
      <c r="A8" s="3" t="s">
        <v>17978</v>
      </c>
      <c r="B8" s="28">
        <f>B7/B5</f>
        <v>2600.0270231213858</v>
      </c>
      <c r="D8" s="24" t="s">
        <v>17993</v>
      </c>
      <c r="E8" s="25">
        <v>11</v>
      </c>
      <c r="F8" s="27">
        <f>AK6/AJ6</f>
        <v>0.44</v>
      </c>
      <c r="I8" s="24" t="s">
        <v>17993</v>
      </c>
      <c r="J8" s="26">
        <v>5.8928571428571432</v>
      </c>
      <c r="AJ8" s="25">
        <v>22</v>
      </c>
      <c r="AK8" s="25">
        <v>14</v>
      </c>
    </row>
    <row r="9" spans="1:37" x14ac:dyDescent="0.3">
      <c r="A9" s="3" t="s">
        <v>17979</v>
      </c>
      <c r="B9" s="27">
        <f>COUNTIFS(
 orders_Q4[Return_initiated],"Yes",
 orders_Q4[Status],"Delivered"
)
/
COUNTIF(
 orders_Q4[Status],"Delivered"
)</f>
        <v>0.54878048780487809</v>
      </c>
      <c r="D9" s="24" t="s">
        <v>17994</v>
      </c>
      <c r="E9" s="25">
        <v>22</v>
      </c>
      <c r="F9" s="27">
        <f>AK7/AJ7</f>
        <v>0.73333333333333328</v>
      </c>
      <c r="I9" s="24" t="s">
        <v>17994</v>
      </c>
      <c r="J9" s="26">
        <v>36.875</v>
      </c>
      <c r="AJ9" s="25">
        <v>19</v>
      </c>
      <c r="AK9" s="25">
        <v>10</v>
      </c>
    </row>
    <row r="10" spans="1:37" x14ac:dyDescent="0.3">
      <c r="D10" s="24" t="s">
        <v>17995</v>
      </c>
      <c r="E10" s="25">
        <v>14</v>
      </c>
      <c r="F10" s="27">
        <f>AK8/AJ8</f>
        <v>0.63636363636363635</v>
      </c>
      <c r="I10" s="24" t="s">
        <v>17995</v>
      </c>
      <c r="J10" s="26">
        <v>21.739130434782609</v>
      </c>
      <c r="AJ10" s="25">
        <v>20</v>
      </c>
      <c r="AK10" s="25">
        <v>12</v>
      </c>
    </row>
    <row r="11" spans="1:37" x14ac:dyDescent="0.3">
      <c r="A11" s="23" t="s">
        <v>17986</v>
      </c>
      <c r="B11" t="s">
        <v>17987</v>
      </c>
      <c r="D11" s="24" t="s">
        <v>17996</v>
      </c>
      <c r="E11" s="25">
        <v>10</v>
      </c>
      <c r="F11" s="27">
        <f>AK9/AJ9</f>
        <v>0.52631578947368418</v>
      </c>
      <c r="I11" s="24" t="s">
        <v>17996</v>
      </c>
      <c r="J11" s="26">
        <v>3.75</v>
      </c>
      <c r="AJ11" s="25">
        <v>20</v>
      </c>
      <c r="AK11" s="25">
        <v>12</v>
      </c>
    </row>
    <row r="12" spans="1:37" x14ac:dyDescent="0.3">
      <c r="A12" s="24" t="s">
        <v>17982</v>
      </c>
      <c r="B12" s="25">
        <v>121</v>
      </c>
      <c r="D12" s="24" t="s">
        <v>17997</v>
      </c>
      <c r="E12" s="25">
        <v>12</v>
      </c>
      <c r="F12" s="27">
        <f>AK10/AJ10</f>
        <v>0.6</v>
      </c>
      <c r="I12" s="24" t="s">
        <v>17997</v>
      </c>
      <c r="J12" s="26">
        <v>3.5714285714285716</v>
      </c>
      <c r="AJ12" s="25">
        <v>27</v>
      </c>
      <c r="AK12" s="25">
        <v>11</v>
      </c>
    </row>
    <row r="13" spans="1:37" x14ac:dyDescent="0.3">
      <c r="A13" s="24" t="s">
        <v>17983</v>
      </c>
      <c r="B13" s="25">
        <v>93</v>
      </c>
      <c r="D13" s="24" t="s">
        <v>17998</v>
      </c>
      <c r="E13" s="25">
        <v>12</v>
      </c>
      <c r="F13" s="27">
        <f>AK11/AJ11</f>
        <v>0.6</v>
      </c>
      <c r="I13" s="24" t="s">
        <v>17998</v>
      </c>
      <c r="J13" s="26">
        <v>3.5714285714285716</v>
      </c>
      <c r="AJ13" s="25">
        <v>27</v>
      </c>
      <c r="AK13" s="25">
        <v>16</v>
      </c>
    </row>
    <row r="14" spans="1:37" x14ac:dyDescent="0.3">
      <c r="A14" s="24" t="s">
        <v>17984</v>
      </c>
      <c r="B14" s="25">
        <v>132</v>
      </c>
      <c r="D14" s="24" t="s">
        <v>17999</v>
      </c>
      <c r="E14" s="25">
        <v>11</v>
      </c>
      <c r="F14" s="27">
        <f>AK12/AJ12</f>
        <v>0.40740740740740738</v>
      </c>
      <c r="I14" s="24" t="s">
        <v>17999</v>
      </c>
      <c r="J14" s="26">
        <v>10</v>
      </c>
      <c r="AJ14" s="25">
        <v>28</v>
      </c>
      <c r="AK14" s="25">
        <v>17</v>
      </c>
    </row>
    <row r="15" spans="1:37" x14ac:dyDescent="0.3">
      <c r="A15" s="24" t="s">
        <v>17985</v>
      </c>
      <c r="B15" s="25">
        <v>346</v>
      </c>
      <c r="D15" s="24" t="s">
        <v>18000</v>
      </c>
      <c r="E15" s="25">
        <v>16</v>
      </c>
      <c r="F15" s="27">
        <f>AK13/AJ13</f>
        <v>0.59259259259259256</v>
      </c>
      <c r="I15" s="24" t="s">
        <v>18000</v>
      </c>
      <c r="J15" s="26">
        <v>6.4285714285714288</v>
      </c>
      <c r="AJ15" s="25">
        <v>28</v>
      </c>
      <c r="AK15" s="25">
        <v>16</v>
      </c>
    </row>
    <row r="16" spans="1:37" x14ac:dyDescent="0.3">
      <c r="D16" s="24" t="s">
        <v>18001</v>
      </c>
      <c r="E16" s="25">
        <v>17</v>
      </c>
      <c r="F16" s="27">
        <f>AK14/AJ14</f>
        <v>0.6071428571428571</v>
      </c>
      <c r="I16" s="24" t="s">
        <v>18001</v>
      </c>
      <c r="J16" s="26">
        <v>6.4285714285714288</v>
      </c>
      <c r="AJ16" s="25">
        <v>9</v>
      </c>
      <c r="AK16" s="25">
        <v>6</v>
      </c>
    </row>
    <row r="17" spans="1:14" x14ac:dyDescent="0.3">
      <c r="D17" s="24" t="s">
        <v>18002</v>
      </c>
      <c r="E17" s="25">
        <v>16</v>
      </c>
      <c r="F17" s="27">
        <f>AK15/AJ15</f>
        <v>0.5714285714285714</v>
      </c>
      <c r="I17" s="24" t="s">
        <v>18002</v>
      </c>
      <c r="J17" s="26">
        <v>7.1428571428571432</v>
      </c>
    </row>
    <row r="18" spans="1:14" x14ac:dyDescent="0.3">
      <c r="D18" s="24" t="s">
        <v>18003</v>
      </c>
      <c r="E18" s="25">
        <v>6</v>
      </c>
      <c r="F18" s="27">
        <f>AK16/AJ16</f>
        <v>0.66666666666666663</v>
      </c>
      <c r="I18" s="24" t="s">
        <v>18003</v>
      </c>
      <c r="J18" s="26">
        <v>6.666666666666667</v>
      </c>
    </row>
    <row r="19" spans="1:14" x14ac:dyDescent="0.3">
      <c r="D19" s="24" t="s">
        <v>17985</v>
      </c>
      <c r="E19" s="25">
        <v>180</v>
      </c>
      <c r="F19" s="32">
        <v>0.55000000000000004</v>
      </c>
      <c r="I19" s="24" t="s">
        <v>17985</v>
      </c>
      <c r="J19" s="26">
        <v>9.7398843930635834</v>
      </c>
    </row>
    <row r="20" spans="1:14" x14ac:dyDescent="0.3">
      <c r="E20" s="27"/>
    </row>
    <row r="25" spans="1:14" ht="28.8" customHeight="1" x14ac:dyDescent="0.45">
      <c r="A25" s="33" t="s">
        <v>17988</v>
      </c>
      <c r="B25" s="33" t="s">
        <v>18009</v>
      </c>
      <c r="C25" s="33" t="s">
        <v>18010</v>
      </c>
      <c r="D25" s="33" t="s">
        <v>18011</v>
      </c>
      <c r="F25" s="36"/>
      <c r="G25" s="37"/>
      <c r="H25" s="37"/>
      <c r="I25" s="37"/>
      <c r="J25" s="37"/>
      <c r="K25" s="37"/>
      <c r="L25" s="37"/>
      <c r="M25" s="37"/>
      <c r="N25" s="37"/>
    </row>
    <row r="26" spans="1:14" x14ac:dyDescent="0.3">
      <c r="A26" s="29" t="s">
        <v>17990</v>
      </c>
      <c r="B26" s="25">
        <v>23</v>
      </c>
      <c r="C26" s="26">
        <v>5.6521739130434785</v>
      </c>
      <c r="D26" s="27">
        <f>C26/B26</f>
        <v>0.24574669187145559</v>
      </c>
      <c r="F26" s="37"/>
      <c r="G26" s="37"/>
      <c r="H26" s="37"/>
      <c r="I26" s="37"/>
      <c r="J26" s="37"/>
      <c r="K26" s="37"/>
      <c r="L26" s="37"/>
      <c r="M26" s="37"/>
      <c r="N26" s="37"/>
    </row>
    <row r="27" spans="1:14" x14ac:dyDescent="0.3">
      <c r="A27" s="29" t="s">
        <v>17991</v>
      </c>
      <c r="B27" s="25">
        <v>29</v>
      </c>
      <c r="C27" s="26">
        <v>4.4827586206896548</v>
      </c>
      <c r="D27" s="27">
        <f>C27/B27</f>
        <v>0.15457788347205706</v>
      </c>
      <c r="F27" s="37"/>
      <c r="G27" s="37"/>
      <c r="H27" s="37"/>
      <c r="I27" s="37"/>
      <c r="J27" s="37"/>
      <c r="K27" s="37"/>
      <c r="L27" s="37"/>
      <c r="M27" s="37"/>
      <c r="N27" s="37"/>
    </row>
    <row r="28" spans="1:14" x14ac:dyDescent="0.3">
      <c r="A28" s="29" t="s">
        <v>17992</v>
      </c>
      <c r="B28" s="25">
        <v>28</v>
      </c>
      <c r="C28" s="26">
        <v>5</v>
      </c>
      <c r="D28" s="27">
        <f>C28/B28</f>
        <v>0.17857142857142858</v>
      </c>
      <c r="F28" s="37"/>
      <c r="G28" s="37"/>
      <c r="H28" s="37"/>
      <c r="I28" s="37"/>
      <c r="J28" s="37"/>
      <c r="K28" s="37"/>
      <c r="L28" s="37"/>
      <c r="M28" s="37"/>
      <c r="N28" s="37"/>
    </row>
    <row r="29" spans="1:14" x14ac:dyDescent="0.3">
      <c r="A29" s="29" t="s">
        <v>17993</v>
      </c>
      <c r="B29" s="25">
        <v>28</v>
      </c>
      <c r="C29" s="26">
        <v>5.8928571428571432</v>
      </c>
      <c r="D29" s="27">
        <f>C29/B29</f>
        <v>0.21045918367346941</v>
      </c>
      <c r="F29" s="37"/>
      <c r="G29" s="37"/>
      <c r="H29" s="37"/>
      <c r="I29" s="37"/>
      <c r="J29" s="37"/>
      <c r="K29" s="37"/>
      <c r="L29" s="37"/>
      <c r="M29" s="37"/>
      <c r="N29" s="37"/>
    </row>
    <row r="30" spans="1:14" x14ac:dyDescent="0.3">
      <c r="A30" s="29" t="s">
        <v>17994</v>
      </c>
      <c r="B30" s="25">
        <v>32</v>
      </c>
      <c r="C30" s="26">
        <v>36.875</v>
      </c>
      <c r="D30" s="27">
        <f>C30/B30</f>
        <v>1.15234375</v>
      </c>
    </row>
    <row r="31" spans="1:14" x14ac:dyDescent="0.3">
      <c r="A31" s="29" t="s">
        <v>17995</v>
      </c>
      <c r="B31" s="25">
        <v>23</v>
      </c>
      <c r="C31" s="26">
        <v>21.739130434782609</v>
      </c>
      <c r="D31" s="27">
        <f>C31/B31</f>
        <v>0.94517958412098302</v>
      </c>
    </row>
    <row r="32" spans="1:14" ht="14.4" customHeight="1" x14ac:dyDescent="0.45">
      <c r="A32" s="29" t="s">
        <v>17996</v>
      </c>
      <c r="B32" s="25">
        <v>20</v>
      </c>
      <c r="C32" s="26">
        <v>3.75</v>
      </c>
      <c r="D32" s="27">
        <f>C32/B32</f>
        <v>0.1875</v>
      </c>
      <c r="F32" s="36"/>
      <c r="G32" s="37"/>
      <c r="H32" s="37"/>
      <c r="I32" s="37"/>
      <c r="J32" s="37"/>
      <c r="K32" s="37"/>
      <c r="L32" s="37"/>
      <c r="M32" s="37"/>
      <c r="N32" s="37"/>
    </row>
    <row r="33" spans="1:14" x14ac:dyDescent="0.3">
      <c r="A33" s="29" t="s">
        <v>17997</v>
      </c>
      <c r="B33" s="25">
        <v>21</v>
      </c>
      <c r="C33" s="26">
        <v>3.5714285714285716</v>
      </c>
      <c r="D33" s="27">
        <f>C33/B33</f>
        <v>0.17006802721088438</v>
      </c>
      <c r="F33" s="37"/>
      <c r="G33" s="37"/>
      <c r="H33" s="37"/>
      <c r="I33" s="37"/>
      <c r="J33" s="37"/>
      <c r="K33" s="37"/>
      <c r="L33" s="37"/>
      <c r="M33" s="37"/>
      <c r="N33" s="37"/>
    </row>
    <row r="34" spans="1:14" x14ac:dyDescent="0.3">
      <c r="A34" s="29" t="s">
        <v>17998</v>
      </c>
      <c r="B34" s="25">
        <v>21</v>
      </c>
      <c r="C34" s="26">
        <v>3.5714285714285716</v>
      </c>
      <c r="D34" s="27">
        <f>C34/B34</f>
        <v>0.17006802721088438</v>
      </c>
      <c r="F34" s="37"/>
      <c r="G34" s="37"/>
      <c r="H34" s="37"/>
      <c r="I34" s="37"/>
      <c r="J34" s="37"/>
      <c r="K34" s="37"/>
      <c r="L34" s="37"/>
      <c r="M34" s="37"/>
      <c r="N34" s="37"/>
    </row>
    <row r="35" spans="1:14" x14ac:dyDescent="0.3">
      <c r="A35" s="29" t="s">
        <v>17999</v>
      </c>
      <c r="B35" s="25">
        <v>28</v>
      </c>
      <c r="C35" s="26">
        <v>10</v>
      </c>
      <c r="D35" s="27">
        <f>C35/B35</f>
        <v>0.35714285714285715</v>
      </c>
      <c r="F35" s="37"/>
      <c r="G35" s="37"/>
      <c r="H35" s="37"/>
      <c r="I35" s="37"/>
      <c r="J35" s="37"/>
      <c r="K35" s="37"/>
      <c r="L35" s="37"/>
      <c r="M35" s="37"/>
      <c r="N35" s="37"/>
    </row>
    <row r="36" spans="1:14" x14ac:dyDescent="0.3">
      <c r="A36" s="29" t="s">
        <v>18000</v>
      </c>
      <c r="B36" s="25">
        <v>28</v>
      </c>
      <c r="C36" s="26">
        <v>6.4285714285714288</v>
      </c>
      <c r="D36" s="27">
        <f>C36/B36</f>
        <v>0.22959183673469388</v>
      </c>
      <c r="F36" s="37"/>
      <c r="G36" s="37"/>
      <c r="H36" s="37"/>
      <c r="I36" s="37"/>
      <c r="J36" s="37"/>
      <c r="K36" s="37"/>
      <c r="L36" s="37"/>
      <c r="M36" s="37"/>
      <c r="N36" s="37"/>
    </row>
    <row r="37" spans="1:14" x14ac:dyDescent="0.3">
      <c r="A37" s="29" t="s">
        <v>18001</v>
      </c>
      <c r="B37" s="25">
        <v>28</v>
      </c>
      <c r="C37" s="26">
        <v>6.4285714285714288</v>
      </c>
      <c r="D37" s="27">
        <f>C37/B37</f>
        <v>0.22959183673469388</v>
      </c>
    </row>
    <row r="38" spans="1:14" ht="14.4" customHeight="1" x14ac:dyDescent="0.45">
      <c r="A38" s="29" t="s">
        <v>18002</v>
      </c>
      <c r="B38" s="25">
        <v>28</v>
      </c>
      <c r="C38" s="26">
        <v>7.1428571428571432</v>
      </c>
      <c r="D38" s="27">
        <f>C38/B38</f>
        <v>0.25510204081632654</v>
      </c>
      <c r="F38" s="36"/>
      <c r="G38" s="37"/>
      <c r="H38" s="37"/>
      <c r="I38" s="37"/>
      <c r="J38" s="37"/>
      <c r="K38" s="37"/>
      <c r="L38" s="37"/>
      <c r="M38" s="37"/>
      <c r="N38" s="37"/>
    </row>
    <row r="39" spans="1:14" x14ac:dyDescent="0.3">
      <c r="A39" s="29" t="s">
        <v>18003</v>
      </c>
      <c r="B39" s="25">
        <v>9</v>
      </c>
      <c r="C39" s="26">
        <v>6.666666666666667</v>
      </c>
      <c r="D39" s="27">
        <f>C39/B39</f>
        <v>0.74074074074074081</v>
      </c>
      <c r="F39" s="37"/>
      <c r="G39" s="37"/>
      <c r="H39" s="37"/>
      <c r="I39" s="37"/>
      <c r="J39" s="37"/>
      <c r="K39" s="37"/>
      <c r="L39" s="37"/>
      <c r="M39" s="37"/>
      <c r="N39" s="37"/>
    </row>
    <row r="40" spans="1:14" x14ac:dyDescent="0.3">
      <c r="F40" s="37"/>
      <c r="G40" s="37"/>
      <c r="H40" s="37"/>
      <c r="I40" s="37"/>
      <c r="J40" s="37"/>
      <c r="K40" s="37"/>
      <c r="L40" s="37"/>
      <c r="M40" s="37"/>
      <c r="N40" s="37"/>
    </row>
    <row r="41" spans="1:14" x14ac:dyDescent="0.3">
      <c r="F41" s="37"/>
      <c r="G41" s="37"/>
      <c r="H41" s="37"/>
      <c r="I41" s="37"/>
      <c r="J41" s="37"/>
      <c r="K41" s="37"/>
      <c r="L41" s="37"/>
      <c r="M41" s="37"/>
      <c r="N41" s="37"/>
    </row>
    <row r="42" spans="1:14" x14ac:dyDescent="0.3">
      <c r="F42" s="37"/>
      <c r="G42" s="37"/>
      <c r="H42" s="37"/>
      <c r="I42" s="37"/>
      <c r="J42" s="37"/>
      <c r="K42" s="37"/>
      <c r="L42" s="37"/>
      <c r="M42" s="37"/>
      <c r="N42" s="37"/>
    </row>
  </sheetData>
  <mergeCells count="3">
    <mergeCell ref="I3:J3"/>
    <mergeCell ref="D3:F3"/>
    <mergeCell ref="A3:B3"/>
  </mergeCells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BC50-3769-4F74-A057-B6F771903CDD}">
  <dimension ref="A3:P23"/>
  <sheetViews>
    <sheetView zoomScale="60" workbookViewId="0">
      <selection activeCell="N3" sqref="N3:O3"/>
    </sheetView>
  </sheetViews>
  <sheetFormatPr defaultRowHeight="14.4" x14ac:dyDescent="0.3"/>
  <cols>
    <col min="1" max="1" width="17" bestFit="1" customWidth="1"/>
    <col min="2" max="2" width="24.5546875" customWidth="1"/>
    <col min="3" max="3" width="9.109375" customWidth="1"/>
    <col min="4" max="4" width="12.88671875" hidden="1" customWidth="1"/>
    <col min="5" max="5" width="11.44140625" hidden="1" customWidth="1"/>
    <col min="6" max="6" width="11.109375" bestFit="1" customWidth="1"/>
    <col min="7" max="7" width="17.77734375" bestFit="1" customWidth="1"/>
    <col min="8" max="8" width="17.6640625" customWidth="1"/>
    <col min="9" max="9" width="18.5546875" customWidth="1"/>
    <col min="10" max="10" width="8.109375" bestFit="1" customWidth="1"/>
    <col min="11" max="11" width="10.88671875" customWidth="1"/>
    <col min="12" max="12" width="14.109375" customWidth="1"/>
    <col min="13" max="13" width="20.5546875" customWidth="1"/>
    <col min="14" max="14" width="9.109375" bestFit="1" customWidth="1"/>
    <col min="15" max="15" width="22.77734375" customWidth="1"/>
    <col min="16" max="16" width="27.21875" bestFit="1" customWidth="1"/>
    <col min="17" max="17" width="19.77734375" customWidth="1"/>
    <col min="18" max="18" width="14.6640625" customWidth="1"/>
    <col min="19" max="19" width="10.5546875" bestFit="1" customWidth="1"/>
  </cols>
  <sheetData>
    <row r="3" spans="1:16" ht="23.4" x14ac:dyDescent="0.45">
      <c r="A3" s="70" t="s">
        <v>18021</v>
      </c>
      <c r="B3" s="71"/>
      <c r="G3" s="67"/>
      <c r="H3" s="55" t="s">
        <v>18020</v>
      </c>
      <c r="I3" s="55"/>
      <c r="J3" s="55"/>
      <c r="K3" s="55"/>
      <c r="N3" s="76" t="s">
        <v>18022</v>
      </c>
      <c r="O3" s="77"/>
    </row>
    <row r="4" spans="1:16" ht="23.4" x14ac:dyDescent="0.45">
      <c r="A4" s="52" t="s">
        <v>18014</v>
      </c>
      <c r="B4" s="51" t="s">
        <v>18015</v>
      </c>
      <c r="G4" s="67"/>
      <c r="H4" s="52" t="s">
        <v>18017</v>
      </c>
      <c r="I4" s="51" t="s">
        <v>18019</v>
      </c>
      <c r="J4" s="51" t="s">
        <v>17987</v>
      </c>
      <c r="K4" s="45" t="s">
        <v>18018</v>
      </c>
      <c r="N4" s="56" t="s">
        <v>18017</v>
      </c>
      <c r="O4" s="45" t="s">
        <v>18023</v>
      </c>
    </row>
    <row r="5" spans="1:16" ht="23.4" x14ac:dyDescent="0.45">
      <c r="A5" s="53" t="s">
        <v>25</v>
      </c>
      <c r="B5" s="54">
        <v>270</v>
      </c>
      <c r="G5" s="67"/>
      <c r="H5" s="53" t="s">
        <v>25</v>
      </c>
      <c r="I5" s="57">
        <v>693781.14999999956</v>
      </c>
      <c r="J5" s="54">
        <v>270</v>
      </c>
      <c r="K5" s="58">
        <f>GETPIVOTDATA("Revenue",$H$4,"Type","New")/GETPIVOTDATA("Orders",$H$4,"Type","New")</f>
        <v>2569.5598148148133</v>
      </c>
      <c r="N5" s="53" t="s">
        <v>25</v>
      </c>
      <c r="O5" s="42">
        <f>COUNTIFS(
 orders_Q4[Type],"New",
 orders_Q4[Return_initiated],"Yes",
 orders_Q4[Status],"Delivered"
)
/
COUNTIFS(
 orders_Q4[Type],"New",
 orders_Q4[Status],"Delivered"
)</f>
        <v>0.5810276679841897</v>
      </c>
    </row>
    <row r="6" spans="1:16" ht="23.4" x14ac:dyDescent="0.45">
      <c r="A6" s="53" t="s">
        <v>38</v>
      </c>
      <c r="B6" s="54">
        <v>76</v>
      </c>
      <c r="G6" s="67"/>
      <c r="H6" s="53" t="s">
        <v>38</v>
      </c>
      <c r="I6" s="57">
        <v>205828.2</v>
      </c>
      <c r="J6" s="54">
        <v>76</v>
      </c>
      <c r="K6" s="58">
        <f>GETPIVOTDATA("Revenue",$H$4,"Type","Returning")/GETPIVOTDATA("Orders",$H$4,"Type","Returning")</f>
        <v>2708.2657894736844</v>
      </c>
      <c r="N6" s="53" t="s">
        <v>38</v>
      </c>
      <c r="O6" s="42">
        <f>COUNTIFS(
 orders_Q4[Type],"Returning",
 orders_Q4[Return_initiated],"Yes",
 orders_Q4[Status],"Delivered"
)
/
COUNTIFS(
 orders_Q4[Type],"Returning",
 orders_Q4[Status],"Delivered"
)</f>
        <v>0.44</v>
      </c>
    </row>
    <row r="7" spans="1:16" ht="23.4" x14ac:dyDescent="0.45">
      <c r="A7" s="53" t="s">
        <v>17985</v>
      </c>
      <c r="B7" s="54">
        <v>346</v>
      </c>
      <c r="G7" s="67"/>
      <c r="H7" s="53" t="s">
        <v>17985</v>
      </c>
      <c r="I7" s="57">
        <v>899609.34999999939</v>
      </c>
      <c r="J7" s="54">
        <v>346</v>
      </c>
      <c r="K7" s="59">
        <f>GETPIVOTDATA("Revenue",$H$4)/GETPIVOTDATA("Orders",$H$4)</f>
        <v>2600.0270231213854</v>
      </c>
    </row>
    <row r="9" spans="1:16" ht="18" x14ac:dyDescent="0.35">
      <c r="H9" s="69" t="s">
        <v>18033</v>
      </c>
      <c r="I9" s="69"/>
      <c r="J9" s="69"/>
      <c r="K9" s="69"/>
      <c r="L9" s="69"/>
      <c r="N9" s="68" t="s">
        <v>18030</v>
      </c>
      <c r="O9" s="68"/>
      <c r="P9" s="68"/>
    </row>
    <row r="10" spans="1:16" ht="15" thickBot="1" x14ac:dyDescent="0.35">
      <c r="H10" s="23" t="s">
        <v>18024</v>
      </c>
      <c r="I10" t="s">
        <v>18016</v>
      </c>
      <c r="J10" t="s">
        <v>17987</v>
      </c>
      <c r="K10" s="35" t="s">
        <v>18018</v>
      </c>
      <c r="L10" s="35" t="s">
        <v>18025</v>
      </c>
      <c r="N10" s="49" t="s">
        <v>18030</v>
      </c>
      <c r="O10" s="49" t="s">
        <v>18028</v>
      </c>
      <c r="P10" s="50" t="s">
        <v>18029</v>
      </c>
    </row>
    <row r="11" spans="1:16" ht="18" x14ac:dyDescent="0.35">
      <c r="A11" s="68" t="s">
        <v>18032</v>
      </c>
      <c r="B11" s="68"/>
      <c r="C11" s="68"/>
      <c r="H11" s="24" t="s">
        <v>65</v>
      </c>
      <c r="I11" s="38">
        <v>292774.54999999993</v>
      </c>
      <c r="J11" s="25">
        <v>109</v>
      </c>
      <c r="K11" s="39">
        <f>GETPIVOTDATA("Sum of Calculated_order_total",$H$10,"Source","Instagram Shop")/GETPIVOTDATA("Orders",$H$10,"Source","Instagram Shop")</f>
        <v>2686.0050458715591</v>
      </c>
      <c r="L11" s="27">
        <f>COUNTIFS(
orders_Q4[Source],"Instagram Shop",
orders_Q4[Return_initiated],"Yes",
orders_Q4[Status],"Delivered"
)/
COUNTIFS(
orders_Q4[Source],"Instagram Shop",
orders_Q4[Status],"Delivered"
)</f>
        <v>0.67619047619047623</v>
      </c>
      <c r="N11" s="46" t="s">
        <v>55</v>
      </c>
      <c r="O11" s="43">
        <f>COUNTIFS(
 orders_Q4[payment_group],"COD",
 orders_Q4[Return_initiated],"Yes",
 orders_Q4[Status],"Delivered"
)/
COUNTIFS(
 orders_Q4[payment_group],"COD",
 orders_Q4[Status],"Delivered"
)</f>
        <v>0.82608695652173914</v>
      </c>
      <c r="P11" s="48">
        <f>COUNTIFS(
 orders_Q4[payment_group],"COD",
 orders_Q4[Status],"RTO"
)/
COUNTIF(
 orders_Q4[payment_group],"COD"
)</f>
        <v>0.25396825396825395</v>
      </c>
    </row>
    <row r="12" spans="1:16" ht="15" thickBot="1" x14ac:dyDescent="0.35">
      <c r="A12" s="52" t="s">
        <v>18031</v>
      </c>
      <c r="B12" s="51" t="s">
        <v>17987</v>
      </c>
      <c r="C12" s="45" t="s">
        <v>18025</v>
      </c>
      <c r="H12" s="24" t="s">
        <v>44</v>
      </c>
      <c r="I12" s="38">
        <v>296865.04999999993</v>
      </c>
      <c r="J12" s="25">
        <v>116</v>
      </c>
      <c r="K12" s="39">
        <f>GETPIVOTDATA("Sum of Calculated_order_total",$H$10,"Source","Mobile App")/GETPIVOTDATA("Orders",$H$10,"Source","Mobile App")</f>
        <v>2559.1814655172407</v>
      </c>
      <c r="L12" s="27">
        <f>COUNTIFS(
orders_Q4[Source],"Mobile app",
orders_Q4[Return_initiated],"Yes",
orders_Q4[Status],"Delivered"
)/
COUNTIFS(
orders_Q4[Source],"Mobile app",
orders_Q4[Status],"Delivered"
)</f>
        <v>0.56481481481481477</v>
      </c>
      <c r="N12" s="47" t="s">
        <v>18027</v>
      </c>
      <c r="O12" s="40">
        <f>COUNTIFS(
 orders_Q4[payment_group],"Prepaid",
 orders_Q4[Return_initiated],"Yes",
 orders_Q4[Status],"Delivered"
)/
COUNTIFS(
 orders_Q4[payment_group],"Prepaid",
 orders_Q4[Status],"Delivered"
)</f>
        <v>0.50354609929078009</v>
      </c>
      <c r="P12" s="44">
        <f>COUNTIFS(
 orders_Q4[payment_group],"Prepaid",
 orders_Q4[Status],"RTO"
)/
COUNTIF(
 orders_Q4[payment_group],"Prepaid"
)</f>
        <v>3.5335689045936395E-3</v>
      </c>
    </row>
    <row r="13" spans="1:16" x14ac:dyDescent="0.3">
      <c r="A13" s="53" t="s">
        <v>71</v>
      </c>
      <c r="B13" s="54">
        <v>68</v>
      </c>
      <c r="C13" s="42">
        <f>COUNTIFS(
 orders_Q4[Category],"Accessories",
 orders_Q4[Return_initiated],"Yes",
 orders_Q4[Status],"Delivered"
)/
COUNTIFS(
 orders_Q4[Category],"Accessories",
 orders_Q4[Status],"Delivered"
)</f>
        <v>0.24615384615384617</v>
      </c>
      <c r="H13" s="24" t="s">
        <v>30</v>
      </c>
      <c r="I13" s="38">
        <v>309969.75000000023</v>
      </c>
      <c r="J13" s="25">
        <v>121</v>
      </c>
      <c r="K13" s="39">
        <f>GETPIVOTDATA("Sum of Calculated_order_total",$H$10,"Source","Website")/GETPIVOTDATA("Orders",$H$10,"Source","Website")</f>
        <v>2561.7334710743821</v>
      </c>
      <c r="L13" s="27">
        <f>COUNTIFS(
orders_Q4[Source],"Website",
orders_Q4[Return_initiated],"Yes",
orders_Q4[Status],"Delivered"
)/
COUNTIFS(
orders_Q4[Source],"Website",
orders_Q4[Status],"Delivered"
)</f>
        <v>0.41739130434782606</v>
      </c>
    </row>
    <row r="14" spans="1:16" x14ac:dyDescent="0.3">
      <c r="A14" s="53" t="s">
        <v>53</v>
      </c>
      <c r="B14" s="54">
        <v>67</v>
      </c>
      <c r="C14" s="42">
        <f>COUNTIFS(
 orders_Q4[Category],"Bottoms",
 orders_Q4[Return_initiated],"Yes",
 orders_Q4[Status],"Delivered"
)/
COUNTIFS(
 orders_Q4[Category],"Bottoms",
 orders_Q4[Status],"Delivered"
)</f>
        <v>0.38461538461538464</v>
      </c>
      <c r="H14" s="24" t="s">
        <v>17985</v>
      </c>
      <c r="I14" s="38">
        <v>899609.34999999928</v>
      </c>
      <c r="J14" s="25">
        <v>346</v>
      </c>
      <c r="K14" s="34"/>
      <c r="L14" s="34"/>
    </row>
    <row r="15" spans="1:16" x14ac:dyDescent="0.3">
      <c r="A15" s="53" t="s">
        <v>61</v>
      </c>
      <c r="B15" s="54">
        <v>68</v>
      </c>
      <c r="C15" s="42">
        <f>COUNTIFS(
 orders_Q4[Category],"Outerwear",
 orders_Q4[Return_initiated],"Yes",
 orders_Q4[Status],"Delivered"
)/
COUNTIFS(
 orders_Q4[Category],"Outerwear",
 orders_Q4[Status],"Delivered"
)</f>
        <v>0.8</v>
      </c>
      <c r="K15" s="75"/>
      <c r="L15" s="75"/>
    </row>
    <row r="16" spans="1:16" x14ac:dyDescent="0.3">
      <c r="A16" s="53" t="s">
        <v>40</v>
      </c>
      <c r="B16" s="54">
        <v>70</v>
      </c>
      <c r="C16" s="42">
        <f>COUNTIFS(
 orders_Q4[Category],"Dresses",
 orders_Q4[Return_initiated],"Yes",
 orders_Q4[Status],"Delivered"
)/
COUNTIFS(
 orders_Q4[Category],"Dresses",
 orders_Q4[Status],"Delivered"
)</f>
        <v>0.66666666666666663</v>
      </c>
    </row>
    <row r="17" spans="1:7" ht="14.4" customHeight="1" x14ac:dyDescent="0.3">
      <c r="A17" s="53" t="s">
        <v>27</v>
      </c>
      <c r="B17" s="54">
        <v>73</v>
      </c>
      <c r="C17" s="42">
        <f>COUNTIFS(
 orders_Q4[Category],"Tops",
 orders_Q4[Return_initiated],"Yes",
 orders_Q4[Status],"Delivered"
)/
COUNTIFS(
 orders_Q4[Category],"Tops",
 orders_Q4[Status],"Delivered"
)</f>
        <v>0.64179104477611937</v>
      </c>
    </row>
    <row r="18" spans="1:7" ht="14.4" customHeight="1" x14ac:dyDescent="0.3">
      <c r="A18" s="53" t="s">
        <v>17985</v>
      </c>
      <c r="B18" s="54">
        <v>346</v>
      </c>
      <c r="C18" s="41"/>
    </row>
    <row r="19" spans="1:7" ht="14.4" customHeight="1" x14ac:dyDescent="0.3"/>
    <row r="20" spans="1:7" ht="14.4" customHeight="1" x14ac:dyDescent="0.45">
      <c r="F20" s="67"/>
    </row>
    <row r="21" spans="1:7" ht="14.4" customHeight="1" x14ac:dyDescent="0.45">
      <c r="F21" s="67"/>
      <c r="G21" s="67"/>
    </row>
    <row r="22" spans="1:7" ht="14.4" customHeight="1" x14ac:dyDescent="0.3"/>
    <row r="23" spans="1:7" ht="14.4" customHeight="1" x14ac:dyDescent="0.3"/>
  </sheetData>
  <mergeCells count="6">
    <mergeCell ref="A11:C11"/>
    <mergeCell ref="H3:K3"/>
    <mergeCell ref="H9:L9"/>
    <mergeCell ref="N9:P9"/>
    <mergeCell ref="K15:L15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54B9-51C1-4EBF-B785-5B60AEEBDAB9}">
  <dimension ref="A1:E12"/>
  <sheetViews>
    <sheetView zoomScale="82" workbookViewId="0">
      <selection activeCell="A15" sqref="A15"/>
    </sheetView>
  </sheetViews>
  <sheetFormatPr defaultRowHeight="14.4" x14ac:dyDescent="0.3"/>
  <cols>
    <col min="1" max="1" width="33" customWidth="1"/>
    <col min="2" max="2" width="38.33203125" bestFit="1" customWidth="1"/>
    <col min="3" max="3" width="53.109375" customWidth="1"/>
    <col min="4" max="4" width="27.21875" customWidth="1"/>
  </cols>
  <sheetData>
    <row r="1" spans="1:5" x14ac:dyDescent="0.3">
      <c r="A1" s="61" t="s">
        <v>18034</v>
      </c>
      <c r="B1" s="61" t="s">
        <v>18035</v>
      </c>
      <c r="C1" s="61" t="s">
        <v>18036</v>
      </c>
      <c r="D1" s="61" t="s">
        <v>17974</v>
      </c>
    </row>
    <row r="2" spans="1:5" x14ac:dyDescent="0.3">
      <c r="A2" s="65" t="s">
        <v>18037</v>
      </c>
      <c r="B2" s="51" t="s">
        <v>18038</v>
      </c>
      <c r="C2" s="51" t="s">
        <v>18053</v>
      </c>
      <c r="D2" s="58">
        <f>SUM(orders_Q4[Total])</f>
        <v>1023789</v>
      </c>
    </row>
    <row r="3" spans="1:5" ht="28.8" x14ac:dyDescent="0.3">
      <c r="A3" s="65" t="s">
        <v>18039</v>
      </c>
      <c r="B3" s="51" t="s">
        <v>18039</v>
      </c>
      <c r="C3" s="62" t="s">
        <v>18052</v>
      </c>
      <c r="D3" s="58">
        <f>SUM(orders_Q4[Calculated_order_total])</f>
        <v>899609.34999999951</v>
      </c>
    </row>
    <row r="4" spans="1:5" ht="28.8" x14ac:dyDescent="0.3">
      <c r="A4" s="65" t="s">
        <v>18040</v>
      </c>
      <c r="B4" s="62" t="s">
        <v>18041</v>
      </c>
      <c r="C4" s="62" t="s">
        <v>18054</v>
      </c>
      <c r="D4" s="42">
        <f>COUNTIFS(
 orders_Q4[Return_initiated],"Yes",
 orders_Q4[Status],"Delivered"
)/
COUNTIF(
 orders_Q4[Status],"Delivered"
)</f>
        <v>0.54878048780487809</v>
      </c>
    </row>
    <row r="5" spans="1:5" ht="28.8" x14ac:dyDescent="0.3">
      <c r="A5" s="65" t="s">
        <v>18042</v>
      </c>
      <c r="B5" s="51" t="s">
        <v>18043</v>
      </c>
      <c r="C5" s="62" t="s">
        <v>18055</v>
      </c>
      <c r="D5" s="42">
        <f>COUNTIF(
 orders_Q4[Status],"RTO"
)/
COUNTIFS(
 orders_Q4[Status],"&lt;&gt;Cancelled"
)</f>
        <v>4.9275362318840582E-2</v>
      </c>
    </row>
    <row r="6" spans="1:5" ht="28.8" x14ac:dyDescent="0.3">
      <c r="A6" s="66" t="s">
        <v>18044</v>
      </c>
      <c r="B6" s="51" t="s">
        <v>18045</v>
      </c>
      <c r="C6" s="62" t="s">
        <v>18056</v>
      </c>
      <c r="D6" s="42">
        <f>COUNTIF(
orders_Q4[Refund],"Processed"
)/
COUNTIFS(
orders_Q4[return_received],"&lt;&gt;"
)</f>
        <v>0.96111111111111114</v>
      </c>
    </row>
    <row r="7" spans="1:5" ht="28.8" x14ac:dyDescent="0.3">
      <c r="A7" s="66" t="s">
        <v>18046</v>
      </c>
      <c r="B7" s="51" t="s">
        <v>18047</v>
      </c>
      <c r="C7" s="62" t="s">
        <v>18057</v>
      </c>
      <c r="D7" s="42">
        <f>COUNTIFS(
 orders_Q4[Type],"New",
 orders_Q4[Return_initiated],"Yes",
 orders_Q4[Status],"Delivered"
)/
COUNTIFS(
 orders_Q4[Type],"New",
 orders_Q4[Status],"Delivered"
)</f>
        <v>0.5810276679841897</v>
      </c>
    </row>
    <row r="8" spans="1:5" ht="28.8" x14ac:dyDescent="0.3">
      <c r="A8" s="66" t="s">
        <v>18048</v>
      </c>
      <c r="B8" s="62" t="s">
        <v>18049</v>
      </c>
      <c r="C8" s="62" t="s">
        <v>18058</v>
      </c>
      <c r="D8" s="42">
        <f>COUNTIFS(
 orders_Q4[Type],"Returning",
 orders_Q4[Return_initiated],"Yes",
 orders_Q4[Status],"Delivered"
)
/
COUNTIFS(
 orders_Q4[Type],"Returning",
 orders_Q4[Status],"Delivered"
)</f>
        <v>0.44</v>
      </c>
    </row>
    <row r="9" spans="1:5" ht="28.8" x14ac:dyDescent="0.3">
      <c r="A9" s="66" t="s">
        <v>18050</v>
      </c>
      <c r="B9" s="62" t="s">
        <v>18051</v>
      </c>
      <c r="C9" s="63" t="s">
        <v>18061</v>
      </c>
      <c r="D9" s="42">
        <f>COUNTIF(
 orders_Q4[Warehouse],"Mumbai"
)/346</f>
        <v>0.34971098265895956</v>
      </c>
      <c r="E9" s="3"/>
    </row>
    <row r="10" spans="1:5" x14ac:dyDescent="0.3">
      <c r="A10" s="51"/>
      <c r="B10" s="51"/>
      <c r="C10" s="64" t="s">
        <v>18059</v>
      </c>
      <c r="D10" s="42">
        <f>COUNTIF(
 orders_Q4[Warehouse],"Delhi"
)/346</f>
        <v>0.38150289017341038</v>
      </c>
    </row>
    <row r="11" spans="1:5" x14ac:dyDescent="0.3">
      <c r="A11" s="51"/>
      <c r="B11" s="51"/>
      <c r="C11" s="64" t="s">
        <v>56</v>
      </c>
      <c r="D11" s="42">
        <f>COUNTIF(
 orders_Q4[Warehouse],"Bangalore"
)/346</f>
        <v>0.26878612716763006</v>
      </c>
    </row>
    <row r="12" spans="1:5" x14ac:dyDescent="0.3">
      <c r="C12" t="s">
        <v>18060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C4BC-FB30-4A5B-AA61-CB73B4B0DD14}">
  <dimension ref="A1:B7"/>
  <sheetViews>
    <sheetView workbookViewId="0">
      <selection activeCell="E6" sqref="E6"/>
    </sheetView>
  </sheetViews>
  <sheetFormatPr defaultRowHeight="14.4" x14ac:dyDescent="0.3"/>
  <cols>
    <col min="1" max="1" width="39.5546875" customWidth="1"/>
    <col min="2" max="2" width="17.77734375" customWidth="1"/>
  </cols>
  <sheetData>
    <row r="1" spans="1:2" x14ac:dyDescent="0.3">
      <c r="A1" s="3" t="s">
        <v>18074</v>
      </c>
      <c r="B1" s="3" t="s">
        <v>18076</v>
      </c>
    </row>
    <row r="2" spans="1:2" x14ac:dyDescent="0.3">
      <c r="A2" t="s">
        <v>18075</v>
      </c>
      <c r="B2" t="s">
        <v>18084</v>
      </c>
    </row>
    <row r="3" spans="1:2" x14ac:dyDescent="0.3">
      <c r="A3" t="s">
        <v>18077</v>
      </c>
      <c r="B3" t="s">
        <v>18081</v>
      </c>
    </row>
    <row r="4" spans="1:2" x14ac:dyDescent="0.3">
      <c r="A4" t="s">
        <v>18078</v>
      </c>
      <c r="B4" t="s">
        <v>18082</v>
      </c>
    </row>
    <row r="5" spans="1:2" x14ac:dyDescent="0.3">
      <c r="A5" t="s">
        <v>18079</v>
      </c>
      <c r="B5" t="s">
        <v>18083</v>
      </c>
    </row>
    <row r="6" spans="1:2" x14ac:dyDescent="0.3">
      <c r="A6" t="s">
        <v>18080</v>
      </c>
      <c r="B6" t="s">
        <v>18082</v>
      </c>
    </row>
    <row r="7" spans="1:2" x14ac:dyDescent="0.3">
      <c r="A7" s="3" t="s">
        <v>9</v>
      </c>
      <c r="B7" t="s">
        <v>18085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FD95-5C5A-47E0-8F7D-ED5C1D6F2C40}">
  <dimension ref="AJ3:AT21"/>
  <sheetViews>
    <sheetView tabSelected="1" topLeftCell="A21" zoomScale="60" workbookViewId="0">
      <selection activeCell="AC15" sqref="AC15"/>
    </sheetView>
  </sheetViews>
  <sheetFormatPr defaultRowHeight="14.4" x14ac:dyDescent="0.3"/>
  <sheetData>
    <row r="3" spans="36:46" ht="28.8" x14ac:dyDescent="0.45">
      <c r="AJ3" s="23" t="s">
        <v>18065</v>
      </c>
      <c r="AK3" t="s">
        <v>17987</v>
      </c>
      <c r="AM3" s="60" t="s">
        <v>18014</v>
      </c>
      <c r="AN3" s="60" t="s">
        <v>18066</v>
      </c>
      <c r="AO3" s="60" t="s">
        <v>18067</v>
      </c>
      <c r="AP3" s="60" t="s">
        <v>18068</v>
      </c>
      <c r="AQ3" s="60" t="s">
        <v>18023</v>
      </c>
      <c r="AR3" s="67"/>
      <c r="AS3" s="67"/>
    </row>
    <row r="4" spans="36:46" ht="23.4" x14ac:dyDescent="0.45">
      <c r="AJ4" s="24" t="s">
        <v>79</v>
      </c>
      <c r="AK4" s="25">
        <v>29</v>
      </c>
      <c r="AM4" t="s">
        <v>18071</v>
      </c>
      <c r="AN4" t="s">
        <v>30</v>
      </c>
      <c r="AO4">
        <f>COUNTIFS(
 orders_Q4[Type],"New",
 orders_Q4[Source],"Website",
 orders_Q4[Status],"Delivered"
)</f>
        <v>87</v>
      </c>
      <c r="AP4">
        <f>COUNTIFS(
 orders_Q4[Type],"New",
 orders_Q4[Source],"Website",
 orders_Q4[Status],"Delivered",
 orders_Q4[Return_initiated],"Yes"
)</f>
        <v>38</v>
      </c>
      <c r="AQ4" s="27">
        <f>IF(AO4&gt;0,
    AP4 /AO4,
    0)</f>
        <v>0.43678160919540232</v>
      </c>
      <c r="AR4" s="67"/>
      <c r="AS4" s="67"/>
      <c r="AT4" s="67"/>
    </row>
    <row r="5" spans="36:46" ht="23.4" x14ac:dyDescent="0.45">
      <c r="AJ5" s="24" t="s">
        <v>138</v>
      </c>
      <c r="AK5" s="25">
        <v>24</v>
      </c>
      <c r="AM5" t="s">
        <v>18071</v>
      </c>
      <c r="AN5" t="s">
        <v>18069</v>
      </c>
      <c r="AO5">
        <f>COUNTIFS(
 orders_Q4[Type],"New",
 orders_Q4[Source],"Mobile App",
 orders_Q4[Status],"Delivered"
)</f>
        <v>81</v>
      </c>
      <c r="AP5">
        <f>COUNTIFS(
 orders_Q4[Type],"New",
 orders_Q4[Source],"Mobile App",
 orders_Q4[Status],"Delivered",
 orders_Q4[Return_initiated],"Yes"
)</f>
        <v>46</v>
      </c>
      <c r="AQ5" s="27">
        <f>IF(AO5&gt;0,
    AP5 /AO5,
    0)</f>
        <v>0.5679012345679012</v>
      </c>
      <c r="AR5" s="67"/>
      <c r="AS5" s="67"/>
      <c r="AT5" s="67"/>
    </row>
    <row r="6" spans="36:46" x14ac:dyDescent="0.3">
      <c r="AJ6" s="24" t="s">
        <v>68</v>
      </c>
      <c r="AK6" s="25">
        <v>32</v>
      </c>
      <c r="AM6" t="s">
        <v>18071</v>
      </c>
      <c r="AN6" t="s">
        <v>18070</v>
      </c>
      <c r="AO6">
        <f>COUNTIFS(
 orders_Q4[Type],"New",
 orders_Q4[Source],"Instagram Shop",
 orders_Q4[Status],"Delivered"
)</f>
        <v>85</v>
      </c>
      <c r="AP6">
        <f>COUNTIFS(
 orders_Q4[Type],"New",
 orders_Q4[Source],"Instagram Shop",
 orders_Q4[Status],"Delivered",
 orders_Q4[Return_initiated],"Yes"
)</f>
        <v>63</v>
      </c>
      <c r="AQ6" s="27">
        <f>IF(AO6&gt;0,
    AP6 /AO6,
    0)</f>
        <v>0.74117647058823533</v>
      </c>
    </row>
    <row r="7" spans="36:46" x14ac:dyDescent="0.3">
      <c r="AJ7" s="24" t="s">
        <v>47</v>
      </c>
      <c r="AK7" s="25">
        <v>67</v>
      </c>
      <c r="AM7" t="s">
        <v>18072</v>
      </c>
      <c r="AN7" t="s">
        <v>30</v>
      </c>
      <c r="AO7">
        <f>COUNTIFS(
 orders_Q4[Type],"Returning",
 orders_Q4[Source],"Website",
 orders_Q4[Status],"Delivered"
)</f>
        <v>28</v>
      </c>
      <c r="AP7">
        <f>COUNTIFS(
 orders_Q4[Type],"Returning",
 orders_Q4[Source],"Website",
 orders_Q4[Status],"Delivered",
 orders_Q4[Return_initiated],"Yes"
)</f>
        <v>10</v>
      </c>
      <c r="AQ7" s="27">
        <f>IF(AO7&gt;0,
    AP7 /AO7,
    0)</f>
        <v>0.35714285714285715</v>
      </c>
    </row>
    <row r="8" spans="36:46" x14ac:dyDescent="0.3">
      <c r="AJ8" s="24" t="s">
        <v>104</v>
      </c>
      <c r="AK8" s="25">
        <v>28</v>
      </c>
      <c r="AM8" t="s">
        <v>18072</v>
      </c>
      <c r="AN8" t="s">
        <v>18069</v>
      </c>
      <c r="AO8">
        <f>COUNTIFS(
 orders_Q4[Type],"Returning",
 orders_Q4[Source],"Mobile App",
 orders_Q4[Status],"Delivered"
)</f>
        <v>27</v>
      </c>
      <c r="AP8">
        <f>COUNTIFS(
 orders_Q4[Type],"Returning",
 orders_Q4[Source],"Mobile App",
 orders_Q4[Status],"Delivered",
 orders_Q4[Return_initiated],"Yes"
)</f>
        <v>15</v>
      </c>
      <c r="AQ8" s="27">
        <f>IF(AO8&gt;0,
    AP8 /AO8,
    0)</f>
        <v>0.55555555555555558</v>
      </c>
    </row>
    <row r="9" spans="36:46" x14ac:dyDescent="0.3">
      <c r="AJ9" s="24" t="s">
        <v>18064</v>
      </c>
      <c r="AK9" s="25">
        <v>166</v>
      </c>
      <c r="AM9" t="s">
        <v>18072</v>
      </c>
      <c r="AN9" t="s">
        <v>18070</v>
      </c>
      <c r="AO9">
        <f>COUNTIFS(
 orders_Q4[Type],"Returning",
 orders_Q4[Source],"Instagram Shop",
 orders_Q4[Status],"Delivered"
)</f>
        <v>20</v>
      </c>
      <c r="AP9">
        <f>COUNTIFS(
 orders_Q4[Type],"Returning",
 orders_Q4[Source],"Instagram Shop",
 orders_Q4[Status],"Delivered",
 orders_Q4[Return_initiated],"Yes"
)</f>
        <v>8</v>
      </c>
      <c r="AQ9" s="27">
        <f>IF(AO9&gt;0,
    AP9 /AO9,
    0)</f>
        <v>0.4</v>
      </c>
    </row>
    <row r="10" spans="36:46" x14ac:dyDescent="0.3">
      <c r="AJ10" s="24" t="s">
        <v>17985</v>
      </c>
      <c r="AK10" s="25">
        <v>346</v>
      </c>
    </row>
    <row r="15" spans="36:46" x14ac:dyDescent="0.3">
      <c r="AP15" s="23" t="s">
        <v>18073</v>
      </c>
      <c r="AQ15" s="23" t="s">
        <v>17989</v>
      </c>
    </row>
    <row r="16" spans="36:46" x14ac:dyDescent="0.3">
      <c r="AP16" s="23" t="s">
        <v>17981</v>
      </c>
      <c r="AQ16" t="s">
        <v>18070</v>
      </c>
      <c r="AR16" t="s">
        <v>18069</v>
      </c>
      <c r="AS16" t="s">
        <v>30</v>
      </c>
    </row>
    <row r="17" spans="41:45" x14ac:dyDescent="0.3">
      <c r="AP17" s="24" t="s">
        <v>18071</v>
      </c>
      <c r="AQ17" s="31">
        <v>0.74117647058823533</v>
      </c>
      <c r="AR17" s="31">
        <v>0.5679012345679012</v>
      </c>
      <c r="AS17" s="31">
        <v>0.43678160919540232</v>
      </c>
    </row>
    <row r="18" spans="41:45" x14ac:dyDescent="0.3">
      <c r="AP18" s="24" t="s">
        <v>18072</v>
      </c>
      <c r="AQ18" s="31">
        <v>0.4</v>
      </c>
      <c r="AR18" s="31">
        <v>0.55555555555555558</v>
      </c>
      <c r="AS18" s="31">
        <v>0.35714285714285715</v>
      </c>
    </row>
    <row r="19" spans="41:45" x14ac:dyDescent="0.3">
      <c r="AP19" s="24" t="s">
        <v>17985</v>
      </c>
      <c r="AQ19" s="31">
        <v>1.1411764705882352</v>
      </c>
      <c r="AR19" s="31">
        <v>1.1234567901234569</v>
      </c>
      <c r="AS19" s="31">
        <v>0.79392446633825942</v>
      </c>
    </row>
    <row r="21" spans="41:45" x14ac:dyDescent="0.3">
      <c r="AO21" s="24"/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12A562-F722-4B81-BAB3-417C88F724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working_data</vt:lpstr>
      <vt:lpstr>cleaning_log</vt:lpstr>
      <vt:lpstr>validation_summary</vt:lpstr>
      <vt:lpstr>Analysis_1</vt:lpstr>
      <vt:lpstr>Analysis_2</vt:lpstr>
      <vt:lpstr>KPIs</vt:lpstr>
      <vt:lpstr>Working Time</vt:lpstr>
      <vt:lpstr>CHARTS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teja</dc:creator>
  <cp:lastModifiedBy>sai teja</cp:lastModifiedBy>
  <dcterms:created xsi:type="dcterms:W3CDTF">2026-02-04T08:01:56Z</dcterms:created>
  <dcterms:modified xsi:type="dcterms:W3CDTF">2026-02-05T04:45:58Z</dcterms:modified>
</cp:coreProperties>
</file>